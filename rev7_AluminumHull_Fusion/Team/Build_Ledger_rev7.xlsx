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tings" sheetId="2" state="visible" r:id="rId2"/>
    <sheet name="Members" sheetId="3" state="visible" r:id="rId3"/>
    <sheet name="Steps" sheetId="4" state="visible" r:id="rId4"/>
    <sheet name="Pledges" sheetId="5" state="visible" r:id="rId5"/>
    <sheet name="Work log" sheetId="6" state="visible" r:id="rId6"/>
    <sheet name="Contributions" sheetId="7" state="visible" r:id="rId7"/>
    <sheet name="Progress" sheetId="8" state="visible" r:id="rId8"/>
    <sheet name="Ownership" sheetId="9" state="visible" r:id="rId9"/>
    <sheet name="Usa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55555"/>
      <sz val="9"/>
    </font>
    <font>
      <name val="Arial"/>
      <sz val="10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0000FF"/>
      <sz val="10"/>
    </font>
  </fonts>
  <fills count="3">
    <fill>
      <patternFill/>
    </fill>
    <fill>
      <patternFill patternType="gray125"/>
    </fill>
    <fill>
      <patternFill patternType="solid">
        <fgColor rgb="FF3E4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6" fillId="0" borderId="0" pivotButton="0" quotePrefix="0" xfId="0"/>
    <xf numFmtId="164" fontId="6" fillId="0" borderId="0" pivotButton="0" quotePrefix="0" xfId="0"/>
    <xf numFmtId="9" fontId="6" fillId="0" borderId="0" pivotButton="0" quotePrefix="0" xfId="0"/>
    <xf numFmtId="165" fontId="6" fillId="0" borderId="0" pivotButton="0" quotePrefix="0" xfId="0"/>
    <xf numFmtId="164" fontId="4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9" fontId="3" fillId="0" borderId="0" pivotButton="0" quotePrefix="0" xfId="0"/>
    <xf numFmtId="9" fontId="4" fillId="0" borderId="0" pivotButton="0" quotePrefix="0" xfId="0"/>
    <xf numFmtId="1" fontId="3" fillId="0" borderId="0" pivotButton="0" quotePrefix="0" xfId="0"/>
    <xf numFmtId="166" fontId="3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4">
    <dxf>
      <font>
        <b val="1"/>
        <color rgb="FFC00000"/>
      </font>
    </dxf>
    <dxf>
      <fill>
        <patternFill patternType="solid">
          <fgColor rgb="FFF4B183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zoomScale="10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Straddle Dart build-team ledger: pledges, work done, contributions and ownership</t>
        </is>
      </c>
    </row>
    <row r="2">
      <c r="A2" s="2" t="inlineStr">
        <is>
          <t>First draft for planning. The rules below are proposals for the team to settle before the first build starts.</t>
        </is>
      </c>
    </row>
    <row r="3">
      <c r="A3" s="3" t="inlineStr"/>
    </row>
    <row r="4">
      <c r="A4" s="4" t="inlineStr">
        <is>
          <t>How credit works</t>
        </is>
      </c>
    </row>
    <row r="5">
      <c r="A5" s="3" t="inlineStr">
        <is>
          <t>Every build step is worth the pro labor cost the build guide gives for it (sheet Steps; edit the values there).</t>
        </is>
      </c>
    </row>
    <row r="6">
      <c r="A6" s="3" t="inlineStr">
        <is>
          <t>A member earns that value either by doing the step or by paying a pro to do it. Fast or slow, the credit is the same.</t>
        </is>
      </c>
    </row>
    <row r="7">
      <c r="A7" s="3" t="inlineStr">
        <is>
          <t>Several members can share a step: give each one a share (the shares for a step on a boat should add up to 100%).</t>
        </is>
      </c>
    </row>
    <row r="8">
      <c r="A8" s="3" t="inlineStr">
        <is>
          <t>Credit only counts once another member has checked the work and signed it off (column "Verified by" in the Work log).</t>
        </is>
      </c>
    </row>
    <row r="9">
      <c r="A9" s="3" t="inlineStr">
        <is>
          <t>If a pro charges more than the step value, the difference can count as a cash contribution (Settings).</t>
        </is>
      </c>
    </row>
    <row r="10">
      <c r="A10" s="3" t="inlineStr">
        <is>
          <t>Cash, materials, tools and shop space count at their agreed value once another member approves them (Contributions).</t>
        </is>
      </c>
    </row>
    <row r="11">
      <c r="A11" s="3" t="inlineStr">
        <is>
          <t>A member who withdraws before the build is finished keeps only part of their credit (Settings), which supports the rule</t>
        </is>
      </c>
    </row>
    <row r="12">
      <c r="A12" s="3" t="inlineStr">
        <is>
          <t>that everyone commits to building every boat, not just up to their own.</t>
        </is>
      </c>
    </row>
    <row r="13">
      <c r="A13" s="3" t="inlineStr">
        <is>
          <t>Ownership % on the Ownership sheet is each member's counted credit over everyone's. It assumes the team LLC owns all the boats</t>
        </is>
      </c>
    </row>
    <row r="14">
      <c r="A14" s="3" t="inlineStr">
        <is>
          <t>and members hold shares in it, which also suits a later decision to build fewer boats and share them.</t>
        </is>
      </c>
    </row>
    <row r="15">
      <c r="A15" s="3" t="inlineStr"/>
    </row>
    <row r="16">
      <c r="A16" s="4" t="inlineStr">
        <is>
          <t>Sheets</t>
        </is>
      </c>
    </row>
    <row r="17">
      <c r="A17" s="3" t="inlineStr">
        <is>
          <t>Settings: team name, number of boats, and the rules above.</t>
        </is>
      </c>
    </row>
    <row r="18">
      <c r="A18" s="3" t="inlineStr">
        <is>
          <t>Members: up to 12 people. Names typed here feed the drop-downs on the other sheets.</t>
        </is>
      </c>
    </row>
    <row r="19">
      <c r="A19" s="3" t="inlineStr">
        <is>
          <t>Steps: the 58 build steps, their DIY hours and their value. Values are per boat.</t>
        </is>
      </c>
    </row>
    <row r="20">
      <c r="A20" s="3" t="inlineStr">
        <is>
          <t>Pledges: who promised to do or fund which step on which boat, and what share.</t>
        </is>
      </c>
    </row>
    <row r="21">
      <c r="A21" s="3" t="inlineStr">
        <is>
          <t>Work log: what was actually done, by whom, how (did it, or paid a pro), and who checked it.</t>
        </is>
      </c>
    </row>
    <row r="22">
      <c r="A22" s="3" t="inlineStr">
        <is>
          <t>Contributions: cash, materials, tools and shop space.</t>
        </is>
      </c>
    </row>
    <row r="23">
      <c r="A23" s="3" t="inlineStr">
        <is>
          <t>Progress: every step against every boat: share pledged, share done and checked.</t>
        </is>
      </c>
    </row>
    <row r="24">
      <c r="A24" s="3" t="inlineStr">
        <is>
          <t>Ownership: credit per member, pledges kept, and the resulting ownership split.</t>
        </is>
      </c>
    </row>
    <row r="25">
      <c r="A25" s="3" t="inlineStr">
        <is>
          <t>Usage log: after the build, who took a boat out, engine hours and fuel. Splits running costs by use.</t>
        </is>
      </c>
    </row>
    <row r="26">
      <c r="A26" s="3" t="inlineStr"/>
    </row>
    <row r="27">
      <c r="A27" s="4" t="inlineStr">
        <is>
          <t>Using it</t>
        </is>
      </c>
    </row>
    <row r="28">
      <c r="A28" s="3" t="inlineStr">
        <is>
          <t>Blue cells are typed in; black cells are calculated. Rows with "(example)" in the name are samples: delete them before use.</t>
        </is>
      </c>
    </row>
    <row r="29">
      <c r="A29" s="3" t="inlineStr">
        <is>
          <t>Keep one copy as the team's official record (a shared drive), and make the sign-off a habit at every work session.</t>
        </is>
      </c>
    </row>
    <row r="30">
      <c r="A30" s="3" t="inlineStr"/>
    </row>
    <row r="31">
      <c r="A31" s="4" t="inlineStr">
        <is>
          <t>Booking boats among owners (after the build)</t>
        </is>
      </c>
    </row>
    <row r="32">
      <c r="A32" s="3" t="inlineStr">
        <is>
          <t>Use a shared resource calendar (Teamup, Skedda, or a shared Google calendar with one calendar per boat).</t>
        </is>
      </c>
    </row>
    <row r="33">
      <c r="A33" s="3" t="inlineStr">
        <is>
          <t>Suggested rules: bookings in proportion to ownership; weekends and holidays rotate; a cap on how many future bookings</t>
        </is>
      </c>
    </row>
    <row r="34">
      <c r="A34" s="3" t="inlineStr">
        <is>
          <t>one person may hold; log engine hours and fuel in the Usage log on every trip; pre- and post-trip checklist on each booking.</t>
        </is>
      </c>
    </row>
    <row r="35">
      <c r="A35" s="3" t="inlineStr"/>
    </row>
    <row r="36">
      <c r="A36" s="2" t="inlineStr">
        <is>
          <t>This workbook is a planning tool, not a legal agreement. The team's operating agreement, reviewed by a lawyer, governs.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70" customWidth="1" min="3" max="3"/>
  </cols>
  <sheetData>
    <row r="1">
      <c r="A1" s="1" t="inlineStr">
        <is>
          <t>Settings</t>
        </is>
      </c>
    </row>
    <row r="2">
      <c r="A2" s="2" t="inlineStr">
        <is>
          <t>The rules the team agrees before the build. Blue cells are editable.</t>
        </is>
      </c>
    </row>
    <row r="4">
      <c r="A4" s="5" t="inlineStr">
        <is>
          <t>Setting</t>
        </is>
      </c>
      <c r="B4" s="5" t="inlineStr">
        <is>
          <t>Value</t>
        </is>
      </c>
      <c r="C4" s="5" t="inlineStr">
        <is>
          <t>Notes</t>
        </is>
      </c>
    </row>
    <row r="5">
      <c r="A5" s="3" t="inlineStr">
        <is>
          <t>Team / LLC name</t>
        </is>
      </c>
      <c r="B5" s="6" t="inlineStr">
        <is>
          <t>Example Straddle Dart Build LLC</t>
        </is>
      </c>
      <c r="C5" s="2" t="inlineStr">
        <is>
          <t>As registered</t>
        </is>
      </c>
    </row>
    <row r="6">
      <c r="A6" s="3" t="inlineStr">
        <is>
          <t>Number of boats in this build</t>
        </is>
      </c>
      <c r="B6" s="6" t="n">
        <v>1</v>
      </c>
      <c r="C6" s="2" t="inlineStr">
        <is>
          <t>1 for the prototype; up to 8</t>
        </is>
      </c>
    </row>
    <row r="7">
      <c r="A7" s="3" t="inlineStr">
        <is>
          <t>Materials budget per boat ($)</t>
        </is>
      </c>
      <c r="B7" s="7" t="n">
        <v>24452</v>
      </c>
      <c r="C7" s="2" t="inlineStr">
        <is>
          <t>From BOM_rev7.xlsx; for the funding target only, not credit</t>
        </is>
      </c>
    </row>
    <row r="8">
      <c r="A8" s="3" t="inlineStr">
        <is>
          <t>Credit kept by a member who withdraws before the build is finished</t>
        </is>
      </c>
      <c r="B8" s="8" t="n">
        <v>0.5</v>
      </c>
      <c r="C8" s="2" t="inlineStr">
        <is>
          <t>Fraction of their credit that still counts</t>
        </is>
      </c>
    </row>
    <row r="9">
      <c r="A9" s="3" t="inlineStr">
        <is>
          <t>Pro cost above the step value counts as a cash contribution</t>
        </is>
      </c>
      <c r="B9" s="6" t="inlineStr">
        <is>
          <t>Yes</t>
        </is>
      </c>
      <c r="C9" s="2" t="inlineStr">
        <is>
          <t>Yes or No</t>
        </is>
      </c>
    </row>
    <row r="10">
      <c r="A10" s="3" t="inlineStr">
        <is>
          <t>Sign-off must be by a different member</t>
        </is>
      </c>
      <c r="B10" s="6" t="inlineStr">
        <is>
          <t>Yes</t>
        </is>
      </c>
      <c r="C10" s="2" t="inlineStr">
        <is>
          <t>Yes or No</t>
        </is>
      </c>
    </row>
  </sheetData>
  <dataValidations count="2">
    <dataValidation sqref="B9:B10" showDropDown="0" showInputMessage="0" showErrorMessage="0" allowBlank="1" type="list">
      <formula1>"Yes,No"</formula1>
    </dataValidation>
    <dataValidation sqref="B6" showDropDown="0" showInputMessage="0" showErrorMessage="0" allowBlank="0" type="whole" operator="between">
      <formula1>1</formula1>
      <formula2>8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Members</t>
        </is>
      </c>
    </row>
    <row r="2">
      <c r="A2" s="2" t="inlineStr">
        <is>
          <t>One row per person. Status: Active, Withdrawn or Finished.</t>
        </is>
      </c>
    </row>
    <row r="4">
      <c r="A4" s="5" t="inlineStr">
        <is>
          <t>No.</t>
        </is>
      </c>
      <c r="B4" s="5" t="inlineStr">
        <is>
          <t>Name</t>
        </is>
      </c>
      <c r="C4" s="5" t="inlineStr">
        <is>
          <t>Contact</t>
        </is>
      </c>
      <c r="D4" s="5" t="inlineStr">
        <is>
          <t>Joined</t>
        </is>
      </c>
      <c r="E4" s="5" t="inlineStr">
        <is>
          <t>Status</t>
        </is>
      </c>
      <c r="F4" s="5" t="inlineStr">
        <is>
          <t>Left on</t>
        </is>
      </c>
      <c r="G4" s="5" t="inlineStr">
        <is>
          <t>Notes</t>
        </is>
      </c>
    </row>
    <row r="5">
      <c r="A5" s="3" t="n">
        <v>1</v>
      </c>
      <c r="B5" s="6" t="inlineStr">
        <is>
          <t>Alex (example)</t>
        </is>
      </c>
      <c r="C5" s="6" t="n"/>
      <c r="D5" s="9" t="n"/>
      <c r="E5" s="6" t="inlineStr">
        <is>
          <t>Active</t>
        </is>
      </c>
      <c r="F5" s="9" t="n"/>
      <c r="G5" s="6" t="n"/>
    </row>
    <row r="6">
      <c r="A6" s="3" t="n">
        <v>2</v>
      </c>
      <c r="B6" s="6" t="inlineStr">
        <is>
          <t>Bea (example)</t>
        </is>
      </c>
      <c r="C6" s="6" t="n"/>
      <c r="D6" s="9" t="n"/>
      <c r="E6" s="6" t="inlineStr">
        <is>
          <t>Active</t>
        </is>
      </c>
      <c r="F6" s="9" t="n"/>
      <c r="G6" s="6" t="n"/>
    </row>
    <row r="7">
      <c r="A7" s="3" t="n">
        <v>3</v>
      </c>
      <c r="B7" s="6" t="inlineStr">
        <is>
          <t>Cruz (example)</t>
        </is>
      </c>
      <c r="C7" s="6" t="n"/>
      <c r="D7" s="9" t="n"/>
      <c r="E7" s="6" t="inlineStr">
        <is>
          <t>Active</t>
        </is>
      </c>
      <c r="F7" s="9" t="n"/>
      <c r="G7" s="6" t="n"/>
    </row>
    <row r="8">
      <c r="A8" s="3" t="n">
        <v>4</v>
      </c>
      <c r="B8" s="6" t="inlineStr">
        <is>
          <t>Dana (example)</t>
        </is>
      </c>
      <c r="C8" s="6" t="n"/>
      <c r="D8" s="9" t="n"/>
      <c r="E8" s="6" t="inlineStr">
        <is>
          <t>Active</t>
        </is>
      </c>
      <c r="F8" s="9" t="n"/>
      <c r="G8" s="6" t="n"/>
    </row>
    <row r="9">
      <c r="A9" s="3" t="n">
        <v>5</v>
      </c>
      <c r="B9" s="6" t="n"/>
      <c r="C9" s="6" t="n"/>
      <c r="D9" s="9" t="n"/>
      <c r="E9" s="6" t="n"/>
      <c r="F9" s="9" t="n"/>
      <c r="G9" s="6" t="n"/>
    </row>
    <row r="10">
      <c r="A10" s="3" t="n">
        <v>6</v>
      </c>
      <c r="B10" s="6" t="n"/>
      <c r="C10" s="6" t="n"/>
      <c r="D10" s="9" t="n"/>
      <c r="E10" s="6" t="n"/>
      <c r="F10" s="9" t="n"/>
      <c r="G10" s="6" t="n"/>
    </row>
    <row r="11">
      <c r="A11" s="3" t="n">
        <v>7</v>
      </c>
      <c r="B11" s="6" t="n"/>
      <c r="C11" s="6" t="n"/>
      <c r="D11" s="9" t="n"/>
      <c r="E11" s="6" t="n"/>
      <c r="F11" s="9" t="n"/>
      <c r="G11" s="6" t="n"/>
    </row>
    <row r="12">
      <c r="A12" s="3" t="n">
        <v>8</v>
      </c>
      <c r="B12" s="6" t="n"/>
      <c r="C12" s="6" t="n"/>
      <c r="D12" s="9" t="n"/>
      <c r="E12" s="6" t="n"/>
      <c r="F12" s="9" t="n"/>
      <c r="G12" s="6" t="n"/>
    </row>
    <row r="13">
      <c r="A13" s="3" t="n">
        <v>9</v>
      </c>
      <c r="B13" s="6" t="n"/>
      <c r="C13" s="6" t="n"/>
      <c r="D13" s="9" t="n"/>
      <c r="E13" s="6" t="n"/>
      <c r="F13" s="9" t="n"/>
      <c r="G13" s="6" t="n"/>
    </row>
    <row r="14">
      <c r="A14" s="3" t="n">
        <v>10</v>
      </c>
      <c r="B14" s="6" t="n"/>
      <c r="C14" s="6" t="n"/>
      <c r="D14" s="9" t="n"/>
      <c r="E14" s="6" t="n"/>
      <c r="F14" s="9" t="n"/>
      <c r="G14" s="6" t="n"/>
    </row>
    <row r="15">
      <c r="A15" s="3" t="n">
        <v>11</v>
      </c>
      <c r="B15" s="6" t="n"/>
      <c r="C15" s="6" t="n"/>
      <c r="D15" s="9" t="n"/>
      <c r="E15" s="6" t="n"/>
      <c r="F15" s="9" t="n"/>
      <c r="G15" s="6" t="n"/>
    </row>
    <row r="16">
      <c r="A16" s="3" t="n">
        <v>12</v>
      </c>
      <c r="B16" s="6" t="n"/>
      <c r="C16" s="6" t="n"/>
      <c r="D16" s="9" t="n"/>
      <c r="E16" s="6" t="n"/>
      <c r="F16" s="9" t="n"/>
      <c r="G16" s="6" t="n"/>
    </row>
  </sheetData>
  <dataValidations count="1">
    <dataValidation sqref="E5:E16" showDropDown="0" showInputMessage="0" showErrorMessage="0" allowBlank="1" type="list">
      <formula1>"Active,Withdrawn,Finished"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0" customWidth="1" min="3" max="3"/>
    <col width="10" customWidth="1" min="4" max="4"/>
    <col width="14" customWidth="1" min="5" max="5"/>
  </cols>
  <sheetData>
    <row r="1">
      <c r="A1" s="1" t="inlineStr">
        <is>
          <t>Build steps and their value</t>
        </is>
      </c>
    </row>
    <row r="2">
      <c r="A2" s="2" t="inlineStr">
        <is>
          <t>From Build_Guide_rev7.xlsx. Value = pro labor cost per boat; edit it if the team agrees a different value.</t>
        </is>
      </c>
    </row>
    <row r="4">
      <c r="A4" s="5" t="inlineStr">
        <is>
          <t>Step</t>
        </is>
      </c>
      <c r="B4" s="5" t="inlineStr">
        <is>
          <t>Section</t>
        </is>
      </c>
      <c r="C4" s="5" t="inlineStr">
        <is>
          <t>Step (first line of the guide)</t>
        </is>
      </c>
      <c r="D4" s="5" t="inlineStr">
        <is>
          <t>DIY hours</t>
        </is>
      </c>
      <c r="E4" s="5" t="inlineStr">
        <is>
          <t>Value per boat ($)</t>
        </is>
      </c>
    </row>
    <row r="5">
      <c r="A5" s="3" t="n">
        <v>1</v>
      </c>
      <c r="B5" s="3" t="inlineStr">
        <is>
          <t>Hull (riveted aluminum)</t>
        </is>
      </c>
      <c r="C5" s="3" t="inlineStr">
        <is>
          <t>Export flat patterns of every skin panel, frame and stringer from the CAD in OnShape; print full-size templates</t>
        </is>
      </c>
      <c r="D5" s="3" t="n">
        <v>6</v>
      </c>
      <c r="E5" s="7" t="n">
        <v>450</v>
      </c>
    </row>
    <row r="6">
      <c r="A6" s="3" t="n">
        <v>2</v>
      </c>
      <c r="B6" s="3" t="inlineStr">
        <is>
          <t>Hull (riveted aluminum)</t>
        </is>
      </c>
      <c r="C6" s="3" t="inlineStr">
        <is>
          <t>Build a level strongback (two straight rails on stands) and stand the frames on it as the station molds, braced square and to the CAD spacing; they stay in the hull, so no separate molds are needed</t>
        </is>
      </c>
      <c r="D6" s="3" t="n">
        <v>6</v>
      </c>
      <c r="E6" s="7" t="n">
        <v>420</v>
      </c>
    </row>
    <row r="7">
      <c r="A7" s="3" t="n">
        <v>3</v>
      </c>
      <c r="B7" s="3" t="inlineStr">
        <is>
          <t>Hull (riveted aluminum)</t>
        </is>
      </c>
      <c r="C7" s="3" t="inlineStr">
        <is>
          <t>Order 5052-H32 sheet (0.125 in bottom, chine and bow face; 0.063 in sides; 0.125 in transom); have a fab shop shear the blanks and brake the 45 deg chine bends and transom flanges, and brake the two 1/8 in chine-guard strips to 135 deg in the same session</t>
        </is>
      </c>
      <c r="D7" s="3" t="n">
        <v>4</v>
      </c>
      <c r="E7" s="7" t="n">
        <v>650</v>
      </c>
    </row>
    <row r="8">
      <c r="A8" s="3" t="n">
        <v>4</v>
      </c>
      <c r="B8" s="3" t="inlineStr">
        <is>
          <t>Hull (riveted aluminum)</t>
        </is>
      </c>
      <c r="C8" s="3" t="inlineStr">
        <is>
          <t>Cut and form stringers (hat or angle sections) to the rocker curve; cut the ten frames from angle (x 12, 24, 36, 48, 60, 72, 84, 96, 111.5 and 120 in; 60 and 84 are copies of 72, 111.5 a copy of 96); notch a 1 x 3/4 in limber in every bay of every frame and a cross-drain slot in every stringer at x 3.5-4.5</t>
        </is>
      </c>
      <c r="D8" s="3" t="n">
        <v>23</v>
      </c>
      <c r="E8" s="7" t="n">
        <v>1800</v>
      </c>
    </row>
    <row r="9">
      <c r="A9" s="3" t="n">
        <v>5</v>
      </c>
      <c r="B9" s="3" t="inlineStr">
        <is>
          <t>Hull (riveted aluminum)</t>
        </is>
      </c>
      <c r="C9" s="3" t="inlineStr">
        <is>
          <t>Cleco frames and stringers together on the jig; check square and diagonals; rivet the framing</t>
        </is>
      </c>
      <c r="D9" s="3" t="n">
        <v>15</v>
      </c>
      <c r="E9" s="7" t="n">
        <v>1180</v>
      </c>
    </row>
    <row r="10">
      <c r="A10" s="3" t="n">
        <v>6</v>
      </c>
      <c r="B10" s="3" t="inlineStr">
        <is>
          <t>Hull (riveted aluminum)</t>
        </is>
      </c>
      <c r="C10" s="3" t="inlineStr">
        <is>
          <t>Fit the bottom sheets: flat to x = 120 in, then the conic roll-up tangent into the 15 deg raked bow plate; centerline seam over a doubled center stringer; cleco and trim</t>
        </is>
      </c>
      <c r="D10" s="3" t="n">
        <v>12</v>
      </c>
      <c r="E10" s="7" t="n">
        <v>950</v>
      </c>
    </row>
    <row r="11">
      <c r="A11" s="3" t="n">
        <v>7</v>
      </c>
      <c r="B11" s="3" t="inlineStr">
        <is>
          <t>Hull (riveted aluminum)</t>
        </is>
      </c>
      <c r="C11" s="3" t="inlineStr">
        <is>
          <t>Fit chine/side panels, bow face and transom; cleco every lap (1 in minimum); check symmetry and chine angle</t>
        </is>
      </c>
      <c r="D11" s="3" t="n">
        <v>12</v>
      </c>
      <c r="E11" s="7" t="n">
        <v>900</v>
      </c>
    </row>
    <row r="12">
      <c r="A12" s="3" t="n">
        <v>8</v>
      </c>
      <c r="B12" s="3" t="inlineStr">
        <is>
          <t>Hull (riveted aluminum)</t>
        </is>
      </c>
      <c r="C12" s="3" t="inlineStr">
        <is>
          <t>Drill all rivet holes to final size (3/16 in) and deburr both sides: double rows at 3/4 in on the bottom centreline seam, the transverse butt seam and the chine laps; double rows at 1 in on the side, transom and bow laps above the waterline</t>
        </is>
      </c>
      <c r="D12" s="3" t="n">
        <v>11.5</v>
      </c>
      <c r="E12" s="7" t="n">
        <v>870</v>
      </c>
    </row>
    <row r="13">
      <c r="A13" s="3" t="n">
        <v>9</v>
      </c>
      <c r="B13" s="3" t="inlineStr">
        <is>
          <t>Hull (riveted aluminum)</t>
        </is>
      </c>
      <c r="C13" s="3" t="inlineStr">
        <is>
          <t>Take laps apart, clean, prime faying surfaces and every cut edge with self-etching primer, butter with sealant (Sikaflex 291 or 3M 4200), rivet with closed-end aluminum blind rivets</t>
        </is>
      </c>
      <c r="D13" s="3" t="n">
        <v>20.5</v>
      </c>
      <c r="E13" s="7" t="n">
        <v>1580</v>
      </c>
    </row>
    <row r="14">
      <c r="A14" s="3" t="n">
        <v>10</v>
      </c>
      <c r="B14" s="3" t="inlineStr">
        <is>
          <t>Hull (riveted aluminum)</t>
        </is>
      </c>
      <c r="C14" s="3" t="inlineStr">
        <is>
          <t>Install engine beds (doubled aluminum stringers + plates on HDPE), cage mount plates, aluminum rub rail at the sheer</t>
        </is>
      </c>
      <c r="D14" s="3" t="n">
        <v>8</v>
      </c>
      <c r="E14" s="7" t="n">
        <v>600</v>
      </c>
    </row>
    <row r="15">
      <c r="A15" s="3" t="n">
        <v>11</v>
      </c>
      <c r="B15" s="3" t="inlineStr">
        <is>
          <t>Hull (riveted aluminum)</t>
        </is>
      </c>
      <c r="C15" s="3" t="inlineStr">
        <is>
          <t>Leak test: hull on stands, fill with 4 in of water, check the outside (before UHMW) for 24 h; mark and fix leakers. Repeat with UHMW on, watching the strip edges</t>
        </is>
      </c>
      <c r="D15" s="3" t="n">
        <v>8</v>
      </c>
      <c r="E15" s="7" t="n">
        <v>600</v>
      </c>
    </row>
    <row r="16">
      <c r="A16" s="3" t="n">
        <v>12</v>
      </c>
      <c r="B16" s="3" t="inlineStr">
        <is>
          <t>Hull (riveted aluminum)</t>
        </is>
      </c>
      <c r="C16" s="3" t="inlineStr">
        <is>
          <t>Fit UHMW strips; through-bolt into the stringers with sealant, slotted toward the ends; fit the brake-formed chine guards over the strip edges and the nose cap</t>
        </is>
      </c>
      <c r="D16" s="3" t="n">
        <v>9</v>
      </c>
      <c r="E16" s="7" t="n">
        <v>680</v>
      </c>
    </row>
    <row r="17">
      <c r="A17" s="3" t="n">
        <v>13</v>
      </c>
      <c r="B17" s="3" t="inlineStr">
        <is>
          <t>Hull (riveted aluminum)</t>
        </is>
      </c>
      <c r="C17" s="3" t="inlineStr">
        <is>
          <t>Finish: the hull stays bare 5052 (primer only on faying surfaces and cut edges, step 9); touch up any scratch through to bare metal at a cut edge; a topcoat can be added later</t>
        </is>
      </c>
      <c r="D17" s="3" t="n">
        <v>2</v>
      </c>
      <c r="E17" s="7" t="n">
        <v>150</v>
      </c>
    </row>
    <row r="18">
      <c r="A18" s="3" t="n">
        <v>14</v>
      </c>
      <c r="B18" s="3" t="inlineStr">
        <is>
          <t>Drivetrain</t>
        </is>
      </c>
      <c r="C18" s="3" t="inlineStr">
        <is>
          <t>Find a G13B (1989-94 Suzuki Swift GT/GTi, or a JDM Cultus GT-i import with its ECU and harness); compression-test it; replace timing belt, water pump, gaskets, plugs</t>
        </is>
      </c>
      <c r="D18" s="3" t="n">
        <v>18</v>
      </c>
      <c r="E18" s="7" t="n">
        <v>1250</v>
      </c>
    </row>
    <row r="19">
      <c r="A19" s="3" t="n">
        <v>15</v>
      </c>
      <c r="B19" s="3" t="inlineStr">
        <is>
          <t>Drivetrain</t>
        </is>
      </c>
      <c r="C19" s="3" t="inlineStr">
        <is>
          <t>Measure the bellhousing pattern (the G13B shares the G13-family pattern: confirm on the block); machine the adapter plate and jackshaft housing; fit the flex coupling</t>
        </is>
      </c>
      <c r="D19" s="3" t="n">
        <v>12</v>
      </c>
      <c r="E19" s="7" t="n">
        <v>1000</v>
      </c>
    </row>
    <row r="20">
      <c r="A20" s="3" t="n">
        <v>16</v>
      </c>
      <c r="B20" s="3" t="inlineStr">
        <is>
          <t>Drivetrain</t>
        </is>
      </c>
      <c r="C20" s="3" t="inlineStr">
        <is>
          <t>Build engine mounts with polyurethane bushings; set the engine low on the bed plates</t>
        </is>
      </c>
      <c r="D20" s="3" t="n">
        <v>8</v>
      </c>
      <c r="E20" s="7" t="n">
        <v>650</v>
      </c>
    </row>
    <row r="21">
      <c r="A21" s="3" t="n">
        <v>17</v>
      </c>
      <c r="B21" s="3" t="inlineStr">
        <is>
          <t>Drivetrain</t>
        </is>
      </c>
      <c r="C21" s="3" t="inlineStr">
        <is>
          <t>Fabricate and TIG-weld A-frames, gusset peak plates, feet, diagonal braces, tie struts; the forward crossbar is 2 x 3 x 1/8, 3 in deep, its bottom on the tie-strut tabs</t>
        </is>
      </c>
      <c r="D21" s="3" t="n">
        <v>30</v>
      </c>
      <c r="E21" s="7" t="n">
        <v>2500</v>
      </c>
    </row>
    <row r="22">
      <c r="A22" s="3" t="n">
        <v>18</v>
      </c>
      <c r="B22" s="3" t="inlineStr">
        <is>
          <t>Drivetrain</t>
        </is>
      </c>
      <c r="C22" s="3" t="inlineStr">
        <is>
          <t>Build the tension yoke; machine the prop shaft (4140 pre-hardened, 28-32 HRC) and flange; mount the flange bearings; carry the thrust on a shaft shoulder or clamped collar</t>
        </is>
      </c>
      <c r="D22" s="3" t="n">
        <v>14</v>
      </c>
      <c r="E22" s="7" t="n">
        <v>1150</v>
      </c>
    </row>
    <row r="23">
      <c r="A23" s="3" t="n">
        <v>19</v>
      </c>
      <c r="B23" s="3" t="inlineStr">
        <is>
          <t>Drivetrain</t>
        </is>
      </c>
      <c r="C23" s="3" t="inlineStr">
        <is>
          <t>Install pulleys, belt and optional idler; align pulleys with a straightedge or laser; set tension with the jack screw</t>
        </is>
      </c>
      <c r="D23" s="3" t="n">
        <v>6</v>
      </c>
      <c r="E23" s="7" t="n">
        <v>450</v>
      </c>
    </row>
    <row r="24">
      <c r="A24" s="3" t="n">
        <v>20</v>
      </c>
      <c r="B24" s="3" t="inlineStr">
        <is>
          <t>Drivetrain</t>
        </is>
      </c>
      <c r="C24" s="3" t="inlineStr">
        <is>
          <t>Mount the prop; set pitch so full throttle standing still reaches 6,000-6,300 rpm (the G13B peaks at 6,500); track the blades; static thrust test on a scale (expect about 430 lb)</t>
        </is>
      </c>
      <c r="D24" s="3" t="n">
        <v>5</v>
      </c>
      <c r="E24" s="7" t="n">
        <v>420</v>
      </c>
    </row>
    <row r="25">
      <c r="A25" s="3" t="n">
        <v>21</v>
      </c>
      <c r="B25" s="3" t="inlineStr">
        <is>
          <t>Drivetrain</t>
        </is>
      </c>
      <c r="C25" s="3" t="inlineStr">
        <is>
          <t>Mount the radiator on the cradle; plumb hoses; fill and bleed coolant</t>
        </is>
      </c>
      <c r="D25" s="3" t="n">
        <v>6</v>
      </c>
      <c r="E25" s="7" t="n">
        <v>450</v>
      </c>
    </row>
    <row r="26">
      <c r="A26" s="3" t="n">
        <v>22</v>
      </c>
      <c r="B26" s="3" t="inlineStr">
        <is>
          <t>Drivetrain</t>
        </is>
      </c>
      <c r="C26" s="3" t="inlineStr">
        <is>
          <t>Build the exhaust: raised muffler on hangers from the starboard engine-bed plate, above the aft foam, with a heat shield; flex section after the manifold; tailpipe over the transom</t>
        </is>
      </c>
      <c r="D26" s="3" t="n">
        <v>14</v>
      </c>
      <c r="E26" s="7" t="n">
        <v>1150</v>
      </c>
    </row>
    <row r="27">
      <c r="A27" s="3" t="n">
        <v>23</v>
      </c>
      <c r="B27" s="3" t="inlineStr">
        <is>
          <t>Drivetrain</t>
        </is>
      </c>
      <c r="C27" s="3" t="inlineStr">
        <is>
          <t>Fuel system and throttle cable</t>
        </is>
      </c>
      <c r="D27" s="3" t="n">
        <v>6</v>
      </c>
      <c r="E27" s="7" t="n">
        <v>450</v>
      </c>
    </row>
    <row r="28">
      <c r="A28" s="3" t="n">
        <v>24</v>
      </c>
      <c r="B28" s="3" t="inlineStr">
        <is>
          <t>Prop cage, rudders and steering</t>
        </is>
      </c>
      <c r="C28" s="3" t="inlineStr">
        <is>
          <t>Have the two 72.4 in DOM hoops rolled (1 x .083); cut and fit legs, rails, longitudinals and aft bars (all 1 x .065 DOM), a diagonal in each side bay (aft foot to the forward leg 3 in below the hoop), 1/2 EMT front bars; weld the cage</t>
        </is>
      </c>
      <c r="D28" s="3" t="n">
        <v>20</v>
      </c>
      <c r="E28" s="7" t="n">
        <v>1700</v>
      </c>
    </row>
    <row r="29">
      <c r="A29" s="3" t="n">
        <v>25</v>
      </c>
      <c r="B29" s="3" t="inlineStr">
        <is>
          <t>Prop cage, rudders and steering</t>
        </is>
      </c>
      <c r="C29" s="3" t="inlineStr">
        <is>
          <t>Fit 1/2 in hardware cloth front, aft and sides; install the shaft sleeve; paint</t>
        </is>
      </c>
      <c r="D29" s="3" t="n">
        <v>10</v>
      </c>
      <c r="E29" s="7" t="n">
        <v>750</v>
      </c>
    </row>
    <row r="30">
      <c r="A30" s="3" t="n">
        <v>26</v>
      </c>
      <c r="B30" s="3" t="inlineStr">
        <is>
          <t>Prop cage, rudders and steering</t>
        </is>
      </c>
      <c r="C30" s="3" t="inlineStr">
        <is>
          <t>Make the honeycomb rudders: cut, edge channels, seal edges, hinge tubes</t>
        </is>
      </c>
      <c r="D30" s="3" t="n">
        <v>12</v>
      </c>
      <c r="E30" s="7" t="n">
        <v>950</v>
      </c>
    </row>
    <row r="31">
      <c r="A31" s="3" t="n">
        <v>27</v>
      </c>
      <c r="B31" s="3" t="inlineStr">
        <is>
          <t>Prop cage, rudders and steering</t>
        </is>
      </c>
      <c r="C31" s="3" t="inlineStr">
        <is>
          <t>Steering: weld the new horns (3.5 in aft, 2 in outboard) to the rudder hinge tubes; weld the 3/8 x 1.5 bellcrank bracket to the aft hoop at the lower-rail end and notch the aft screen mesh round it; fit the bellcrank, the tie bar and drive link behind the aft screen (rod ends below the horns, bolts in from below), and the straight 1 x .065 long rod outside the cage to the lever; set rudders parallel</t>
        </is>
      </c>
      <c r="D31" s="3" t="n">
        <v>10</v>
      </c>
      <c r="E31" s="7" t="n">
        <v>800</v>
      </c>
    </row>
    <row r="32">
      <c r="A32" s="3" t="n">
        <v>28</v>
      </c>
      <c r="B32" s="3" t="inlineStr">
        <is>
          <t>Floor, seating, controls and flotation</t>
        </is>
      </c>
      <c r="C32" s="3" t="inlineStr">
        <is>
          <t>Open sump: install pump, float switch with cycle counter, outside-reachable auto/off/manual switch, bailer, 1 in drain plug, through-hull and raised FRP grate box; pour a bucket in each bay and check it reaches the sump</t>
        </is>
      </c>
      <c r="D32" s="3" t="n">
        <v>7</v>
      </c>
      <c r="E32" s="7" t="n">
        <v>560</v>
      </c>
    </row>
    <row r="33">
      <c r="A33" s="3" t="n">
        <v>29</v>
      </c>
      <c r="B33" s="3" t="inlineStr">
        <is>
          <t>Floor, seating, controls and flotation</t>
        </is>
      </c>
      <c r="C33" s="3" t="inlineStr">
        <is>
          <t>Make the 24 foam blocks (20 thin blocks aft of x = 72 in, 4 bow blocks): pour urethane foam per bay onto release-lined Coroplast trays (or into molds), trim to fit with 1/16 in clearance, seal-coat, glue on HDPE pads</t>
        </is>
      </c>
      <c r="D33" s="3" t="n">
        <v>12</v>
      </c>
      <c r="E33" s="7" t="n">
        <v>950</v>
      </c>
    </row>
    <row r="34">
      <c r="A34" s="3" t="n">
        <v>30</v>
      </c>
      <c r="B34" s="3" t="inlineStr">
        <is>
          <t>Floor, seating, controls and flotation</t>
        </is>
      </c>
      <c r="C34" s="3" t="inlineStr">
        <is>
          <t>Make bolt-down floor panels resting on the stringer tops, and the bow shelf (sealed 3/8 in plywood or 0.063 in aluminum), on rivnuts and gasket tape; cut and fit 8 deck plates</t>
        </is>
      </c>
      <c r="D34" s="3" t="n">
        <v>12</v>
      </c>
      <c r="E34" s="7" t="n">
        <v>950</v>
      </c>
    </row>
    <row r="35">
      <c r="A35" s="3" t="n">
        <v>31</v>
      </c>
      <c r="B35" s="3" t="inlineStr">
        <is>
          <t>Floor, seating, controls and flotation</t>
        </is>
      </c>
      <c r="C35" s="3" t="inlineStr">
        <is>
          <t>Build the bench: 1/2 in ply box with a sealed bottom panel and bulkhead at x = 87 in; battery bay forward with an Al ledge ring, EPDM gasket and a flush lid bolted into clip nuts; dry storage / cooler aft with a flush padded lid hinged on the starboard top corner, locking stays at both ends, rubber T-latch and a 1 in drain plug</t>
        </is>
      </c>
      <c r="D35" s="3" t="n">
        <v>22</v>
      </c>
      <c r="E35" s="7" t="n">
        <v>1700</v>
      </c>
    </row>
    <row r="36">
      <c r="A36" s="3" t="n">
        <v>32</v>
      </c>
      <c r="B36" s="3" t="inlineStr">
        <is>
          <t>Floor, seating, controls and flotation</t>
        </is>
      </c>
      <c r="C36" s="3" t="inlineStr">
        <is>
          <t>Backrests, grab handles (loop 10.5 in off centre), engine guard, two foot ladders (left rails 7.5 and 12.5 in to port, right 7.5 and 14.5 in to starboard, solid 1 in rod, foot plates bolted to floor rivnuts and the bow shelf), rung-mounted throttle pedal on the right ladder (arm, torsion spring, rest stop), padded cushions</t>
        </is>
      </c>
      <c r="D36" s="3" t="n">
        <v>14</v>
      </c>
      <c r="E36" s="7" t="n">
        <v>1100</v>
      </c>
    </row>
    <row r="37">
      <c r="A37" s="3" t="n">
        <v>33</v>
      </c>
      <c r="B37" s="3" t="inlineStr">
        <is>
          <t>Floor, seating, controls and flotation</t>
        </is>
      </c>
      <c r="C37" s="3" t="inlineStr">
        <is>
          <t>Mold or cut the strap-in foam side blocks (taller with the low floor); fit straps</t>
        </is>
      </c>
      <c r="D37" s="3" t="n">
        <v>6</v>
      </c>
      <c r="E37" s="7" t="n">
        <v>450</v>
      </c>
    </row>
    <row r="38">
      <c r="A38" s="3" t="n">
        <v>34</v>
      </c>
      <c r="B38" s="3" t="inlineStr">
        <is>
          <t>Joint details, rev 6 (added work only; base fabrication is in the sections above)</t>
        </is>
      </c>
      <c r="C38" s="3" t="inlineStr">
        <is>
          <t>Cut plates from the DXF flat patterns (plasma or waterjet, or send out); deburr, drill to final size</t>
        </is>
      </c>
      <c r="D38" s="3" t="n">
        <v>4</v>
      </c>
      <c r="E38" s="7" t="n">
        <v>300</v>
      </c>
    </row>
    <row r="39">
      <c r="A39" s="3" t="n">
        <v>35</v>
      </c>
      <c r="B39" s="3" t="inlineStr">
        <is>
          <t>Joint details, rev 6 (added work only; base fabrication is in the sections above)</t>
        </is>
      </c>
      <c r="C39" s="3" t="inlineStr">
        <is>
          <t>Cut tubes per the cut list: mitre leg ends, slot leg tops 3/8 x 2.5, cope cage tubes (hole saw or notcher)</t>
        </is>
      </c>
      <c r="D39" s="3" t="n">
        <v>4</v>
      </c>
      <c r="E39" s="7" t="n">
        <v>300</v>
      </c>
    </row>
    <row r="40">
      <c r="A40" s="3" t="n">
        <v>36</v>
      </c>
      <c r="B40" s="3" t="inlineStr">
        <is>
          <t>Joint details, rev 6 (added work only; base fabrication is in the sections above)</t>
        </is>
      </c>
      <c r="C40" s="3" t="inlineStr">
        <is>
          <t>Weld the A-frame weldments in a jig: legs into peak plate, caps, crossbar, feet, gussets, clevis tabs</t>
        </is>
      </c>
      <c r="D40" s="3" t="n">
        <v>3</v>
      </c>
      <c r="E40" s="7" t="n">
        <v>250</v>
      </c>
    </row>
    <row r="41">
      <c r="A41" s="3" t="n">
        <v>37</v>
      </c>
      <c r="B41" s="3" t="inlineStr">
        <is>
          <t>Joint details, rev 6 (added work only; base fabrication is in the sections above)</t>
        </is>
      </c>
      <c r="C41" s="3" t="inlineStr">
        <is>
          <t>Build the engine-mount cradles and engine-side brackets; fit poly bushings and through-bolts</t>
        </is>
      </c>
      <c r="D41" s="3" t="n">
        <v>4</v>
      </c>
      <c r="E41" s="7" t="n">
        <v>350</v>
      </c>
    </row>
    <row r="42">
      <c r="A42" s="3" t="n">
        <v>38</v>
      </c>
      <c r="B42" s="3" t="inlineStr">
        <is>
          <t>Joint details, rev 6 (added work only; base fabrication is in the sections above)</t>
        </is>
      </c>
      <c r="C42" s="3" t="inlineStr">
        <is>
          <t>Fit braces with clevis bolts, tie struts, radiator mounts and stays, exhaust hangers and saddle</t>
        </is>
      </c>
      <c r="D42" s="3" t="n">
        <v>3</v>
      </c>
      <c r="E42" s="7" t="n">
        <v>250</v>
      </c>
    </row>
    <row r="43">
      <c r="A43" s="3" t="n">
        <v>39</v>
      </c>
      <c r="B43" s="3" t="inlineStr">
        <is>
          <t>Joint details, rev 6 (added work only; base fabrication is in the sections above)</t>
        </is>
      </c>
      <c r="C43" s="3" t="inlineStr">
        <is>
          <t>Cage: weld coped nodes, drill and bolt the steel pads over HDPE isolators; fit rudder pivots, rod ends, tie bar</t>
        </is>
      </c>
      <c r="D43" s="3" t="n">
        <v>3</v>
      </c>
      <c r="E43" s="7" t="n">
        <v>250</v>
      </c>
    </row>
    <row r="44">
      <c r="A44" s="3" t="n">
        <v>40</v>
      </c>
      <c r="B44" s="3" t="inlineStr">
        <is>
          <t>Joint details, rev 6 (added work only; base fabrication is in the sections above)</t>
        </is>
      </c>
      <c r="C44" s="3" t="inlineStr">
        <is>
          <t>Bench sockets, handle flanges, clips, battery tray, steering pivot, ladder feet, bow-shelf angles and padeyes</t>
        </is>
      </c>
      <c r="D44" s="3" t="n">
        <v>4</v>
      </c>
      <c r="E44" s="7" t="n">
        <v>300</v>
      </c>
    </row>
    <row r="45">
      <c r="A45" s="3" t="n">
        <v>41</v>
      </c>
      <c r="B45" s="3" t="inlineStr">
        <is>
          <t>Electrical, finish and testing</t>
        </is>
      </c>
      <c r="C45" s="3" t="inlineStr">
        <is>
          <t>Battery bay power: Group 31 AGM; 4 AWG fusible link and 1/0 red to the sealed main switch on the bench front (rubber gasket, studs inside the bay); 60 A MRBF and 6 AWG red to the 12-way hub, 6 AWG black return; 10 A MRBF at battery + for the bilge; 4 relays on the port wall, 2 dimmers on the starboard wall (see the wiring schematic)</t>
        </is>
      </c>
      <c r="D45" s="3" t="n">
        <v>10</v>
      </c>
      <c r="E45" s="7" t="n">
        <v>800</v>
      </c>
    </row>
    <row r="46">
      <c r="A46" s="3" t="n">
        <v>42</v>
      </c>
      <c r="B46" s="3" t="inlineStr">
        <is>
          <t>Electrical, finish and testing</t>
        </is>
      </c>
      <c r="C46" s="3" t="inlineStr">
        <is>
          <t>Build and fit the adjustable trim tab; rivet a 3/8 x 2 in 6061 flat bar inside the transom behind the tab bracket, from the bottom frame angle to the rub rail, and bolt the bracket through it</t>
        </is>
      </c>
      <c r="D46" s="3" t="n">
        <v>4</v>
      </c>
      <c r="E46" s="7" t="n">
        <v>300</v>
      </c>
    </row>
    <row r="47">
      <c r="A47" s="3" t="n">
        <v>43</v>
      </c>
      <c r="B47" s="3" t="inlineStr">
        <is>
          <t>Electrical, finish and testing</t>
        </is>
      </c>
      <c r="C47" s="3" t="inlineStr">
        <is>
          <t>Ground runs: tach sweep, belt tension and flap, cooling, vibration; re-torque all bolts</t>
        </is>
      </c>
      <c r="D47" s="3" t="n">
        <v>8</v>
      </c>
      <c r="E47" s="7" t="n">
        <v>650</v>
      </c>
    </row>
    <row r="48">
      <c r="A48" s="3" t="n">
        <v>44</v>
      </c>
      <c r="B48" s="3" t="inlineStr">
        <is>
          <t>Electrical, finish and testing</t>
        </is>
      </c>
      <c r="C48" s="3" t="inlineStr">
        <is>
          <t>Dock tests: float level, bilge pump, optional swamp test</t>
        </is>
      </c>
      <c r="D48" s="3" t="n">
        <v>4</v>
      </c>
      <c r="E48" s="7" t="n">
        <v>300</v>
      </c>
    </row>
    <row r="49">
      <c r="A49" s="3" t="n">
        <v>45</v>
      </c>
      <c r="B49" s="3" t="inlineStr">
        <is>
          <t>Electrical, finish and testing</t>
        </is>
      </c>
      <c r="C49" s="3" t="inlineStr">
        <is>
          <t>Water trials: trim tab and prop pitch setup, steering, planing two-up</t>
        </is>
      </c>
      <c r="D49" s="3" t="n">
        <v>8</v>
      </c>
      <c r="E49" s="7" t="n">
        <v>650</v>
      </c>
    </row>
    <row r="50">
      <c r="A50" s="3" t="n">
        <v>46</v>
      </c>
      <c r="B50" s="3" t="inlineStr">
        <is>
          <t>Electrical, finish and testing</t>
        </is>
      </c>
      <c r="C50" s="3" t="inlineStr">
        <is>
          <t>Registration, numbering, safety gear check</t>
        </is>
      </c>
      <c r="D50" s="3" t="n">
        <v>2</v>
      </c>
      <c r="E50" s="7" t="n">
        <v>150</v>
      </c>
    </row>
    <row r="51">
      <c r="A51" s="3" t="n">
        <v>47</v>
      </c>
      <c r="B51" s="3" t="inlineStr">
        <is>
          <t>Rev 7 additions: driver station, lights, searchlight, power, deck hardware, safety, electrical</t>
        </is>
      </c>
      <c r="C51" s="3" t="inlineStr">
        <is>
          <t>Driver side frame: cut and TIG-weld the two 2 x 2 posts, top rail, cross arms, 2 x 3 inner rail (posts, arms and rail all 3/16 wall), bowed 1-1/2 x .188 knee braces (roll to about 19 in radius), the inner rail stopping at the aft cross arm, the hinged armrest (aft 13 in of rail, lugs, U-bracket, 1/2 in pin, detent), diagonal and hull-side clips; bolt the base plates through the floor and the clips through backing plates (aft pair also through frame x96)</t>
        </is>
      </c>
      <c r="D51" s="3" t="n">
        <v>14</v>
      </c>
      <c r="E51" s="7" t="n">
        <v>1100</v>
      </c>
    </row>
    <row r="52">
      <c r="A52" s="3" t="n">
        <v>48</v>
      </c>
      <c r="B52" s="3" t="inlineStr">
        <is>
          <t>Rev 7 additions: driver station, lights, searchlight, power, deck hardware, safety, electrical</t>
        </is>
      </c>
      <c r="C52" s="3" t="inlineStr">
        <is>
          <t>Armrest pad and grip: bend the 1-1/8 in 316 stick and weld it to its 316 base plate; bolt the plate through the console top and the inner rail (4 x 1/4 316, crush tubes, Tef-Gel and a gasket; never weld stainless to the aluminium rail); fit the ball knob; set the armrest height (drv_armrest_h) and reach (drv_reach) to the driver</t>
        </is>
      </c>
      <c r="D52" s="3" t="n">
        <v>4</v>
      </c>
      <c r="E52" s="7" t="n">
        <v>300</v>
      </c>
    </row>
    <row r="53">
      <c r="A53" s="3" t="n">
        <v>49</v>
      </c>
      <c r="B53" s="3" t="inlineStr">
        <is>
          <t>Rev 7 additions: driver station, lights, searchlight, power, deck hardware, safety, electrical</t>
        </is>
      </c>
      <c r="C53" s="3" t="inlineStr">
        <is>
          <t>Console and dash: rivet the front and outboard skins to the frame (slots for the clips, grommet for the bow loom); fit the 1/8 in top; cut the arched panel and fold it up 66 deg on the fold line; fit tach (centre), temp and fuel either side, and the bottom row: kill lanyard, key, trouble light, NAV-OFF-ANCHOR rocker, two rotaries, USB, 12 V; fold and rivet the hood, screw it and the top down with tamper-proof Torx</t>
        </is>
      </c>
      <c r="D53" s="3" t="n">
        <v>14</v>
      </c>
      <c r="E53" s="7" t="n">
        <v>1100</v>
      </c>
    </row>
    <row r="54">
      <c r="A54" s="3" t="n">
        <v>50</v>
      </c>
      <c r="B54" s="3" t="inlineStr">
        <is>
          <t>Rev 7 additions: driver station, lights, searchlight, power, deck hardware, safety, electrical</t>
        </is>
      </c>
      <c r="C54" s="3" t="inlineStr">
        <is>
          <t>On the console top: drop-in cup holder by the grip, phone holder stalk at the front-inboard corner, both inclinometers (zero them with the boat level on calm water); rivet the life-jacket hook inside the outboard skin; pad both knee braces with 1 in closed-cell foam and the Cordura covers; rivet the 1/2 in fiddle rail (1/8 x 1-1/2 flat bar, top edges rounded) along the aft, inboard and forward edges of the console top</t>
        </is>
      </c>
      <c r="D54" s="3" t="n">
        <v>4</v>
      </c>
      <c r="E54" s="7" t="n">
        <v>300</v>
      </c>
    </row>
    <row r="55">
      <c r="A55" s="3" t="n">
        <v>51</v>
      </c>
      <c r="B55" s="3" t="inlineStr">
        <is>
          <t>Rev 7 additions: driver station, lights, searchlight, power, deck hardware, safety, electrical</t>
        </is>
      </c>
      <c r="C55" s="3" t="inlineStr">
        <is>
          <t>Cage light bar and searchlight: clamp the brackets over the front hoop, fit the turret and yoke, mount the remote control on the console top forward of the cup holder, run the two push-pull cables along the hull side, cage leg and front hoop; adjust so the handle and grip track the light</t>
        </is>
      </c>
      <c r="D55" s="3" t="n">
        <v>8</v>
      </c>
      <c r="E55" s="7" t="n">
        <v>650</v>
      </c>
    </row>
    <row r="56">
      <c r="A56" s="3" t="n">
        <v>52</v>
      </c>
      <c r="B56" s="3" t="inlineStr">
        <is>
          <t>Rev 7 additions: driver station, lights, searchlight, power, deck hardware, safety, electrical</t>
        </is>
      </c>
      <c r="C56" s="3" t="inlineStr">
        <is>
          <t>Throttle cable: run from the pedal anchor through glands in the bench walls and bulkhead, through the engine-guard grommet to the throttle body; leave a 6 in service loop in the bench</t>
        </is>
      </c>
      <c r="D56" s="3" t="n">
        <v>3</v>
      </c>
      <c r="E56" s="7" t="n">
        <v>250</v>
      </c>
    </row>
    <row r="57">
      <c r="A57" s="3" t="n">
        <v>53</v>
      </c>
      <c r="B57" s="3" t="inlineStr">
        <is>
          <t>Rev 7 additions: driver station, lights, searchlight, power, deck hardware, safety, electrical</t>
        </is>
      </c>
      <c r="C57" s="3" t="inlineStr">
        <is>
          <t>Deck hardware: weld the bow knees, bolt the four cleats (bow on the knees, stern on the transom corners), weld the bow-eye strap and fit the ring</t>
        </is>
      </c>
      <c r="D57" s="3" t="n">
        <v>4</v>
      </c>
      <c r="E57" s="7" t="n">
        <v>300</v>
      </c>
    </row>
    <row r="58">
      <c r="A58" s="3" t="n">
        <v>54</v>
      </c>
      <c r="B58" s="3" t="inlineStr">
        <is>
          <t>Rev 7 additions: driver station, lights, searchlight, power, deck hardware, safety, electrical</t>
        </is>
      </c>
      <c r="C58" s="3" t="inlineStr">
        <is>
          <t>Safety gear: B-1 extinguisher bracket (starboard) and air-horn bracket (port) on the bow shelf; apply the three swamped-boat warning labels (console top by the capacity label, inside each side of the bench) on clean, degreased aluminium</t>
        </is>
      </c>
      <c r="D58" s="3" t="n">
        <v>1.5</v>
      </c>
      <c r="E58" s="7" t="n">
        <v>100</v>
      </c>
    </row>
    <row r="59">
      <c r="A59" s="3" t="n">
        <v>55</v>
      </c>
      <c r="B59" s="3" t="inlineStr">
        <is>
          <t>Rev 7 additions: driver station, lights, searchlight, power, deck hardware, safety, electrical</t>
        </is>
      </c>
      <c r="C59" s="3" t="inlineStr">
        <is>
          <t>Engine harness: 1-1/2 in PVC conduit along the cooler bottom port corner (sealed through the bulkhead and aft wall); 1/0 red to the starter B+ and 1/0 black to the block ground stud, booted; 5/8 in engine loom (EFI, start, pump, tach, temp, trouble, bilge) to the DT12 + DTP2 engine connector; 3-hole guard grommet; bilge and float-switch branches with DT2s; fuel pump and filter on the port bed plate</t>
        </is>
      </c>
      <c r="D59" s="3" t="n">
        <v>10</v>
      </c>
      <c r="E59" s="7" t="n">
        <v>800</v>
      </c>
    </row>
    <row r="60">
      <c r="A60" s="3" t="n">
        <v>56</v>
      </c>
      <c r="B60" s="3" t="inlineStr">
        <is>
          <t>Rev 7 additions: driver station, lights, searchlight, power, deck hardware, safety, electrical</t>
        </is>
      </c>
      <c r="C60" s="3" t="inlineStr">
        <is>
          <t>Dash and lights harness: two PG13 glands in the bay starboard wall; dash loom and lights-power loom along the deck cable cover and up the aft post; dash loom under the console top and up through its grommet into the closed hood (dash and switch-row connectors); lights loom to the light bar, searchlight and stern light; DT/DTP connectors at every device</t>
        </is>
      </c>
      <c r="D60" s="3" t="n">
        <v>10</v>
      </c>
      <c r="E60" s="7" t="n">
        <v>800</v>
      </c>
    </row>
    <row r="61">
      <c r="A61" s="3" t="n">
        <v>57</v>
      </c>
      <c r="B61" s="3" t="inlineStr">
        <is>
          <t>Rev 7 additions: driver station, lights, searchlight, power, deck hardware, safety, electrical</t>
        </is>
      </c>
      <c r="C61" s="3" t="inlineStr">
        <is>
          <t>Nav lights, flag staff and fuel sender: bow combination light on its stanchion at the bow shelf front, all-round white on the 18 in mast on the aft hoop, bow loom under the starboard gunwale flange; flag-staff saddle and socket on the aft hoop 12 in port of the light, removable staff with the 12 x 10 in orange flag; electric sender in the tank with a DT2 at the tank front</t>
        </is>
      </c>
      <c r="D61" s="3" t="n">
        <v>5</v>
      </c>
      <c r="E61" s="7" t="n">
        <v>375</v>
      </c>
    </row>
    <row r="62">
      <c r="A62" s="3" t="n">
        <v>58</v>
      </c>
      <c r="B62" s="3" t="inlineStr">
        <is>
          <t>Rev 7 additions: driver station, lights, searchlight, power, deck hardware, safety, electrical</t>
        </is>
      </c>
      <c r="C62" s="3" t="inlineStr">
        <is>
          <t>Sound check: measure dBA at 50 ft at idle, cruise and full throttle before using noise-limited waters</t>
        </is>
      </c>
      <c r="D62" s="3" t="n">
        <v>2</v>
      </c>
      <c r="E62" s="7" t="n">
        <v>150</v>
      </c>
    </row>
    <row r="63">
      <c r="C63" s="4" t="inlineStr">
        <is>
          <t>Total per boat</t>
        </is>
      </c>
      <c r="D63" s="4">
        <f>SUM(D5:D62)</f>
        <v/>
      </c>
      <c r="E63" s="10">
        <f>SUM(E5:E62)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0" customWidth="1" min="3" max="3"/>
    <col width="22" customWidth="1" min="4" max="4"/>
    <col width="8" customWidth="1" min="5" max="5"/>
    <col width="12" customWidth="1" min="6" max="6"/>
    <col width="40" customWidth="1" min="7" max="7"/>
    <col width="14" customWidth="1" min="8" max="8"/>
  </cols>
  <sheetData>
    <row r="1">
      <c r="A1" s="1" t="inlineStr">
        <is>
          <t>Pledges</t>
        </is>
      </c>
    </row>
    <row r="2">
      <c r="A2" s="2" t="inlineStr">
        <is>
          <t>Who promised which step on which boat. A pledge can be to do the work or to pay a pro for it.</t>
        </is>
      </c>
    </row>
    <row r="4">
      <c r="A4" s="5" t="inlineStr">
        <is>
          <t>Boat</t>
        </is>
      </c>
      <c r="B4" s="5" t="inlineStr">
        <is>
          <t>Step</t>
        </is>
      </c>
      <c r="C4" s="5" t="inlineStr">
        <is>
          <t>Step</t>
        </is>
      </c>
      <c r="D4" s="5" t="inlineStr">
        <is>
          <t>Member</t>
        </is>
      </c>
      <c r="E4" s="5" t="inlineStr">
        <is>
          <t>Share</t>
        </is>
      </c>
      <c r="F4" s="5" t="inlineStr">
        <is>
          <t>Target date</t>
        </is>
      </c>
      <c r="G4" s="5" t="inlineStr">
        <is>
          <t>Notes</t>
        </is>
      </c>
      <c r="H4" s="5" t="inlineStr">
        <is>
          <t>Pledged value ($)</t>
        </is>
      </c>
    </row>
    <row r="5">
      <c r="A5" s="6" t="n">
        <v>1</v>
      </c>
      <c r="B5" s="6" t="n">
        <v>1</v>
      </c>
      <c r="C5" s="3">
        <f>IF(B5="","",IFERROR(INDEX(Steps!$C$5:$C$62,MATCH(B5,Steps!$A$5:$A$62,0)),""))</f>
        <v/>
      </c>
      <c r="D5" s="6" t="inlineStr">
        <is>
          <t>Alex (example)</t>
        </is>
      </c>
      <c r="E5" s="8" t="n">
        <v>1</v>
      </c>
      <c r="F5" s="9" t="n"/>
      <c r="G5" s="6" t="n"/>
      <c r="H5" s="11">
        <f>IF(OR(B5="",D5=""),0,N(IFERROR(INDEX(Steps!$E$5:$E$62,MATCH(B5,Steps!$A$5:$A$62,0)),""))*E5)</f>
        <v/>
      </c>
    </row>
    <row r="6">
      <c r="A6" s="6" t="n">
        <v>1</v>
      </c>
      <c r="B6" s="6" t="n">
        <v>2</v>
      </c>
      <c r="C6" s="3">
        <f>IF(B6="","",IFERROR(INDEX(Steps!$C$5:$C$62,MATCH(B6,Steps!$A$5:$A$62,0)),""))</f>
        <v/>
      </c>
      <c r="D6" s="6" t="inlineStr">
        <is>
          <t>Bea (example)</t>
        </is>
      </c>
      <c r="E6" s="8" t="n">
        <v>0.5</v>
      </c>
      <c r="F6" s="9" t="n"/>
      <c r="G6" s="6" t="n"/>
      <c r="H6" s="11">
        <f>IF(OR(B6="",D6=""),0,N(IFERROR(INDEX(Steps!$E$5:$E$62,MATCH(B6,Steps!$A$5:$A$62,0)),""))*E6)</f>
        <v/>
      </c>
    </row>
    <row r="7">
      <c r="A7" s="6" t="n">
        <v>1</v>
      </c>
      <c r="B7" s="6" t="n">
        <v>2</v>
      </c>
      <c r="C7" s="3">
        <f>IF(B7="","",IFERROR(INDEX(Steps!$C$5:$C$62,MATCH(B7,Steps!$A$5:$A$62,0)),""))</f>
        <v/>
      </c>
      <c r="D7" s="6" t="inlineStr">
        <is>
          <t>Cruz (example)</t>
        </is>
      </c>
      <c r="E7" s="8" t="n">
        <v>0.5</v>
      </c>
      <c r="F7" s="9" t="n"/>
      <c r="G7" s="6" t="n"/>
      <c r="H7" s="11">
        <f>IF(OR(B7="",D7=""),0,N(IFERROR(INDEX(Steps!$E$5:$E$62,MATCH(B7,Steps!$A$5:$A$62,0)),""))*E7)</f>
        <v/>
      </c>
    </row>
    <row r="8">
      <c r="A8" s="6" t="n">
        <v>1</v>
      </c>
      <c r="B8" s="6" t="n">
        <v>17</v>
      </c>
      <c r="C8" s="3">
        <f>IF(B8="","",IFERROR(INDEX(Steps!$C$5:$C$62,MATCH(B8,Steps!$A$5:$A$62,0)),""))</f>
        <v/>
      </c>
      <c r="D8" s="6" t="inlineStr">
        <is>
          <t>Dana (example)</t>
        </is>
      </c>
      <c r="E8" s="8" t="n">
        <v>1</v>
      </c>
      <c r="F8" s="9" t="n"/>
      <c r="G8" s="6" t="n"/>
      <c r="H8" s="11">
        <f>IF(OR(B8="",D8=""),0,N(IFERROR(INDEX(Steps!$E$5:$E$62,MATCH(B8,Steps!$A$5:$A$62,0)),""))*E8)</f>
        <v/>
      </c>
    </row>
    <row r="9">
      <c r="A9" s="6" t="n">
        <v>1</v>
      </c>
      <c r="B9" s="6" t="n">
        <v>9</v>
      </c>
      <c r="C9" s="3">
        <f>IF(B9="","",IFERROR(INDEX(Steps!$C$5:$C$62,MATCH(B9,Steps!$A$5:$A$62,0)),""))</f>
        <v/>
      </c>
      <c r="D9" s="6" t="inlineStr">
        <is>
          <t>Cruz (example)</t>
        </is>
      </c>
      <c r="E9" s="8" t="n">
        <v>1</v>
      </c>
      <c r="F9" s="9" t="n"/>
      <c r="G9" s="6" t="n"/>
      <c r="H9" s="11">
        <f>IF(OR(B9="",D9=""),0,N(IFERROR(INDEX(Steps!$E$5:$E$62,MATCH(B9,Steps!$A$5:$A$62,0)),""))*E9)</f>
        <v/>
      </c>
    </row>
    <row r="10">
      <c r="A10" s="6" t="n"/>
      <c r="B10" s="6" t="n"/>
      <c r="C10" s="3">
        <f>IF(B10="","",IFERROR(INDEX(Steps!$C$5:$C$62,MATCH(B10,Steps!$A$5:$A$62,0)),""))</f>
        <v/>
      </c>
      <c r="D10" s="6" t="n"/>
      <c r="E10" s="8" t="n"/>
      <c r="F10" s="9" t="n"/>
      <c r="G10" s="6" t="n"/>
      <c r="H10" s="11">
        <f>IF(OR(B10="",D10=""),0,N(IFERROR(INDEX(Steps!$E$5:$E$62,MATCH(B10,Steps!$A$5:$A$62,0)),""))*E10)</f>
        <v/>
      </c>
    </row>
    <row r="11">
      <c r="A11" s="6" t="n"/>
      <c r="B11" s="6" t="n"/>
      <c r="C11" s="3">
        <f>IF(B11="","",IFERROR(INDEX(Steps!$C$5:$C$62,MATCH(B11,Steps!$A$5:$A$62,0)),""))</f>
        <v/>
      </c>
      <c r="D11" s="6" t="n"/>
      <c r="E11" s="8" t="n"/>
      <c r="F11" s="9" t="n"/>
      <c r="G11" s="6" t="n"/>
      <c r="H11" s="11">
        <f>IF(OR(B11="",D11=""),0,N(IFERROR(INDEX(Steps!$E$5:$E$62,MATCH(B11,Steps!$A$5:$A$62,0)),""))*E11)</f>
        <v/>
      </c>
    </row>
    <row r="12">
      <c r="A12" s="6" t="n"/>
      <c r="B12" s="6" t="n"/>
      <c r="C12" s="3">
        <f>IF(B12="","",IFERROR(INDEX(Steps!$C$5:$C$62,MATCH(B12,Steps!$A$5:$A$62,0)),""))</f>
        <v/>
      </c>
      <c r="D12" s="6" t="n"/>
      <c r="E12" s="8" t="n"/>
      <c r="F12" s="9" t="n"/>
      <c r="G12" s="6" t="n"/>
      <c r="H12" s="11">
        <f>IF(OR(B12="",D12=""),0,N(IFERROR(INDEX(Steps!$E$5:$E$62,MATCH(B12,Steps!$A$5:$A$62,0)),""))*E12)</f>
        <v/>
      </c>
    </row>
    <row r="13">
      <c r="A13" s="6" t="n"/>
      <c r="B13" s="6" t="n"/>
      <c r="C13" s="3">
        <f>IF(B13="","",IFERROR(INDEX(Steps!$C$5:$C$62,MATCH(B13,Steps!$A$5:$A$62,0)),""))</f>
        <v/>
      </c>
      <c r="D13" s="6" t="n"/>
      <c r="E13" s="8" t="n"/>
      <c r="F13" s="9" t="n"/>
      <c r="G13" s="6" t="n"/>
      <c r="H13" s="11">
        <f>IF(OR(B13="",D13=""),0,N(IFERROR(INDEX(Steps!$E$5:$E$62,MATCH(B13,Steps!$A$5:$A$62,0)),""))*E13)</f>
        <v/>
      </c>
    </row>
    <row r="14">
      <c r="A14" s="6" t="n"/>
      <c r="B14" s="6" t="n"/>
      <c r="C14" s="3">
        <f>IF(B14="","",IFERROR(INDEX(Steps!$C$5:$C$62,MATCH(B14,Steps!$A$5:$A$62,0)),""))</f>
        <v/>
      </c>
      <c r="D14" s="6" t="n"/>
      <c r="E14" s="8" t="n"/>
      <c r="F14" s="9" t="n"/>
      <c r="G14" s="6" t="n"/>
      <c r="H14" s="11">
        <f>IF(OR(B14="",D14=""),0,N(IFERROR(INDEX(Steps!$E$5:$E$62,MATCH(B14,Steps!$A$5:$A$62,0)),""))*E14)</f>
        <v/>
      </c>
    </row>
    <row r="15">
      <c r="A15" s="6" t="n"/>
      <c r="B15" s="6" t="n"/>
      <c r="C15" s="3">
        <f>IF(B15="","",IFERROR(INDEX(Steps!$C$5:$C$62,MATCH(B15,Steps!$A$5:$A$62,0)),""))</f>
        <v/>
      </c>
      <c r="D15" s="6" t="n"/>
      <c r="E15" s="8" t="n"/>
      <c r="F15" s="9" t="n"/>
      <c r="G15" s="6" t="n"/>
      <c r="H15" s="11">
        <f>IF(OR(B15="",D15=""),0,N(IFERROR(INDEX(Steps!$E$5:$E$62,MATCH(B15,Steps!$A$5:$A$62,0)),""))*E15)</f>
        <v/>
      </c>
    </row>
    <row r="16">
      <c r="A16" s="6" t="n"/>
      <c r="B16" s="6" t="n"/>
      <c r="C16" s="3">
        <f>IF(B16="","",IFERROR(INDEX(Steps!$C$5:$C$62,MATCH(B16,Steps!$A$5:$A$62,0)),""))</f>
        <v/>
      </c>
      <c r="D16" s="6" t="n"/>
      <c r="E16" s="8" t="n"/>
      <c r="F16" s="9" t="n"/>
      <c r="G16" s="6" t="n"/>
      <c r="H16" s="11">
        <f>IF(OR(B16="",D16=""),0,N(IFERROR(INDEX(Steps!$E$5:$E$62,MATCH(B16,Steps!$A$5:$A$62,0)),""))*E16)</f>
        <v/>
      </c>
    </row>
    <row r="17">
      <c r="A17" s="6" t="n"/>
      <c r="B17" s="6" t="n"/>
      <c r="C17" s="3">
        <f>IF(B17="","",IFERROR(INDEX(Steps!$C$5:$C$62,MATCH(B17,Steps!$A$5:$A$62,0)),""))</f>
        <v/>
      </c>
      <c r="D17" s="6" t="n"/>
      <c r="E17" s="8" t="n"/>
      <c r="F17" s="9" t="n"/>
      <c r="G17" s="6" t="n"/>
      <c r="H17" s="11">
        <f>IF(OR(B17="",D17=""),0,N(IFERROR(INDEX(Steps!$E$5:$E$62,MATCH(B17,Steps!$A$5:$A$62,0)),""))*E17)</f>
        <v/>
      </c>
    </row>
    <row r="18">
      <c r="A18" s="6" t="n"/>
      <c r="B18" s="6" t="n"/>
      <c r="C18" s="3">
        <f>IF(B18="","",IFERROR(INDEX(Steps!$C$5:$C$62,MATCH(B18,Steps!$A$5:$A$62,0)),""))</f>
        <v/>
      </c>
      <c r="D18" s="6" t="n"/>
      <c r="E18" s="8" t="n"/>
      <c r="F18" s="9" t="n"/>
      <c r="G18" s="6" t="n"/>
      <c r="H18" s="11">
        <f>IF(OR(B18="",D18=""),0,N(IFERROR(INDEX(Steps!$E$5:$E$62,MATCH(B18,Steps!$A$5:$A$62,0)),""))*E18)</f>
        <v/>
      </c>
    </row>
    <row r="19">
      <c r="A19" s="6" t="n"/>
      <c r="B19" s="6" t="n"/>
      <c r="C19" s="3">
        <f>IF(B19="","",IFERROR(INDEX(Steps!$C$5:$C$62,MATCH(B19,Steps!$A$5:$A$62,0)),""))</f>
        <v/>
      </c>
      <c r="D19" s="6" t="n"/>
      <c r="E19" s="8" t="n"/>
      <c r="F19" s="9" t="n"/>
      <c r="G19" s="6" t="n"/>
      <c r="H19" s="11">
        <f>IF(OR(B19="",D19=""),0,N(IFERROR(INDEX(Steps!$E$5:$E$62,MATCH(B19,Steps!$A$5:$A$62,0)),""))*E19)</f>
        <v/>
      </c>
    </row>
    <row r="20">
      <c r="A20" s="6" t="n"/>
      <c r="B20" s="6" t="n"/>
      <c r="C20" s="3">
        <f>IF(B20="","",IFERROR(INDEX(Steps!$C$5:$C$62,MATCH(B20,Steps!$A$5:$A$62,0)),""))</f>
        <v/>
      </c>
      <c r="D20" s="6" t="n"/>
      <c r="E20" s="8" t="n"/>
      <c r="F20" s="9" t="n"/>
      <c r="G20" s="6" t="n"/>
      <c r="H20" s="11">
        <f>IF(OR(B20="",D20=""),0,N(IFERROR(INDEX(Steps!$E$5:$E$62,MATCH(B20,Steps!$A$5:$A$62,0)),""))*E20)</f>
        <v/>
      </c>
    </row>
    <row r="21">
      <c r="A21" s="6" t="n"/>
      <c r="B21" s="6" t="n"/>
      <c r="C21" s="3">
        <f>IF(B21="","",IFERROR(INDEX(Steps!$C$5:$C$62,MATCH(B21,Steps!$A$5:$A$62,0)),""))</f>
        <v/>
      </c>
      <c r="D21" s="6" t="n"/>
      <c r="E21" s="8" t="n"/>
      <c r="F21" s="9" t="n"/>
      <c r="G21" s="6" t="n"/>
      <c r="H21" s="11">
        <f>IF(OR(B21="",D21=""),0,N(IFERROR(INDEX(Steps!$E$5:$E$62,MATCH(B21,Steps!$A$5:$A$62,0)),""))*E21)</f>
        <v/>
      </c>
    </row>
    <row r="22">
      <c r="A22" s="6" t="n"/>
      <c r="B22" s="6" t="n"/>
      <c r="C22" s="3">
        <f>IF(B22="","",IFERROR(INDEX(Steps!$C$5:$C$62,MATCH(B22,Steps!$A$5:$A$62,0)),""))</f>
        <v/>
      </c>
      <c r="D22" s="6" t="n"/>
      <c r="E22" s="8" t="n"/>
      <c r="F22" s="9" t="n"/>
      <c r="G22" s="6" t="n"/>
      <c r="H22" s="11">
        <f>IF(OR(B22="",D22=""),0,N(IFERROR(INDEX(Steps!$E$5:$E$62,MATCH(B22,Steps!$A$5:$A$62,0)),""))*E22)</f>
        <v/>
      </c>
    </row>
    <row r="23">
      <c r="A23" s="6" t="n"/>
      <c r="B23" s="6" t="n"/>
      <c r="C23" s="3">
        <f>IF(B23="","",IFERROR(INDEX(Steps!$C$5:$C$62,MATCH(B23,Steps!$A$5:$A$62,0)),""))</f>
        <v/>
      </c>
      <c r="D23" s="6" t="n"/>
      <c r="E23" s="8" t="n"/>
      <c r="F23" s="9" t="n"/>
      <c r="G23" s="6" t="n"/>
      <c r="H23" s="11">
        <f>IF(OR(B23="",D23=""),0,N(IFERROR(INDEX(Steps!$E$5:$E$62,MATCH(B23,Steps!$A$5:$A$62,0)),""))*E23)</f>
        <v/>
      </c>
    </row>
    <row r="24">
      <c r="A24" s="6" t="n"/>
      <c r="B24" s="6" t="n"/>
      <c r="C24" s="3">
        <f>IF(B24="","",IFERROR(INDEX(Steps!$C$5:$C$62,MATCH(B24,Steps!$A$5:$A$62,0)),""))</f>
        <v/>
      </c>
      <c r="D24" s="6" t="n"/>
      <c r="E24" s="8" t="n"/>
      <c r="F24" s="9" t="n"/>
      <c r="G24" s="6" t="n"/>
      <c r="H24" s="11">
        <f>IF(OR(B24="",D24=""),0,N(IFERROR(INDEX(Steps!$E$5:$E$62,MATCH(B24,Steps!$A$5:$A$62,0)),""))*E24)</f>
        <v/>
      </c>
    </row>
    <row r="25">
      <c r="A25" s="6" t="n"/>
      <c r="B25" s="6" t="n"/>
      <c r="C25" s="3">
        <f>IF(B25="","",IFERROR(INDEX(Steps!$C$5:$C$62,MATCH(B25,Steps!$A$5:$A$62,0)),""))</f>
        <v/>
      </c>
      <c r="D25" s="6" t="n"/>
      <c r="E25" s="8" t="n"/>
      <c r="F25" s="9" t="n"/>
      <c r="G25" s="6" t="n"/>
      <c r="H25" s="11">
        <f>IF(OR(B25="",D25=""),0,N(IFERROR(INDEX(Steps!$E$5:$E$62,MATCH(B25,Steps!$A$5:$A$62,0)),""))*E25)</f>
        <v/>
      </c>
    </row>
    <row r="26">
      <c r="A26" s="6" t="n"/>
      <c r="B26" s="6" t="n"/>
      <c r="C26" s="3">
        <f>IF(B26="","",IFERROR(INDEX(Steps!$C$5:$C$62,MATCH(B26,Steps!$A$5:$A$62,0)),""))</f>
        <v/>
      </c>
      <c r="D26" s="6" t="n"/>
      <c r="E26" s="8" t="n"/>
      <c r="F26" s="9" t="n"/>
      <c r="G26" s="6" t="n"/>
      <c r="H26" s="11">
        <f>IF(OR(B26="",D26=""),0,N(IFERROR(INDEX(Steps!$E$5:$E$62,MATCH(B26,Steps!$A$5:$A$62,0)),""))*E26)</f>
        <v/>
      </c>
    </row>
    <row r="27">
      <c r="A27" s="6" t="n"/>
      <c r="B27" s="6" t="n"/>
      <c r="C27" s="3">
        <f>IF(B27="","",IFERROR(INDEX(Steps!$C$5:$C$62,MATCH(B27,Steps!$A$5:$A$62,0)),""))</f>
        <v/>
      </c>
      <c r="D27" s="6" t="n"/>
      <c r="E27" s="8" t="n"/>
      <c r="F27" s="9" t="n"/>
      <c r="G27" s="6" t="n"/>
      <c r="H27" s="11">
        <f>IF(OR(B27="",D27=""),0,N(IFERROR(INDEX(Steps!$E$5:$E$62,MATCH(B27,Steps!$A$5:$A$62,0)),""))*E27)</f>
        <v/>
      </c>
    </row>
    <row r="28">
      <c r="A28" s="6" t="n"/>
      <c r="B28" s="6" t="n"/>
      <c r="C28" s="3">
        <f>IF(B28="","",IFERROR(INDEX(Steps!$C$5:$C$62,MATCH(B28,Steps!$A$5:$A$62,0)),""))</f>
        <v/>
      </c>
      <c r="D28" s="6" t="n"/>
      <c r="E28" s="8" t="n"/>
      <c r="F28" s="9" t="n"/>
      <c r="G28" s="6" t="n"/>
      <c r="H28" s="11">
        <f>IF(OR(B28="",D28=""),0,N(IFERROR(INDEX(Steps!$E$5:$E$62,MATCH(B28,Steps!$A$5:$A$62,0)),""))*E28)</f>
        <v/>
      </c>
    </row>
    <row r="29">
      <c r="A29" s="6" t="n"/>
      <c r="B29" s="6" t="n"/>
      <c r="C29" s="3">
        <f>IF(B29="","",IFERROR(INDEX(Steps!$C$5:$C$62,MATCH(B29,Steps!$A$5:$A$62,0)),""))</f>
        <v/>
      </c>
      <c r="D29" s="6" t="n"/>
      <c r="E29" s="8" t="n"/>
      <c r="F29" s="9" t="n"/>
      <c r="G29" s="6" t="n"/>
      <c r="H29" s="11">
        <f>IF(OR(B29="",D29=""),0,N(IFERROR(INDEX(Steps!$E$5:$E$62,MATCH(B29,Steps!$A$5:$A$62,0)),""))*E29)</f>
        <v/>
      </c>
    </row>
    <row r="30">
      <c r="A30" s="6" t="n"/>
      <c r="B30" s="6" t="n"/>
      <c r="C30" s="3">
        <f>IF(B30="","",IFERROR(INDEX(Steps!$C$5:$C$62,MATCH(B30,Steps!$A$5:$A$62,0)),""))</f>
        <v/>
      </c>
      <c r="D30" s="6" t="n"/>
      <c r="E30" s="8" t="n"/>
      <c r="F30" s="9" t="n"/>
      <c r="G30" s="6" t="n"/>
      <c r="H30" s="11">
        <f>IF(OR(B30="",D30=""),0,N(IFERROR(INDEX(Steps!$E$5:$E$62,MATCH(B30,Steps!$A$5:$A$62,0)),""))*E30)</f>
        <v/>
      </c>
    </row>
    <row r="31">
      <c r="A31" s="6" t="n"/>
      <c r="B31" s="6" t="n"/>
      <c r="C31" s="3">
        <f>IF(B31="","",IFERROR(INDEX(Steps!$C$5:$C$62,MATCH(B31,Steps!$A$5:$A$62,0)),""))</f>
        <v/>
      </c>
      <c r="D31" s="6" t="n"/>
      <c r="E31" s="8" t="n"/>
      <c r="F31" s="9" t="n"/>
      <c r="G31" s="6" t="n"/>
      <c r="H31" s="11">
        <f>IF(OR(B31="",D31=""),0,N(IFERROR(INDEX(Steps!$E$5:$E$62,MATCH(B31,Steps!$A$5:$A$62,0)),""))*E31)</f>
        <v/>
      </c>
    </row>
    <row r="32">
      <c r="A32" s="6" t="n"/>
      <c r="B32" s="6" t="n"/>
      <c r="C32" s="3">
        <f>IF(B32="","",IFERROR(INDEX(Steps!$C$5:$C$62,MATCH(B32,Steps!$A$5:$A$62,0)),""))</f>
        <v/>
      </c>
      <c r="D32" s="6" t="n"/>
      <c r="E32" s="8" t="n"/>
      <c r="F32" s="9" t="n"/>
      <c r="G32" s="6" t="n"/>
      <c r="H32" s="11">
        <f>IF(OR(B32="",D32=""),0,N(IFERROR(INDEX(Steps!$E$5:$E$62,MATCH(B32,Steps!$A$5:$A$62,0)),""))*E32)</f>
        <v/>
      </c>
    </row>
    <row r="33">
      <c r="A33" s="6" t="n"/>
      <c r="B33" s="6" t="n"/>
      <c r="C33" s="3">
        <f>IF(B33="","",IFERROR(INDEX(Steps!$C$5:$C$62,MATCH(B33,Steps!$A$5:$A$62,0)),""))</f>
        <v/>
      </c>
      <c r="D33" s="6" t="n"/>
      <c r="E33" s="8" t="n"/>
      <c r="F33" s="9" t="n"/>
      <c r="G33" s="6" t="n"/>
      <c r="H33" s="11">
        <f>IF(OR(B33="",D33=""),0,N(IFERROR(INDEX(Steps!$E$5:$E$62,MATCH(B33,Steps!$A$5:$A$62,0)),""))*E33)</f>
        <v/>
      </c>
    </row>
    <row r="34">
      <c r="A34" s="6" t="n"/>
      <c r="B34" s="6" t="n"/>
      <c r="C34" s="3">
        <f>IF(B34="","",IFERROR(INDEX(Steps!$C$5:$C$62,MATCH(B34,Steps!$A$5:$A$62,0)),""))</f>
        <v/>
      </c>
      <c r="D34" s="6" t="n"/>
      <c r="E34" s="8" t="n"/>
      <c r="F34" s="9" t="n"/>
      <c r="G34" s="6" t="n"/>
      <c r="H34" s="11">
        <f>IF(OR(B34="",D34=""),0,N(IFERROR(INDEX(Steps!$E$5:$E$62,MATCH(B34,Steps!$A$5:$A$62,0)),""))*E34)</f>
        <v/>
      </c>
    </row>
    <row r="35">
      <c r="A35" s="6" t="n"/>
      <c r="B35" s="6" t="n"/>
      <c r="C35" s="3">
        <f>IF(B35="","",IFERROR(INDEX(Steps!$C$5:$C$62,MATCH(B35,Steps!$A$5:$A$62,0)),""))</f>
        <v/>
      </c>
      <c r="D35" s="6" t="n"/>
      <c r="E35" s="8" t="n"/>
      <c r="F35" s="9" t="n"/>
      <c r="G35" s="6" t="n"/>
      <c r="H35" s="11">
        <f>IF(OR(B35="",D35=""),0,N(IFERROR(INDEX(Steps!$E$5:$E$62,MATCH(B35,Steps!$A$5:$A$62,0)),""))*E35)</f>
        <v/>
      </c>
    </row>
    <row r="36">
      <c r="A36" s="6" t="n"/>
      <c r="B36" s="6" t="n"/>
      <c r="C36" s="3">
        <f>IF(B36="","",IFERROR(INDEX(Steps!$C$5:$C$62,MATCH(B36,Steps!$A$5:$A$62,0)),""))</f>
        <v/>
      </c>
      <c r="D36" s="6" t="n"/>
      <c r="E36" s="8" t="n"/>
      <c r="F36" s="9" t="n"/>
      <c r="G36" s="6" t="n"/>
      <c r="H36" s="11">
        <f>IF(OR(B36="",D36=""),0,N(IFERROR(INDEX(Steps!$E$5:$E$62,MATCH(B36,Steps!$A$5:$A$62,0)),""))*E36)</f>
        <v/>
      </c>
    </row>
    <row r="37">
      <c r="A37" s="6" t="n"/>
      <c r="B37" s="6" t="n"/>
      <c r="C37" s="3">
        <f>IF(B37="","",IFERROR(INDEX(Steps!$C$5:$C$62,MATCH(B37,Steps!$A$5:$A$62,0)),""))</f>
        <v/>
      </c>
      <c r="D37" s="6" t="n"/>
      <c r="E37" s="8" t="n"/>
      <c r="F37" s="9" t="n"/>
      <c r="G37" s="6" t="n"/>
      <c r="H37" s="11">
        <f>IF(OR(B37="",D37=""),0,N(IFERROR(INDEX(Steps!$E$5:$E$62,MATCH(B37,Steps!$A$5:$A$62,0)),""))*E37)</f>
        <v/>
      </c>
    </row>
    <row r="38">
      <c r="A38" s="6" t="n"/>
      <c r="B38" s="6" t="n"/>
      <c r="C38" s="3">
        <f>IF(B38="","",IFERROR(INDEX(Steps!$C$5:$C$62,MATCH(B38,Steps!$A$5:$A$62,0)),""))</f>
        <v/>
      </c>
      <c r="D38" s="6" t="n"/>
      <c r="E38" s="8" t="n"/>
      <c r="F38" s="9" t="n"/>
      <c r="G38" s="6" t="n"/>
      <c r="H38" s="11">
        <f>IF(OR(B38="",D38=""),0,N(IFERROR(INDEX(Steps!$E$5:$E$62,MATCH(B38,Steps!$A$5:$A$62,0)),""))*E38)</f>
        <v/>
      </c>
    </row>
    <row r="39">
      <c r="A39" s="6" t="n"/>
      <c r="B39" s="6" t="n"/>
      <c r="C39" s="3">
        <f>IF(B39="","",IFERROR(INDEX(Steps!$C$5:$C$62,MATCH(B39,Steps!$A$5:$A$62,0)),""))</f>
        <v/>
      </c>
      <c r="D39" s="6" t="n"/>
      <c r="E39" s="8" t="n"/>
      <c r="F39" s="9" t="n"/>
      <c r="G39" s="6" t="n"/>
      <c r="H39" s="11">
        <f>IF(OR(B39="",D39=""),0,N(IFERROR(INDEX(Steps!$E$5:$E$62,MATCH(B39,Steps!$A$5:$A$62,0)),""))*E39)</f>
        <v/>
      </c>
    </row>
    <row r="40">
      <c r="A40" s="6" t="n"/>
      <c r="B40" s="6" t="n"/>
      <c r="C40" s="3">
        <f>IF(B40="","",IFERROR(INDEX(Steps!$C$5:$C$62,MATCH(B40,Steps!$A$5:$A$62,0)),""))</f>
        <v/>
      </c>
      <c r="D40" s="6" t="n"/>
      <c r="E40" s="8" t="n"/>
      <c r="F40" s="9" t="n"/>
      <c r="G40" s="6" t="n"/>
      <c r="H40" s="11">
        <f>IF(OR(B40="",D40=""),0,N(IFERROR(INDEX(Steps!$E$5:$E$62,MATCH(B40,Steps!$A$5:$A$62,0)),""))*E40)</f>
        <v/>
      </c>
    </row>
    <row r="41">
      <c r="A41" s="6" t="n"/>
      <c r="B41" s="6" t="n"/>
      <c r="C41" s="3">
        <f>IF(B41="","",IFERROR(INDEX(Steps!$C$5:$C$62,MATCH(B41,Steps!$A$5:$A$62,0)),""))</f>
        <v/>
      </c>
      <c r="D41" s="6" t="n"/>
      <c r="E41" s="8" t="n"/>
      <c r="F41" s="9" t="n"/>
      <c r="G41" s="6" t="n"/>
      <c r="H41" s="11">
        <f>IF(OR(B41="",D41=""),0,N(IFERROR(INDEX(Steps!$E$5:$E$62,MATCH(B41,Steps!$A$5:$A$62,0)),""))*E41)</f>
        <v/>
      </c>
    </row>
    <row r="42">
      <c r="A42" s="6" t="n"/>
      <c r="B42" s="6" t="n"/>
      <c r="C42" s="3">
        <f>IF(B42="","",IFERROR(INDEX(Steps!$C$5:$C$62,MATCH(B42,Steps!$A$5:$A$62,0)),""))</f>
        <v/>
      </c>
      <c r="D42" s="6" t="n"/>
      <c r="E42" s="8" t="n"/>
      <c r="F42" s="9" t="n"/>
      <c r="G42" s="6" t="n"/>
      <c r="H42" s="11">
        <f>IF(OR(B42="",D42=""),0,N(IFERROR(INDEX(Steps!$E$5:$E$62,MATCH(B42,Steps!$A$5:$A$62,0)),""))*E42)</f>
        <v/>
      </c>
    </row>
    <row r="43">
      <c r="A43" s="6" t="n"/>
      <c r="B43" s="6" t="n"/>
      <c r="C43" s="3">
        <f>IF(B43="","",IFERROR(INDEX(Steps!$C$5:$C$62,MATCH(B43,Steps!$A$5:$A$62,0)),""))</f>
        <v/>
      </c>
      <c r="D43" s="6" t="n"/>
      <c r="E43" s="8" t="n"/>
      <c r="F43" s="9" t="n"/>
      <c r="G43" s="6" t="n"/>
      <c r="H43" s="11">
        <f>IF(OR(B43="",D43=""),0,N(IFERROR(INDEX(Steps!$E$5:$E$62,MATCH(B43,Steps!$A$5:$A$62,0)),""))*E43)</f>
        <v/>
      </c>
    </row>
    <row r="44">
      <c r="A44" s="6" t="n"/>
      <c r="B44" s="6" t="n"/>
      <c r="C44" s="3">
        <f>IF(B44="","",IFERROR(INDEX(Steps!$C$5:$C$62,MATCH(B44,Steps!$A$5:$A$62,0)),""))</f>
        <v/>
      </c>
      <c r="D44" s="6" t="n"/>
      <c r="E44" s="8" t="n"/>
      <c r="F44" s="9" t="n"/>
      <c r="G44" s="6" t="n"/>
      <c r="H44" s="11">
        <f>IF(OR(B44="",D44=""),0,N(IFERROR(INDEX(Steps!$E$5:$E$62,MATCH(B44,Steps!$A$5:$A$62,0)),""))*E44)</f>
        <v/>
      </c>
    </row>
    <row r="45">
      <c r="A45" s="6" t="n"/>
      <c r="B45" s="6" t="n"/>
      <c r="C45" s="3">
        <f>IF(B45="","",IFERROR(INDEX(Steps!$C$5:$C$62,MATCH(B45,Steps!$A$5:$A$62,0)),""))</f>
        <v/>
      </c>
      <c r="D45" s="6" t="n"/>
      <c r="E45" s="8" t="n"/>
      <c r="F45" s="9" t="n"/>
      <c r="G45" s="6" t="n"/>
      <c r="H45" s="11">
        <f>IF(OR(B45="",D45=""),0,N(IFERROR(INDEX(Steps!$E$5:$E$62,MATCH(B45,Steps!$A$5:$A$62,0)),""))*E45)</f>
        <v/>
      </c>
    </row>
    <row r="46">
      <c r="A46" s="6" t="n"/>
      <c r="B46" s="6" t="n"/>
      <c r="C46" s="3">
        <f>IF(B46="","",IFERROR(INDEX(Steps!$C$5:$C$62,MATCH(B46,Steps!$A$5:$A$62,0)),""))</f>
        <v/>
      </c>
      <c r="D46" s="6" t="n"/>
      <c r="E46" s="8" t="n"/>
      <c r="F46" s="9" t="n"/>
      <c r="G46" s="6" t="n"/>
      <c r="H46" s="11">
        <f>IF(OR(B46="",D46=""),0,N(IFERROR(INDEX(Steps!$E$5:$E$62,MATCH(B46,Steps!$A$5:$A$62,0)),""))*E46)</f>
        <v/>
      </c>
    </row>
    <row r="47">
      <c r="A47" s="6" t="n"/>
      <c r="B47" s="6" t="n"/>
      <c r="C47" s="3">
        <f>IF(B47="","",IFERROR(INDEX(Steps!$C$5:$C$62,MATCH(B47,Steps!$A$5:$A$62,0)),""))</f>
        <v/>
      </c>
      <c r="D47" s="6" t="n"/>
      <c r="E47" s="8" t="n"/>
      <c r="F47" s="9" t="n"/>
      <c r="G47" s="6" t="n"/>
      <c r="H47" s="11">
        <f>IF(OR(B47="",D47=""),0,N(IFERROR(INDEX(Steps!$E$5:$E$62,MATCH(B47,Steps!$A$5:$A$62,0)),""))*E47)</f>
        <v/>
      </c>
    </row>
    <row r="48">
      <c r="A48" s="6" t="n"/>
      <c r="B48" s="6" t="n"/>
      <c r="C48" s="3">
        <f>IF(B48="","",IFERROR(INDEX(Steps!$C$5:$C$62,MATCH(B48,Steps!$A$5:$A$62,0)),""))</f>
        <v/>
      </c>
      <c r="D48" s="6" t="n"/>
      <c r="E48" s="8" t="n"/>
      <c r="F48" s="9" t="n"/>
      <c r="G48" s="6" t="n"/>
      <c r="H48" s="11">
        <f>IF(OR(B48="",D48=""),0,N(IFERROR(INDEX(Steps!$E$5:$E$62,MATCH(B48,Steps!$A$5:$A$62,0)),""))*E48)</f>
        <v/>
      </c>
    </row>
    <row r="49">
      <c r="A49" s="6" t="n"/>
      <c r="B49" s="6" t="n"/>
      <c r="C49" s="3">
        <f>IF(B49="","",IFERROR(INDEX(Steps!$C$5:$C$62,MATCH(B49,Steps!$A$5:$A$62,0)),""))</f>
        <v/>
      </c>
      <c r="D49" s="6" t="n"/>
      <c r="E49" s="8" t="n"/>
      <c r="F49" s="9" t="n"/>
      <c r="G49" s="6" t="n"/>
      <c r="H49" s="11">
        <f>IF(OR(B49="",D49=""),0,N(IFERROR(INDEX(Steps!$E$5:$E$62,MATCH(B49,Steps!$A$5:$A$62,0)),""))*E49)</f>
        <v/>
      </c>
    </row>
    <row r="50">
      <c r="A50" s="6" t="n"/>
      <c r="B50" s="6" t="n"/>
      <c r="C50" s="3">
        <f>IF(B50="","",IFERROR(INDEX(Steps!$C$5:$C$62,MATCH(B50,Steps!$A$5:$A$62,0)),""))</f>
        <v/>
      </c>
      <c r="D50" s="6" t="n"/>
      <c r="E50" s="8" t="n"/>
      <c r="F50" s="9" t="n"/>
      <c r="G50" s="6" t="n"/>
      <c r="H50" s="11">
        <f>IF(OR(B50="",D50=""),0,N(IFERROR(INDEX(Steps!$E$5:$E$62,MATCH(B50,Steps!$A$5:$A$62,0)),""))*E50)</f>
        <v/>
      </c>
    </row>
    <row r="51">
      <c r="A51" s="6" t="n"/>
      <c r="B51" s="6" t="n"/>
      <c r="C51" s="3">
        <f>IF(B51="","",IFERROR(INDEX(Steps!$C$5:$C$62,MATCH(B51,Steps!$A$5:$A$62,0)),""))</f>
        <v/>
      </c>
      <c r="D51" s="6" t="n"/>
      <c r="E51" s="8" t="n"/>
      <c r="F51" s="9" t="n"/>
      <c r="G51" s="6" t="n"/>
      <c r="H51" s="11">
        <f>IF(OR(B51="",D51=""),0,N(IFERROR(INDEX(Steps!$E$5:$E$62,MATCH(B51,Steps!$A$5:$A$62,0)),""))*E51)</f>
        <v/>
      </c>
    </row>
    <row r="52">
      <c r="A52" s="6" t="n"/>
      <c r="B52" s="6" t="n"/>
      <c r="C52" s="3">
        <f>IF(B52="","",IFERROR(INDEX(Steps!$C$5:$C$62,MATCH(B52,Steps!$A$5:$A$62,0)),""))</f>
        <v/>
      </c>
      <c r="D52" s="6" t="n"/>
      <c r="E52" s="8" t="n"/>
      <c r="F52" s="9" t="n"/>
      <c r="G52" s="6" t="n"/>
      <c r="H52" s="11">
        <f>IF(OR(B52="",D52=""),0,N(IFERROR(INDEX(Steps!$E$5:$E$62,MATCH(B52,Steps!$A$5:$A$62,0)),""))*E52)</f>
        <v/>
      </c>
    </row>
    <row r="53">
      <c r="A53" s="6" t="n"/>
      <c r="B53" s="6" t="n"/>
      <c r="C53" s="3">
        <f>IF(B53="","",IFERROR(INDEX(Steps!$C$5:$C$62,MATCH(B53,Steps!$A$5:$A$62,0)),""))</f>
        <v/>
      </c>
      <c r="D53" s="6" t="n"/>
      <c r="E53" s="8" t="n"/>
      <c r="F53" s="9" t="n"/>
      <c r="G53" s="6" t="n"/>
      <c r="H53" s="11">
        <f>IF(OR(B53="",D53=""),0,N(IFERROR(INDEX(Steps!$E$5:$E$62,MATCH(B53,Steps!$A$5:$A$62,0)),""))*E53)</f>
        <v/>
      </c>
    </row>
    <row r="54">
      <c r="A54" s="6" t="n"/>
      <c r="B54" s="6" t="n"/>
      <c r="C54" s="3">
        <f>IF(B54="","",IFERROR(INDEX(Steps!$C$5:$C$62,MATCH(B54,Steps!$A$5:$A$62,0)),""))</f>
        <v/>
      </c>
      <c r="D54" s="6" t="n"/>
      <c r="E54" s="8" t="n"/>
      <c r="F54" s="9" t="n"/>
      <c r="G54" s="6" t="n"/>
      <c r="H54" s="11">
        <f>IF(OR(B54="",D54=""),0,N(IFERROR(INDEX(Steps!$E$5:$E$62,MATCH(B54,Steps!$A$5:$A$62,0)),""))*E54)</f>
        <v/>
      </c>
    </row>
    <row r="55">
      <c r="A55" s="6" t="n"/>
      <c r="B55" s="6" t="n"/>
      <c r="C55" s="3">
        <f>IF(B55="","",IFERROR(INDEX(Steps!$C$5:$C$62,MATCH(B55,Steps!$A$5:$A$62,0)),""))</f>
        <v/>
      </c>
      <c r="D55" s="6" t="n"/>
      <c r="E55" s="8" t="n"/>
      <c r="F55" s="9" t="n"/>
      <c r="G55" s="6" t="n"/>
      <c r="H55" s="11">
        <f>IF(OR(B55="",D55=""),0,N(IFERROR(INDEX(Steps!$E$5:$E$62,MATCH(B55,Steps!$A$5:$A$62,0)),""))*E55)</f>
        <v/>
      </c>
    </row>
    <row r="56">
      <c r="A56" s="6" t="n"/>
      <c r="B56" s="6" t="n"/>
      <c r="C56" s="3">
        <f>IF(B56="","",IFERROR(INDEX(Steps!$C$5:$C$62,MATCH(B56,Steps!$A$5:$A$62,0)),""))</f>
        <v/>
      </c>
      <c r="D56" s="6" t="n"/>
      <c r="E56" s="8" t="n"/>
      <c r="F56" s="9" t="n"/>
      <c r="G56" s="6" t="n"/>
      <c r="H56" s="11">
        <f>IF(OR(B56="",D56=""),0,N(IFERROR(INDEX(Steps!$E$5:$E$62,MATCH(B56,Steps!$A$5:$A$62,0)),""))*E56)</f>
        <v/>
      </c>
    </row>
    <row r="57">
      <c r="A57" s="6" t="n"/>
      <c r="B57" s="6" t="n"/>
      <c r="C57" s="3">
        <f>IF(B57="","",IFERROR(INDEX(Steps!$C$5:$C$62,MATCH(B57,Steps!$A$5:$A$62,0)),""))</f>
        <v/>
      </c>
      <c r="D57" s="6" t="n"/>
      <c r="E57" s="8" t="n"/>
      <c r="F57" s="9" t="n"/>
      <c r="G57" s="6" t="n"/>
      <c r="H57" s="11">
        <f>IF(OR(B57="",D57=""),0,N(IFERROR(INDEX(Steps!$E$5:$E$62,MATCH(B57,Steps!$A$5:$A$62,0)),""))*E57)</f>
        <v/>
      </c>
    </row>
    <row r="58">
      <c r="A58" s="6" t="n"/>
      <c r="B58" s="6" t="n"/>
      <c r="C58" s="3">
        <f>IF(B58="","",IFERROR(INDEX(Steps!$C$5:$C$62,MATCH(B58,Steps!$A$5:$A$62,0)),""))</f>
        <v/>
      </c>
      <c r="D58" s="6" t="n"/>
      <c r="E58" s="8" t="n"/>
      <c r="F58" s="9" t="n"/>
      <c r="G58" s="6" t="n"/>
      <c r="H58" s="11">
        <f>IF(OR(B58="",D58=""),0,N(IFERROR(INDEX(Steps!$E$5:$E$62,MATCH(B58,Steps!$A$5:$A$62,0)),""))*E58)</f>
        <v/>
      </c>
    </row>
    <row r="59">
      <c r="A59" s="6" t="n"/>
      <c r="B59" s="6" t="n"/>
      <c r="C59" s="3">
        <f>IF(B59="","",IFERROR(INDEX(Steps!$C$5:$C$62,MATCH(B59,Steps!$A$5:$A$62,0)),""))</f>
        <v/>
      </c>
      <c r="D59" s="6" t="n"/>
      <c r="E59" s="8" t="n"/>
      <c r="F59" s="9" t="n"/>
      <c r="G59" s="6" t="n"/>
      <c r="H59" s="11">
        <f>IF(OR(B59="",D59=""),0,N(IFERROR(INDEX(Steps!$E$5:$E$62,MATCH(B59,Steps!$A$5:$A$62,0)),""))*E59)</f>
        <v/>
      </c>
    </row>
    <row r="60">
      <c r="A60" s="6" t="n"/>
      <c r="B60" s="6" t="n"/>
      <c r="C60" s="3">
        <f>IF(B60="","",IFERROR(INDEX(Steps!$C$5:$C$62,MATCH(B60,Steps!$A$5:$A$62,0)),""))</f>
        <v/>
      </c>
      <c r="D60" s="6" t="n"/>
      <c r="E60" s="8" t="n"/>
      <c r="F60" s="9" t="n"/>
      <c r="G60" s="6" t="n"/>
      <c r="H60" s="11">
        <f>IF(OR(B60="",D60=""),0,N(IFERROR(INDEX(Steps!$E$5:$E$62,MATCH(B60,Steps!$A$5:$A$62,0)),""))*E60)</f>
        <v/>
      </c>
    </row>
    <row r="61">
      <c r="A61" s="6" t="n"/>
      <c r="B61" s="6" t="n"/>
      <c r="C61" s="3">
        <f>IF(B61="","",IFERROR(INDEX(Steps!$C$5:$C$62,MATCH(B61,Steps!$A$5:$A$62,0)),""))</f>
        <v/>
      </c>
      <c r="D61" s="6" t="n"/>
      <c r="E61" s="8" t="n"/>
      <c r="F61" s="9" t="n"/>
      <c r="G61" s="6" t="n"/>
      <c r="H61" s="11">
        <f>IF(OR(B61="",D61=""),0,N(IFERROR(INDEX(Steps!$E$5:$E$62,MATCH(B61,Steps!$A$5:$A$62,0)),""))*E61)</f>
        <v/>
      </c>
    </row>
    <row r="62">
      <c r="A62" s="6" t="n"/>
      <c r="B62" s="6" t="n"/>
      <c r="C62" s="3">
        <f>IF(B62="","",IFERROR(INDEX(Steps!$C$5:$C$62,MATCH(B62,Steps!$A$5:$A$62,0)),""))</f>
        <v/>
      </c>
      <c r="D62" s="6" t="n"/>
      <c r="E62" s="8" t="n"/>
      <c r="F62" s="9" t="n"/>
      <c r="G62" s="6" t="n"/>
      <c r="H62" s="11">
        <f>IF(OR(B62="",D62=""),0,N(IFERROR(INDEX(Steps!$E$5:$E$62,MATCH(B62,Steps!$A$5:$A$62,0)),""))*E62)</f>
        <v/>
      </c>
    </row>
    <row r="63">
      <c r="A63" s="6" t="n"/>
      <c r="B63" s="6" t="n"/>
      <c r="C63" s="3">
        <f>IF(B63="","",IFERROR(INDEX(Steps!$C$5:$C$62,MATCH(B63,Steps!$A$5:$A$62,0)),""))</f>
        <v/>
      </c>
      <c r="D63" s="6" t="n"/>
      <c r="E63" s="8" t="n"/>
      <c r="F63" s="9" t="n"/>
      <c r="G63" s="6" t="n"/>
      <c r="H63" s="11">
        <f>IF(OR(B63="",D63=""),0,N(IFERROR(INDEX(Steps!$E$5:$E$62,MATCH(B63,Steps!$A$5:$A$62,0)),""))*E63)</f>
        <v/>
      </c>
    </row>
    <row r="64">
      <c r="A64" s="6" t="n"/>
      <c r="B64" s="6" t="n"/>
      <c r="C64" s="3">
        <f>IF(B64="","",IFERROR(INDEX(Steps!$C$5:$C$62,MATCH(B64,Steps!$A$5:$A$62,0)),""))</f>
        <v/>
      </c>
      <c r="D64" s="6" t="n"/>
      <c r="E64" s="8" t="n"/>
      <c r="F64" s="9" t="n"/>
      <c r="G64" s="6" t="n"/>
      <c r="H64" s="11">
        <f>IF(OR(B64="",D64=""),0,N(IFERROR(INDEX(Steps!$E$5:$E$62,MATCH(B64,Steps!$A$5:$A$62,0)),""))*E64)</f>
        <v/>
      </c>
    </row>
    <row r="65">
      <c r="A65" s="6" t="n"/>
      <c r="B65" s="6" t="n"/>
      <c r="C65" s="3">
        <f>IF(B65="","",IFERROR(INDEX(Steps!$C$5:$C$62,MATCH(B65,Steps!$A$5:$A$62,0)),""))</f>
        <v/>
      </c>
      <c r="D65" s="6" t="n"/>
      <c r="E65" s="8" t="n"/>
      <c r="F65" s="9" t="n"/>
      <c r="G65" s="6" t="n"/>
      <c r="H65" s="11">
        <f>IF(OR(B65="",D65=""),0,N(IFERROR(INDEX(Steps!$E$5:$E$62,MATCH(B65,Steps!$A$5:$A$62,0)),""))*E65)</f>
        <v/>
      </c>
    </row>
    <row r="66">
      <c r="A66" s="6" t="n"/>
      <c r="B66" s="6" t="n"/>
      <c r="C66" s="3">
        <f>IF(B66="","",IFERROR(INDEX(Steps!$C$5:$C$62,MATCH(B66,Steps!$A$5:$A$62,0)),""))</f>
        <v/>
      </c>
      <c r="D66" s="6" t="n"/>
      <c r="E66" s="8" t="n"/>
      <c r="F66" s="9" t="n"/>
      <c r="G66" s="6" t="n"/>
      <c r="H66" s="11">
        <f>IF(OR(B66="",D66=""),0,N(IFERROR(INDEX(Steps!$E$5:$E$62,MATCH(B66,Steps!$A$5:$A$62,0)),""))*E66)</f>
        <v/>
      </c>
    </row>
    <row r="67">
      <c r="A67" s="6" t="n"/>
      <c r="B67" s="6" t="n"/>
      <c r="C67" s="3">
        <f>IF(B67="","",IFERROR(INDEX(Steps!$C$5:$C$62,MATCH(B67,Steps!$A$5:$A$62,0)),""))</f>
        <v/>
      </c>
      <c r="D67" s="6" t="n"/>
      <c r="E67" s="8" t="n"/>
      <c r="F67" s="9" t="n"/>
      <c r="G67" s="6" t="n"/>
      <c r="H67" s="11">
        <f>IF(OR(B67="",D67=""),0,N(IFERROR(INDEX(Steps!$E$5:$E$62,MATCH(B67,Steps!$A$5:$A$62,0)),""))*E67)</f>
        <v/>
      </c>
    </row>
    <row r="68">
      <c r="A68" s="6" t="n"/>
      <c r="B68" s="6" t="n"/>
      <c r="C68" s="3">
        <f>IF(B68="","",IFERROR(INDEX(Steps!$C$5:$C$62,MATCH(B68,Steps!$A$5:$A$62,0)),""))</f>
        <v/>
      </c>
      <c r="D68" s="6" t="n"/>
      <c r="E68" s="8" t="n"/>
      <c r="F68" s="9" t="n"/>
      <c r="G68" s="6" t="n"/>
      <c r="H68" s="11">
        <f>IF(OR(B68="",D68=""),0,N(IFERROR(INDEX(Steps!$E$5:$E$62,MATCH(B68,Steps!$A$5:$A$62,0)),""))*E68)</f>
        <v/>
      </c>
    </row>
    <row r="69">
      <c r="A69" s="6" t="n"/>
      <c r="B69" s="6" t="n"/>
      <c r="C69" s="3">
        <f>IF(B69="","",IFERROR(INDEX(Steps!$C$5:$C$62,MATCH(B69,Steps!$A$5:$A$62,0)),""))</f>
        <v/>
      </c>
      <c r="D69" s="6" t="n"/>
      <c r="E69" s="8" t="n"/>
      <c r="F69" s="9" t="n"/>
      <c r="G69" s="6" t="n"/>
      <c r="H69" s="11">
        <f>IF(OR(B69="",D69=""),0,N(IFERROR(INDEX(Steps!$E$5:$E$62,MATCH(B69,Steps!$A$5:$A$62,0)),""))*E69)</f>
        <v/>
      </c>
    </row>
    <row r="70">
      <c r="A70" s="6" t="n"/>
      <c r="B70" s="6" t="n"/>
      <c r="C70" s="3">
        <f>IF(B70="","",IFERROR(INDEX(Steps!$C$5:$C$62,MATCH(B70,Steps!$A$5:$A$62,0)),""))</f>
        <v/>
      </c>
      <c r="D70" s="6" t="n"/>
      <c r="E70" s="8" t="n"/>
      <c r="F70" s="9" t="n"/>
      <c r="G70" s="6" t="n"/>
      <c r="H70" s="11">
        <f>IF(OR(B70="",D70=""),0,N(IFERROR(INDEX(Steps!$E$5:$E$62,MATCH(B70,Steps!$A$5:$A$62,0)),""))*E70)</f>
        <v/>
      </c>
    </row>
    <row r="71">
      <c r="A71" s="6" t="n"/>
      <c r="B71" s="6" t="n"/>
      <c r="C71" s="3">
        <f>IF(B71="","",IFERROR(INDEX(Steps!$C$5:$C$62,MATCH(B71,Steps!$A$5:$A$62,0)),""))</f>
        <v/>
      </c>
      <c r="D71" s="6" t="n"/>
      <c r="E71" s="8" t="n"/>
      <c r="F71" s="9" t="n"/>
      <c r="G71" s="6" t="n"/>
      <c r="H71" s="11">
        <f>IF(OR(B71="",D71=""),0,N(IFERROR(INDEX(Steps!$E$5:$E$62,MATCH(B71,Steps!$A$5:$A$62,0)),""))*E71)</f>
        <v/>
      </c>
    </row>
    <row r="72">
      <c r="A72" s="6" t="n"/>
      <c r="B72" s="6" t="n"/>
      <c r="C72" s="3">
        <f>IF(B72="","",IFERROR(INDEX(Steps!$C$5:$C$62,MATCH(B72,Steps!$A$5:$A$62,0)),""))</f>
        <v/>
      </c>
      <c r="D72" s="6" t="n"/>
      <c r="E72" s="8" t="n"/>
      <c r="F72" s="9" t="n"/>
      <c r="G72" s="6" t="n"/>
      <c r="H72" s="11">
        <f>IF(OR(B72="",D72=""),0,N(IFERROR(INDEX(Steps!$E$5:$E$62,MATCH(B72,Steps!$A$5:$A$62,0)),""))*E72)</f>
        <v/>
      </c>
    </row>
    <row r="73">
      <c r="A73" s="6" t="n"/>
      <c r="B73" s="6" t="n"/>
      <c r="C73" s="3">
        <f>IF(B73="","",IFERROR(INDEX(Steps!$C$5:$C$62,MATCH(B73,Steps!$A$5:$A$62,0)),""))</f>
        <v/>
      </c>
      <c r="D73" s="6" t="n"/>
      <c r="E73" s="8" t="n"/>
      <c r="F73" s="9" t="n"/>
      <c r="G73" s="6" t="n"/>
      <c r="H73" s="11">
        <f>IF(OR(B73="",D73=""),0,N(IFERROR(INDEX(Steps!$E$5:$E$62,MATCH(B73,Steps!$A$5:$A$62,0)),""))*E73)</f>
        <v/>
      </c>
    </row>
    <row r="74">
      <c r="A74" s="6" t="n"/>
      <c r="B74" s="6" t="n"/>
      <c r="C74" s="3">
        <f>IF(B74="","",IFERROR(INDEX(Steps!$C$5:$C$62,MATCH(B74,Steps!$A$5:$A$62,0)),""))</f>
        <v/>
      </c>
      <c r="D74" s="6" t="n"/>
      <c r="E74" s="8" t="n"/>
      <c r="F74" s="9" t="n"/>
      <c r="G74" s="6" t="n"/>
      <c r="H74" s="11">
        <f>IF(OR(B74="",D74=""),0,N(IFERROR(INDEX(Steps!$E$5:$E$62,MATCH(B74,Steps!$A$5:$A$62,0)),""))*E74)</f>
        <v/>
      </c>
    </row>
    <row r="75">
      <c r="A75" s="6" t="n"/>
      <c r="B75" s="6" t="n"/>
      <c r="C75" s="3">
        <f>IF(B75="","",IFERROR(INDEX(Steps!$C$5:$C$62,MATCH(B75,Steps!$A$5:$A$62,0)),""))</f>
        <v/>
      </c>
      <c r="D75" s="6" t="n"/>
      <c r="E75" s="8" t="n"/>
      <c r="F75" s="9" t="n"/>
      <c r="G75" s="6" t="n"/>
      <c r="H75" s="11">
        <f>IF(OR(B75="",D75=""),0,N(IFERROR(INDEX(Steps!$E$5:$E$62,MATCH(B75,Steps!$A$5:$A$62,0)),""))*E75)</f>
        <v/>
      </c>
    </row>
    <row r="76">
      <c r="A76" s="6" t="n"/>
      <c r="B76" s="6" t="n"/>
      <c r="C76" s="3">
        <f>IF(B76="","",IFERROR(INDEX(Steps!$C$5:$C$62,MATCH(B76,Steps!$A$5:$A$62,0)),""))</f>
        <v/>
      </c>
      <c r="D76" s="6" t="n"/>
      <c r="E76" s="8" t="n"/>
      <c r="F76" s="9" t="n"/>
      <c r="G76" s="6" t="n"/>
      <c r="H76" s="11">
        <f>IF(OR(B76="",D76=""),0,N(IFERROR(INDEX(Steps!$E$5:$E$62,MATCH(B76,Steps!$A$5:$A$62,0)),""))*E76)</f>
        <v/>
      </c>
    </row>
    <row r="77">
      <c r="A77" s="6" t="n"/>
      <c r="B77" s="6" t="n"/>
      <c r="C77" s="3">
        <f>IF(B77="","",IFERROR(INDEX(Steps!$C$5:$C$62,MATCH(B77,Steps!$A$5:$A$62,0)),""))</f>
        <v/>
      </c>
      <c r="D77" s="6" t="n"/>
      <c r="E77" s="8" t="n"/>
      <c r="F77" s="9" t="n"/>
      <c r="G77" s="6" t="n"/>
      <c r="H77" s="11">
        <f>IF(OR(B77="",D77=""),0,N(IFERROR(INDEX(Steps!$E$5:$E$62,MATCH(B77,Steps!$A$5:$A$62,0)),""))*E77)</f>
        <v/>
      </c>
    </row>
    <row r="78">
      <c r="A78" s="6" t="n"/>
      <c r="B78" s="6" t="n"/>
      <c r="C78" s="3">
        <f>IF(B78="","",IFERROR(INDEX(Steps!$C$5:$C$62,MATCH(B78,Steps!$A$5:$A$62,0)),""))</f>
        <v/>
      </c>
      <c r="D78" s="6" t="n"/>
      <c r="E78" s="8" t="n"/>
      <c r="F78" s="9" t="n"/>
      <c r="G78" s="6" t="n"/>
      <c r="H78" s="11">
        <f>IF(OR(B78="",D78=""),0,N(IFERROR(INDEX(Steps!$E$5:$E$62,MATCH(B78,Steps!$A$5:$A$62,0)),""))*E78)</f>
        <v/>
      </c>
    </row>
    <row r="79">
      <c r="A79" s="6" t="n"/>
      <c r="B79" s="6" t="n"/>
      <c r="C79" s="3">
        <f>IF(B79="","",IFERROR(INDEX(Steps!$C$5:$C$62,MATCH(B79,Steps!$A$5:$A$62,0)),""))</f>
        <v/>
      </c>
      <c r="D79" s="6" t="n"/>
      <c r="E79" s="8" t="n"/>
      <c r="F79" s="9" t="n"/>
      <c r="G79" s="6" t="n"/>
      <c r="H79" s="11">
        <f>IF(OR(B79="",D79=""),0,N(IFERROR(INDEX(Steps!$E$5:$E$62,MATCH(B79,Steps!$A$5:$A$62,0)),""))*E79)</f>
        <v/>
      </c>
    </row>
    <row r="80">
      <c r="A80" s="6" t="n"/>
      <c r="B80" s="6" t="n"/>
      <c r="C80" s="3">
        <f>IF(B80="","",IFERROR(INDEX(Steps!$C$5:$C$62,MATCH(B80,Steps!$A$5:$A$62,0)),""))</f>
        <v/>
      </c>
      <c r="D80" s="6" t="n"/>
      <c r="E80" s="8" t="n"/>
      <c r="F80" s="9" t="n"/>
      <c r="G80" s="6" t="n"/>
      <c r="H80" s="11">
        <f>IF(OR(B80="",D80=""),0,N(IFERROR(INDEX(Steps!$E$5:$E$62,MATCH(B80,Steps!$A$5:$A$62,0)),""))*E80)</f>
        <v/>
      </c>
    </row>
    <row r="81">
      <c r="A81" s="6" t="n"/>
      <c r="B81" s="6" t="n"/>
      <c r="C81" s="3">
        <f>IF(B81="","",IFERROR(INDEX(Steps!$C$5:$C$62,MATCH(B81,Steps!$A$5:$A$62,0)),""))</f>
        <v/>
      </c>
      <c r="D81" s="6" t="n"/>
      <c r="E81" s="8" t="n"/>
      <c r="F81" s="9" t="n"/>
      <c r="G81" s="6" t="n"/>
      <c r="H81" s="11">
        <f>IF(OR(B81="",D81=""),0,N(IFERROR(INDEX(Steps!$E$5:$E$62,MATCH(B81,Steps!$A$5:$A$62,0)),""))*E81)</f>
        <v/>
      </c>
    </row>
    <row r="82">
      <c r="A82" s="6" t="n"/>
      <c r="B82" s="6" t="n"/>
      <c r="C82" s="3">
        <f>IF(B82="","",IFERROR(INDEX(Steps!$C$5:$C$62,MATCH(B82,Steps!$A$5:$A$62,0)),""))</f>
        <v/>
      </c>
      <c r="D82" s="6" t="n"/>
      <c r="E82" s="8" t="n"/>
      <c r="F82" s="9" t="n"/>
      <c r="G82" s="6" t="n"/>
      <c r="H82" s="11">
        <f>IF(OR(B82="",D82=""),0,N(IFERROR(INDEX(Steps!$E$5:$E$62,MATCH(B82,Steps!$A$5:$A$62,0)),""))*E82)</f>
        <v/>
      </c>
    </row>
    <row r="83">
      <c r="A83" s="6" t="n"/>
      <c r="B83" s="6" t="n"/>
      <c r="C83" s="3">
        <f>IF(B83="","",IFERROR(INDEX(Steps!$C$5:$C$62,MATCH(B83,Steps!$A$5:$A$62,0)),""))</f>
        <v/>
      </c>
      <c r="D83" s="6" t="n"/>
      <c r="E83" s="8" t="n"/>
      <c r="F83" s="9" t="n"/>
      <c r="G83" s="6" t="n"/>
      <c r="H83" s="11">
        <f>IF(OR(B83="",D83=""),0,N(IFERROR(INDEX(Steps!$E$5:$E$62,MATCH(B83,Steps!$A$5:$A$62,0)),""))*E83)</f>
        <v/>
      </c>
    </row>
    <row r="84">
      <c r="A84" s="6" t="n"/>
      <c r="B84" s="6" t="n"/>
      <c r="C84" s="3">
        <f>IF(B84="","",IFERROR(INDEX(Steps!$C$5:$C$62,MATCH(B84,Steps!$A$5:$A$62,0)),""))</f>
        <v/>
      </c>
      <c r="D84" s="6" t="n"/>
      <c r="E84" s="8" t="n"/>
      <c r="F84" s="9" t="n"/>
      <c r="G84" s="6" t="n"/>
      <c r="H84" s="11">
        <f>IF(OR(B84="",D84=""),0,N(IFERROR(INDEX(Steps!$E$5:$E$62,MATCH(B84,Steps!$A$5:$A$62,0)),""))*E84)</f>
        <v/>
      </c>
    </row>
    <row r="85">
      <c r="A85" s="6" t="n"/>
      <c r="B85" s="6" t="n"/>
      <c r="C85" s="3">
        <f>IF(B85="","",IFERROR(INDEX(Steps!$C$5:$C$62,MATCH(B85,Steps!$A$5:$A$62,0)),""))</f>
        <v/>
      </c>
      <c r="D85" s="6" t="n"/>
      <c r="E85" s="8" t="n"/>
      <c r="F85" s="9" t="n"/>
      <c r="G85" s="6" t="n"/>
      <c r="H85" s="11">
        <f>IF(OR(B85="",D85=""),0,N(IFERROR(INDEX(Steps!$E$5:$E$62,MATCH(B85,Steps!$A$5:$A$62,0)),""))*E85)</f>
        <v/>
      </c>
    </row>
    <row r="86">
      <c r="A86" s="6" t="n"/>
      <c r="B86" s="6" t="n"/>
      <c r="C86" s="3">
        <f>IF(B86="","",IFERROR(INDEX(Steps!$C$5:$C$62,MATCH(B86,Steps!$A$5:$A$62,0)),""))</f>
        <v/>
      </c>
      <c r="D86" s="6" t="n"/>
      <c r="E86" s="8" t="n"/>
      <c r="F86" s="9" t="n"/>
      <c r="G86" s="6" t="n"/>
      <c r="H86" s="11">
        <f>IF(OR(B86="",D86=""),0,N(IFERROR(INDEX(Steps!$E$5:$E$62,MATCH(B86,Steps!$A$5:$A$62,0)),""))*E86)</f>
        <v/>
      </c>
    </row>
    <row r="87">
      <c r="A87" s="6" t="n"/>
      <c r="B87" s="6" t="n"/>
      <c r="C87" s="3">
        <f>IF(B87="","",IFERROR(INDEX(Steps!$C$5:$C$62,MATCH(B87,Steps!$A$5:$A$62,0)),""))</f>
        <v/>
      </c>
      <c r="D87" s="6" t="n"/>
      <c r="E87" s="8" t="n"/>
      <c r="F87" s="9" t="n"/>
      <c r="G87" s="6" t="n"/>
      <c r="H87" s="11">
        <f>IF(OR(B87="",D87=""),0,N(IFERROR(INDEX(Steps!$E$5:$E$62,MATCH(B87,Steps!$A$5:$A$62,0)),""))*E87)</f>
        <v/>
      </c>
    </row>
    <row r="88">
      <c r="A88" s="6" t="n"/>
      <c r="B88" s="6" t="n"/>
      <c r="C88" s="3">
        <f>IF(B88="","",IFERROR(INDEX(Steps!$C$5:$C$62,MATCH(B88,Steps!$A$5:$A$62,0)),""))</f>
        <v/>
      </c>
      <c r="D88" s="6" t="n"/>
      <c r="E88" s="8" t="n"/>
      <c r="F88" s="9" t="n"/>
      <c r="G88" s="6" t="n"/>
      <c r="H88" s="11">
        <f>IF(OR(B88="",D88=""),0,N(IFERROR(INDEX(Steps!$E$5:$E$62,MATCH(B88,Steps!$A$5:$A$62,0)),""))*E88)</f>
        <v/>
      </c>
    </row>
    <row r="89">
      <c r="A89" s="6" t="n"/>
      <c r="B89" s="6" t="n"/>
      <c r="C89" s="3">
        <f>IF(B89="","",IFERROR(INDEX(Steps!$C$5:$C$62,MATCH(B89,Steps!$A$5:$A$62,0)),""))</f>
        <v/>
      </c>
      <c r="D89" s="6" t="n"/>
      <c r="E89" s="8" t="n"/>
      <c r="F89" s="9" t="n"/>
      <c r="G89" s="6" t="n"/>
      <c r="H89" s="11">
        <f>IF(OR(B89="",D89=""),0,N(IFERROR(INDEX(Steps!$E$5:$E$62,MATCH(B89,Steps!$A$5:$A$62,0)),""))*E89)</f>
        <v/>
      </c>
    </row>
    <row r="90">
      <c r="A90" s="6" t="n"/>
      <c r="B90" s="6" t="n"/>
      <c r="C90" s="3">
        <f>IF(B90="","",IFERROR(INDEX(Steps!$C$5:$C$62,MATCH(B90,Steps!$A$5:$A$62,0)),""))</f>
        <v/>
      </c>
      <c r="D90" s="6" t="n"/>
      <c r="E90" s="8" t="n"/>
      <c r="F90" s="9" t="n"/>
      <c r="G90" s="6" t="n"/>
      <c r="H90" s="11">
        <f>IF(OR(B90="",D90=""),0,N(IFERROR(INDEX(Steps!$E$5:$E$62,MATCH(B90,Steps!$A$5:$A$62,0)),""))*E90)</f>
        <v/>
      </c>
    </row>
    <row r="91">
      <c r="A91" s="6" t="n"/>
      <c r="B91" s="6" t="n"/>
      <c r="C91" s="3">
        <f>IF(B91="","",IFERROR(INDEX(Steps!$C$5:$C$62,MATCH(B91,Steps!$A$5:$A$62,0)),""))</f>
        <v/>
      </c>
      <c r="D91" s="6" t="n"/>
      <c r="E91" s="8" t="n"/>
      <c r="F91" s="9" t="n"/>
      <c r="G91" s="6" t="n"/>
      <c r="H91" s="11">
        <f>IF(OR(B91="",D91=""),0,N(IFERROR(INDEX(Steps!$E$5:$E$62,MATCH(B91,Steps!$A$5:$A$62,0)),""))*E91)</f>
        <v/>
      </c>
    </row>
    <row r="92">
      <c r="A92" s="6" t="n"/>
      <c r="B92" s="6" t="n"/>
      <c r="C92" s="3">
        <f>IF(B92="","",IFERROR(INDEX(Steps!$C$5:$C$62,MATCH(B92,Steps!$A$5:$A$62,0)),""))</f>
        <v/>
      </c>
      <c r="D92" s="6" t="n"/>
      <c r="E92" s="8" t="n"/>
      <c r="F92" s="9" t="n"/>
      <c r="G92" s="6" t="n"/>
      <c r="H92" s="11">
        <f>IF(OR(B92="",D92=""),0,N(IFERROR(INDEX(Steps!$E$5:$E$62,MATCH(B92,Steps!$A$5:$A$62,0)),""))*E92)</f>
        <v/>
      </c>
    </row>
    <row r="93">
      <c r="A93" s="6" t="n"/>
      <c r="B93" s="6" t="n"/>
      <c r="C93" s="3">
        <f>IF(B93="","",IFERROR(INDEX(Steps!$C$5:$C$62,MATCH(B93,Steps!$A$5:$A$62,0)),""))</f>
        <v/>
      </c>
      <c r="D93" s="6" t="n"/>
      <c r="E93" s="8" t="n"/>
      <c r="F93" s="9" t="n"/>
      <c r="G93" s="6" t="n"/>
      <c r="H93" s="11">
        <f>IF(OR(B93="",D93=""),0,N(IFERROR(INDEX(Steps!$E$5:$E$62,MATCH(B93,Steps!$A$5:$A$62,0)),""))*E93)</f>
        <v/>
      </c>
    </row>
    <row r="94">
      <c r="A94" s="6" t="n"/>
      <c r="B94" s="6" t="n"/>
      <c r="C94" s="3">
        <f>IF(B94="","",IFERROR(INDEX(Steps!$C$5:$C$62,MATCH(B94,Steps!$A$5:$A$62,0)),""))</f>
        <v/>
      </c>
      <c r="D94" s="6" t="n"/>
      <c r="E94" s="8" t="n"/>
      <c r="F94" s="9" t="n"/>
      <c r="G94" s="6" t="n"/>
      <c r="H94" s="11">
        <f>IF(OR(B94="",D94=""),0,N(IFERROR(INDEX(Steps!$E$5:$E$62,MATCH(B94,Steps!$A$5:$A$62,0)),""))*E94)</f>
        <v/>
      </c>
    </row>
    <row r="95">
      <c r="A95" s="6" t="n"/>
      <c r="B95" s="6" t="n"/>
      <c r="C95" s="3">
        <f>IF(B95="","",IFERROR(INDEX(Steps!$C$5:$C$62,MATCH(B95,Steps!$A$5:$A$62,0)),""))</f>
        <v/>
      </c>
      <c r="D95" s="6" t="n"/>
      <c r="E95" s="8" t="n"/>
      <c r="F95" s="9" t="n"/>
      <c r="G95" s="6" t="n"/>
      <c r="H95" s="11">
        <f>IF(OR(B95="",D95=""),0,N(IFERROR(INDEX(Steps!$E$5:$E$62,MATCH(B95,Steps!$A$5:$A$62,0)),""))*E95)</f>
        <v/>
      </c>
    </row>
    <row r="96">
      <c r="A96" s="6" t="n"/>
      <c r="B96" s="6" t="n"/>
      <c r="C96" s="3">
        <f>IF(B96="","",IFERROR(INDEX(Steps!$C$5:$C$62,MATCH(B96,Steps!$A$5:$A$62,0)),""))</f>
        <v/>
      </c>
      <c r="D96" s="6" t="n"/>
      <c r="E96" s="8" t="n"/>
      <c r="F96" s="9" t="n"/>
      <c r="G96" s="6" t="n"/>
      <c r="H96" s="11">
        <f>IF(OR(B96="",D96=""),0,N(IFERROR(INDEX(Steps!$E$5:$E$62,MATCH(B96,Steps!$A$5:$A$62,0)),""))*E96)</f>
        <v/>
      </c>
    </row>
    <row r="97">
      <c r="A97" s="6" t="n"/>
      <c r="B97" s="6" t="n"/>
      <c r="C97" s="3">
        <f>IF(B97="","",IFERROR(INDEX(Steps!$C$5:$C$62,MATCH(B97,Steps!$A$5:$A$62,0)),""))</f>
        <v/>
      </c>
      <c r="D97" s="6" t="n"/>
      <c r="E97" s="8" t="n"/>
      <c r="F97" s="9" t="n"/>
      <c r="G97" s="6" t="n"/>
      <c r="H97" s="11">
        <f>IF(OR(B97="",D97=""),0,N(IFERROR(INDEX(Steps!$E$5:$E$62,MATCH(B97,Steps!$A$5:$A$62,0)),""))*E97)</f>
        <v/>
      </c>
    </row>
    <row r="98">
      <c r="A98" s="6" t="n"/>
      <c r="B98" s="6" t="n"/>
      <c r="C98" s="3">
        <f>IF(B98="","",IFERROR(INDEX(Steps!$C$5:$C$62,MATCH(B98,Steps!$A$5:$A$62,0)),""))</f>
        <v/>
      </c>
      <c r="D98" s="6" t="n"/>
      <c r="E98" s="8" t="n"/>
      <c r="F98" s="9" t="n"/>
      <c r="G98" s="6" t="n"/>
      <c r="H98" s="11">
        <f>IF(OR(B98="",D98=""),0,N(IFERROR(INDEX(Steps!$E$5:$E$62,MATCH(B98,Steps!$A$5:$A$62,0)),""))*E98)</f>
        <v/>
      </c>
    </row>
    <row r="99">
      <c r="A99" s="6" t="n"/>
      <c r="B99" s="6" t="n"/>
      <c r="C99" s="3">
        <f>IF(B99="","",IFERROR(INDEX(Steps!$C$5:$C$62,MATCH(B99,Steps!$A$5:$A$62,0)),""))</f>
        <v/>
      </c>
      <c r="D99" s="6" t="n"/>
      <c r="E99" s="8" t="n"/>
      <c r="F99" s="9" t="n"/>
      <c r="G99" s="6" t="n"/>
      <c r="H99" s="11">
        <f>IF(OR(B99="",D99=""),0,N(IFERROR(INDEX(Steps!$E$5:$E$62,MATCH(B99,Steps!$A$5:$A$62,0)),""))*E99)</f>
        <v/>
      </c>
    </row>
    <row r="100">
      <c r="A100" s="6" t="n"/>
      <c r="B100" s="6" t="n"/>
      <c r="C100" s="3">
        <f>IF(B100="","",IFERROR(INDEX(Steps!$C$5:$C$62,MATCH(B100,Steps!$A$5:$A$62,0)),""))</f>
        <v/>
      </c>
      <c r="D100" s="6" t="n"/>
      <c r="E100" s="8" t="n"/>
      <c r="F100" s="9" t="n"/>
      <c r="G100" s="6" t="n"/>
      <c r="H100" s="11">
        <f>IF(OR(B100="",D100=""),0,N(IFERROR(INDEX(Steps!$E$5:$E$62,MATCH(B100,Steps!$A$5:$A$62,0)),""))*E100)</f>
        <v/>
      </c>
    </row>
    <row r="101">
      <c r="A101" s="6" t="n"/>
      <c r="B101" s="6" t="n"/>
      <c r="C101" s="3">
        <f>IF(B101="","",IFERROR(INDEX(Steps!$C$5:$C$62,MATCH(B101,Steps!$A$5:$A$62,0)),""))</f>
        <v/>
      </c>
      <c r="D101" s="6" t="n"/>
      <c r="E101" s="8" t="n"/>
      <c r="F101" s="9" t="n"/>
      <c r="G101" s="6" t="n"/>
      <c r="H101" s="11">
        <f>IF(OR(B101="",D101=""),0,N(IFERROR(INDEX(Steps!$E$5:$E$62,MATCH(B101,Steps!$A$5:$A$62,0)),""))*E101)</f>
        <v/>
      </c>
    </row>
    <row r="102">
      <c r="A102" s="6" t="n"/>
      <c r="B102" s="6" t="n"/>
      <c r="C102" s="3">
        <f>IF(B102="","",IFERROR(INDEX(Steps!$C$5:$C$62,MATCH(B102,Steps!$A$5:$A$62,0)),""))</f>
        <v/>
      </c>
      <c r="D102" s="6" t="n"/>
      <c r="E102" s="8" t="n"/>
      <c r="F102" s="9" t="n"/>
      <c r="G102" s="6" t="n"/>
      <c r="H102" s="11">
        <f>IF(OR(B102="",D102=""),0,N(IFERROR(INDEX(Steps!$E$5:$E$62,MATCH(B102,Steps!$A$5:$A$62,0)),""))*E102)</f>
        <v/>
      </c>
    </row>
    <row r="103">
      <c r="A103" s="6" t="n"/>
      <c r="B103" s="6" t="n"/>
      <c r="C103" s="3">
        <f>IF(B103="","",IFERROR(INDEX(Steps!$C$5:$C$62,MATCH(B103,Steps!$A$5:$A$62,0)),""))</f>
        <v/>
      </c>
      <c r="D103" s="6" t="n"/>
      <c r="E103" s="8" t="n"/>
      <c r="F103" s="9" t="n"/>
      <c r="G103" s="6" t="n"/>
      <c r="H103" s="11">
        <f>IF(OR(B103="",D103=""),0,N(IFERROR(INDEX(Steps!$E$5:$E$62,MATCH(B103,Steps!$A$5:$A$62,0)),""))*E103)</f>
        <v/>
      </c>
    </row>
    <row r="104">
      <c r="A104" s="6" t="n"/>
      <c r="B104" s="6" t="n"/>
      <c r="C104" s="3">
        <f>IF(B104="","",IFERROR(INDEX(Steps!$C$5:$C$62,MATCH(B104,Steps!$A$5:$A$62,0)),""))</f>
        <v/>
      </c>
      <c r="D104" s="6" t="n"/>
      <c r="E104" s="8" t="n"/>
      <c r="F104" s="9" t="n"/>
      <c r="G104" s="6" t="n"/>
      <c r="H104" s="11">
        <f>IF(OR(B104="",D104=""),0,N(IFERROR(INDEX(Steps!$E$5:$E$62,MATCH(B104,Steps!$A$5:$A$62,0)),""))*E104)</f>
        <v/>
      </c>
    </row>
    <row r="105">
      <c r="A105" s="6" t="n"/>
      <c r="B105" s="6" t="n"/>
      <c r="C105" s="3">
        <f>IF(B105="","",IFERROR(INDEX(Steps!$C$5:$C$62,MATCH(B105,Steps!$A$5:$A$62,0)),""))</f>
        <v/>
      </c>
      <c r="D105" s="6" t="n"/>
      <c r="E105" s="8" t="n"/>
      <c r="F105" s="9" t="n"/>
      <c r="G105" s="6" t="n"/>
      <c r="H105" s="11">
        <f>IF(OR(B105="",D105=""),0,N(IFERROR(INDEX(Steps!$E$5:$E$62,MATCH(B105,Steps!$A$5:$A$62,0)),""))*E105)</f>
        <v/>
      </c>
    </row>
    <row r="106">
      <c r="A106" s="6" t="n"/>
      <c r="B106" s="6" t="n"/>
      <c r="C106" s="3">
        <f>IF(B106="","",IFERROR(INDEX(Steps!$C$5:$C$62,MATCH(B106,Steps!$A$5:$A$62,0)),""))</f>
        <v/>
      </c>
      <c r="D106" s="6" t="n"/>
      <c r="E106" s="8" t="n"/>
      <c r="F106" s="9" t="n"/>
      <c r="G106" s="6" t="n"/>
      <c r="H106" s="11">
        <f>IF(OR(B106="",D106=""),0,N(IFERROR(INDEX(Steps!$E$5:$E$62,MATCH(B106,Steps!$A$5:$A$62,0)),""))*E106)</f>
        <v/>
      </c>
    </row>
    <row r="107">
      <c r="A107" s="6" t="n"/>
      <c r="B107" s="6" t="n"/>
      <c r="C107" s="3">
        <f>IF(B107="","",IFERROR(INDEX(Steps!$C$5:$C$62,MATCH(B107,Steps!$A$5:$A$62,0)),""))</f>
        <v/>
      </c>
      <c r="D107" s="6" t="n"/>
      <c r="E107" s="8" t="n"/>
      <c r="F107" s="9" t="n"/>
      <c r="G107" s="6" t="n"/>
      <c r="H107" s="11">
        <f>IF(OR(B107="",D107=""),0,N(IFERROR(INDEX(Steps!$E$5:$E$62,MATCH(B107,Steps!$A$5:$A$62,0)),""))*E107)</f>
        <v/>
      </c>
    </row>
    <row r="108">
      <c r="A108" s="6" t="n"/>
      <c r="B108" s="6" t="n"/>
      <c r="C108" s="3">
        <f>IF(B108="","",IFERROR(INDEX(Steps!$C$5:$C$62,MATCH(B108,Steps!$A$5:$A$62,0)),""))</f>
        <v/>
      </c>
      <c r="D108" s="6" t="n"/>
      <c r="E108" s="8" t="n"/>
      <c r="F108" s="9" t="n"/>
      <c r="G108" s="6" t="n"/>
      <c r="H108" s="11">
        <f>IF(OR(B108="",D108=""),0,N(IFERROR(INDEX(Steps!$E$5:$E$62,MATCH(B108,Steps!$A$5:$A$62,0)),""))*E108)</f>
        <v/>
      </c>
    </row>
    <row r="109">
      <c r="A109" s="6" t="n"/>
      <c r="B109" s="6" t="n"/>
      <c r="C109" s="3">
        <f>IF(B109="","",IFERROR(INDEX(Steps!$C$5:$C$62,MATCH(B109,Steps!$A$5:$A$62,0)),""))</f>
        <v/>
      </c>
      <c r="D109" s="6" t="n"/>
      <c r="E109" s="8" t="n"/>
      <c r="F109" s="9" t="n"/>
      <c r="G109" s="6" t="n"/>
      <c r="H109" s="11">
        <f>IF(OR(B109="",D109=""),0,N(IFERROR(INDEX(Steps!$E$5:$E$62,MATCH(B109,Steps!$A$5:$A$62,0)),""))*E109)</f>
        <v/>
      </c>
    </row>
    <row r="110">
      <c r="A110" s="6" t="n"/>
      <c r="B110" s="6" t="n"/>
      <c r="C110" s="3">
        <f>IF(B110="","",IFERROR(INDEX(Steps!$C$5:$C$62,MATCH(B110,Steps!$A$5:$A$62,0)),""))</f>
        <v/>
      </c>
      <c r="D110" s="6" t="n"/>
      <c r="E110" s="8" t="n"/>
      <c r="F110" s="9" t="n"/>
      <c r="G110" s="6" t="n"/>
      <c r="H110" s="11">
        <f>IF(OR(B110="",D110=""),0,N(IFERROR(INDEX(Steps!$E$5:$E$62,MATCH(B110,Steps!$A$5:$A$62,0)),""))*E110)</f>
        <v/>
      </c>
    </row>
    <row r="111">
      <c r="A111" s="6" t="n"/>
      <c r="B111" s="6" t="n"/>
      <c r="C111" s="3">
        <f>IF(B111="","",IFERROR(INDEX(Steps!$C$5:$C$62,MATCH(B111,Steps!$A$5:$A$62,0)),""))</f>
        <v/>
      </c>
      <c r="D111" s="6" t="n"/>
      <c r="E111" s="8" t="n"/>
      <c r="F111" s="9" t="n"/>
      <c r="G111" s="6" t="n"/>
      <c r="H111" s="11">
        <f>IF(OR(B111="",D111=""),0,N(IFERROR(INDEX(Steps!$E$5:$E$62,MATCH(B111,Steps!$A$5:$A$62,0)),""))*E111)</f>
        <v/>
      </c>
    </row>
    <row r="112">
      <c r="A112" s="6" t="n"/>
      <c r="B112" s="6" t="n"/>
      <c r="C112" s="3">
        <f>IF(B112="","",IFERROR(INDEX(Steps!$C$5:$C$62,MATCH(B112,Steps!$A$5:$A$62,0)),""))</f>
        <v/>
      </c>
      <c r="D112" s="6" t="n"/>
      <c r="E112" s="8" t="n"/>
      <c r="F112" s="9" t="n"/>
      <c r="G112" s="6" t="n"/>
      <c r="H112" s="11">
        <f>IF(OR(B112="",D112=""),0,N(IFERROR(INDEX(Steps!$E$5:$E$62,MATCH(B112,Steps!$A$5:$A$62,0)),""))*E112)</f>
        <v/>
      </c>
    </row>
    <row r="113">
      <c r="A113" s="6" t="n"/>
      <c r="B113" s="6" t="n"/>
      <c r="C113" s="3">
        <f>IF(B113="","",IFERROR(INDEX(Steps!$C$5:$C$62,MATCH(B113,Steps!$A$5:$A$62,0)),""))</f>
        <v/>
      </c>
      <c r="D113" s="6" t="n"/>
      <c r="E113" s="8" t="n"/>
      <c r="F113" s="9" t="n"/>
      <c r="G113" s="6" t="n"/>
      <c r="H113" s="11">
        <f>IF(OR(B113="",D113=""),0,N(IFERROR(INDEX(Steps!$E$5:$E$62,MATCH(B113,Steps!$A$5:$A$62,0)),""))*E113)</f>
        <v/>
      </c>
    </row>
    <row r="114">
      <c r="A114" s="6" t="n"/>
      <c r="B114" s="6" t="n"/>
      <c r="C114" s="3">
        <f>IF(B114="","",IFERROR(INDEX(Steps!$C$5:$C$62,MATCH(B114,Steps!$A$5:$A$62,0)),""))</f>
        <v/>
      </c>
      <c r="D114" s="6" t="n"/>
      <c r="E114" s="8" t="n"/>
      <c r="F114" s="9" t="n"/>
      <c r="G114" s="6" t="n"/>
      <c r="H114" s="11">
        <f>IF(OR(B114="",D114=""),0,N(IFERROR(INDEX(Steps!$E$5:$E$62,MATCH(B114,Steps!$A$5:$A$62,0)),""))*E114)</f>
        <v/>
      </c>
    </row>
    <row r="115">
      <c r="A115" s="6" t="n"/>
      <c r="B115" s="6" t="n"/>
      <c r="C115" s="3">
        <f>IF(B115="","",IFERROR(INDEX(Steps!$C$5:$C$62,MATCH(B115,Steps!$A$5:$A$62,0)),""))</f>
        <v/>
      </c>
      <c r="D115" s="6" t="n"/>
      <c r="E115" s="8" t="n"/>
      <c r="F115" s="9" t="n"/>
      <c r="G115" s="6" t="n"/>
      <c r="H115" s="11">
        <f>IF(OR(B115="",D115=""),0,N(IFERROR(INDEX(Steps!$E$5:$E$62,MATCH(B115,Steps!$A$5:$A$62,0)),""))*E115)</f>
        <v/>
      </c>
    </row>
    <row r="116">
      <c r="A116" s="6" t="n"/>
      <c r="B116" s="6" t="n"/>
      <c r="C116" s="3">
        <f>IF(B116="","",IFERROR(INDEX(Steps!$C$5:$C$62,MATCH(B116,Steps!$A$5:$A$62,0)),""))</f>
        <v/>
      </c>
      <c r="D116" s="6" t="n"/>
      <c r="E116" s="8" t="n"/>
      <c r="F116" s="9" t="n"/>
      <c r="G116" s="6" t="n"/>
      <c r="H116" s="11">
        <f>IF(OR(B116="",D116=""),0,N(IFERROR(INDEX(Steps!$E$5:$E$62,MATCH(B116,Steps!$A$5:$A$62,0)),""))*E116)</f>
        <v/>
      </c>
    </row>
    <row r="117">
      <c r="A117" s="6" t="n"/>
      <c r="B117" s="6" t="n"/>
      <c r="C117" s="3">
        <f>IF(B117="","",IFERROR(INDEX(Steps!$C$5:$C$62,MATCH(B117,Steps!$A$5:$A$62,0)),""))</f>
        <v/>
      </c>
      <c r="D117" s="6" t="n"/>
      <c r="E117" s="8" t="n"/>
      <c r="F117" s="9" t="n"/>
      <c r="G117" s="6" t="n"/>
      <c r="H117" s="11">
        <f>IF(OR(B117="",D117=""),0,N(IFERROR(INDEX(Steps!$E$5:$E$62,MATCH(B117,Steps!$A$5:$A$62,0)),""))*E117)</f>
        <v/>
      </c>
    </row>
    <row r="118">
      <c r="A118" s="6" t="n"/>
      <c r="B118" s="6" t="n"/>
      <c r="C118" s="3">
        <f>IF(B118="","",IFERROR(INDEX(Steps!$C$5:$C$62,MATCH(B118,Steps!$A$5:$A$62,0)),""))</f>
        <v/>
      </c>
      <c r="D118" s="6" t="n"/>
      <c r="E118" s="8" t="n"/>
      <c r="F118" s="9" t="n"/>
      <c r="G118" s="6" t="n"/>
      <c r="H118" s="11">
        <f>IF(OR(B118="",D118=""),0,N(IFERROR(INDEX(Steps!$E$5:$E$62,MATCH(B118,Steps!$A$5:$A$62,0)),""))*E118)</f>
        <v/>
      </c>
    </row>
    <row r="119">
      <c r="A119" s="6" t="n"/>
      <c r="B119" s="6" t="n"/>
      <c r="C119" s="3">
        <f>IF(B119="","",IFERROR(INDEX(Steps!$C$5:$C$62,MATCH(B119,Steps!$A$5:$A$62,0)),""))</f>
        <v/>
      </c>
      <c r="D119" s="6" t="n"/>
      <c r="E119" s="8" t="n"/>
      <c r="F119" s="9" t="n"/>
      <c r="G119" s="6" t="n"/>
      <c r="H119" s="11">
        <f>IF(OR(B119="",D119=""),0,N(IFERROR(INDEX(Steps!$E$5:$E$62,MATCH(B119,Steps!$A$5:$A$62,0)),""))*E119)</f>
        <v/>
      </c>
    </row>
    <row r="120">
      <c r="A120" s="6" t="n"/>
      <c r="B120" s="6" t="n"/>
      <c r="C120" s="3">
        <f>IF(B120="","",IFERROR(INDEX(Steps!$C$5:$C$62,MATCH(B120,Steps!$A$5:$A$62,0)),""))</f>
        <v/>
      </c>
      <c r="D120" s="6" t="n"/>
      <c r="E120" s="8" t="n"/>
      <c r="F120" s="9" t="n"/>
      <c r="G120" s="6" t="n"/>
      <c r="H120" s="11">
        <f>IF(OR(B120="",D120=""),0,N(IFERROR(INDEX(Steps!$E$5:$E$62,MATCH(B120,Steps!$A$5:$A$62,0)),""))*E120)</f>
        <v/>
      </c>
    </row>
    <row r="121">
      <c r="A121" s="6" t="n"/>
      <c r="B121" s="6" t="n"/>
      <c r="C121" s="3">
        <f>IF(B121="","",IFERROR(INDEX(Steps!$C$5:$C$62,MATCH(B121,Steps!$A$5:$A$62,0)),""))</f>
        <v/>
      </c>
      <c r="D121" s="6" t="n"/>
      <c r="E121" s="8" t="n"/>
      <c r="F121" s="9" t="n"/>
      <c r="G121" s="6" t="n"/>
      <c r="H121" s="11">
        <f>IF(OR(B121="",D121=""),0,N(IFERROR(INDEX(Steps!$E$5:$E$62,MATCH(B121,Steps!$A$5:$A$62,0)),""))*E121)</f>
        <v/>
      </c>
    </row>
    <row r="122">
      <c r="A122" s="6" t="n"/>
      <c r="B122" s="6" t="n"/>
      <c r="C122" s="3">
        <f>IF(B122="","",IFERROR(INDEX(Steps!$C$5:$C$62,MATCH(B122,Steps!$A$5:$A$62,0)),""))</f>
        <v/>
      </c>
      <c r="D122" s="6" t="n"/>
      <c r="E122" s="8" t="n"/>
      <c r="F122" s="9" t="n"/>
      <c r="G122" s="6" t="n"/>
      <c r="H122" s="11">
        <f>IF(OR(B122="",D122=""),0,N(IFERROR(INDEX(Steps!$E$5:$E$62,MATCH(B122,Steps!$A$5:$A$62,0)),""))*E122)</f>
        <v/>
      </c>
    </row>
    <row r="123">
      <c r="A123" s="6" t="n"/>
      <c r="B123" s="6" t="n"/>
      <c r="C123" s="3">
        <f>IF(B123="","",IFERROR(INDEX(Steps!$C$5:$C$62,MATCH(B123,Steps!$A$5:$A$62,0)),""))</f>
        <v/>
      </c>
      <c r="D123" s="6" t="n"/>
      <c r="E123" s="8" t="n"/>
      <c r="F123" s="9" t="n"/>
      <c r="G123" s="6" t="n"/>
      <c r="H123" s="11">
        <f>IF(OR(B123="",D123=""),0,N(IFERROR(INDEX(Steps!$E$5:$E$62,MATCH(B123,Steps!$A$5:$A$62,0)),""))*E123)</f>
        <v/>
      </c>
    </row>
    <row r="124">
      <c r="A124" s="6" t="n"/>
      <c r="B124" s="6" t="n"/>
      <c r="C124" s="3">
        <f>IF(B124="","",IFERROR(INDEX(Steps!$C$5:$C$62,MATCH(B124,Steps!$A$5:$A$62,0)),""))</f>
        <v/>
      </c>
      <c r="D124" s="6" t="n"/>
      <c r="E124" s="8" t="n"/>
      <c r="F124" s="9" t="n"/>
      <c r="G124" s="6" t="n"/>
      <c r="H124" s="11">
        <f>IF(OR(B124="",D124=""),0,N(IFERROR(INDEX(Steps!$E$5:$E$62,MATCH(B124,Steps!$A$5:$A$62,0)),""))*E124)</f>
        <v/>
      </c>
    </row>
    <row r="125">
      <c r="A125" s="6" t="n"/>
      <c r="B125" s="6" t="n"/>
      <c r="C125" s="3">
        <f>IF(B125="","",IFERROR(INDEX(Steps!$C$5:$C$62,MATCH(B125,Steps!$A$5:$A$62,0)),""))</f>
        <v/>
      </c>
      <c r="D125" s="6" t="n"/>
      <c r="E125" s="8" t="n"/>
      <c r="F125" s="9" t="n"/>
      <c r="G125" s="6" t="n"/>
      <c r="H125" s="11">
        <f>IF(OR(B125="",D125=""),0,N(IFERROR(INDEX(Steps!$E$5:$E$62,MATCH(B125,Steps!$A$5:$A$62,0)),""))*E125)</f>
        <v/>
      </c>
    </row>
    <row r="126">
      <c r="A126" s="6" t="n"/>
      <c r="B126" s="6" t="n"/>
      <c r="C126" s="3">
        <f>IF(B126="","",IFERROR(INDEX(Steps!$C$5:$C$62,MATCH(B126,Steps!$A$5:$A$62,0)),""))</f>
        <v/>
      </c>
      <c r="D126" s="6" t="n"/>
      <c r="E126" s="8" t="n"/>
      <c r="F126" s="9" t="n"/>
      <c r="G126" s="6" t="n"/>
      <c r="H126" s="11">
        <f>IF(OR(B126="",D126=""),0,N(IFERROR(INDEX(Steps!$E$5:$E$62,MATCH(B126,Steps!$A$5:$A$62,0)),""))*E126)</f>
        <v/>
      </c>
    </row>
    <row r="127">
      <c r="A127" s="6" t="n"/>
      <c r="B127" s="6" t="n"/>
      <c r="C127" s="3">
        <f>IF(B127="","",IFERROR(INDEX(Steps!$C$5:$C$62,MATCH(B127,Steps!$A$5:$A$62,0)),""))</f>
        <v/>
      </c>
      <c r="D127" s="6" t="n"/>
      <c r="E127" s="8" t="n"/>
      <c r="F127" s="9" t="n"/>
      <c r="G127" s="6" t="n"/>
      <c r="H127" s="11">
        <f>IF(OR(B127="",D127=""),0,N(IFERROR(INDEX(Steps!$E$5:$E$62,MATCH(B127,Steps!$A$5:$A$62,0)),""))*E127)</f>
        <v/>
      </c>
    </row>
    <row r="128">
      <c r="A128" s="6" t="n"/>
      <c r="B128" s="6" t="n"/>
      <c r="C128" s="3">
        <f>IF(B128="","",IFERROR(INDEX(Steps!$C$5:$C$62,MATCH(B128,Steps!$A$5:$A$62,0)),""))</f>
        <v/>
      </c>
      <c r="D128" s="6" t="n"/>
      <c r="E128" s="8" t="n"/>
      <c r="F128" s="9" t="n"/>
      <c r="G128" s="6" t="n"/>
      <c r="H128" s="11">
        <f>IF(OR(B128="",D128=""),0,N(IFERROR(INDEX(Steps!$E$5:$E$62,MATCH(B128,Steps!$A$5:$A$62,0)),""))*E128)</f>
        <v/>
      </c>
    </row>
    <row r="129">
      <c r="A129" s="6" t="n"/>
      <c r="B129" s="6" t="n"/>
      <c r="C129" s="3">
        <f>IF(B129="","",IFERROR(INDEX(Steps!$C$5:$C$62,MATCH(B129,Steps!$A$5:$A$62,0)),""))</f>
        <v/>
      </c>
      <c r="D129" s="6" t="n"/>
      <c r="E129" s="8" t="n"/>
      <c r="F129" s="9" t="n"/>
      <c r="G129" s="6" t="n"/>
      <c r="H129" s="11">
        <f>IF(OR(B129="",D129=""),0,N(IFERROR(INDEX(Steps!$E$5:$E$62,MATCH(B129,Steps!$A$5:$A$62,0)),""))*E129)</f>
        <v/>
      </c>
    </row>
    <row r="130">
      <c r="A130" s="6" t="n"/>
      <c r="B130" s="6" t="n"/>
      <c r="C130" s="3">
        <f>IF(B130="","",IFERROR(INDEX(Steps!$C$5:$C$62,MATCH(B130,Steps!$A$5:$A$62,0)),""))</f>
        <v/>
      </c>
      <c r="D130" s="6" t="n"/>
      <c r="E130" s="8" t="n"/>
      <c r="F130" s="9" t="n"/>
      <c r="G130" s="6" t="n"/>
      <c r="H130" s="11">
        <f>IF(OR(B130="",D130=""),0,N(IFERROR(INDEX(Steps!$E$5:$E$62,MATCH(B130,Steps!$A$5:$A$62,0)),""))*E130)</f>
        <v/>
      </c>
    </row>
    <row r="131">
      <c r="A131" s="6" t="n"/>
      <c r="B131" s="6" t="n"/>
      <c r="C131" s="3">
        <f>IF(B131="","",IFERROR(INDEX(Steps!$C$5:$C$62,MATCH(B131,Steps!$A$5:$A$62,0)),""))</f>
        <v/>
      </c>
      <c r="D131" s="6" t="n"/>
      <c r="E131" s="8" t="n"/>
      <c r="F131" s="9" t="n"/>
      <c r="G131" s="6" t="n"/>
      <c r="H131" s="11">
        <f>IF(OR(B131="",D131=""),0,N(IFERROR(INDEX(Steps!$E$5:$E$62,MATCH(B131,Steps!$A$5:$A$62,0)),""))*E131)</f>
        <v/>
      </c>
    </row>
    <row r="132">
      <c r="A132" s="6" t="n"/>
      <c r="B132" s="6" t="n"/>
      <c r="C132" s="3">
        <f>IF(B132="","",IFERROR(INDEX(Steps!$C$5:$C$62,MATCH(B132,Steps!$A$5:$A$62,0)),""))</f>
        <v/>
      </c>
      <c r="D132" s="6" t="n"/>
      <c r="E132" s="8" t="n"/>
      <c r="F132" s="9" t="n"/>
      <c r="G132" s="6" t="n"/>
      <c r="H132" s="11">
        <f>IF(OR(B132="",D132=""),0,N(IFERROR(INDEX(Steps!$E$5:$E$62,MATCH(B132,Steps!$A$5:$A$62,0)),""))*E132)</f>
        <v/>
      </c>
    </row>
    <row r="133">
      <c r="A133" s="6" t="n"/>
      <c r="B133" s="6" t="n"/>
      <c r="C133" s="3">
        <f>IF(B133="","",IFERROR(INDEX(Steps!$C$5:$C$62,MATCH(B133,Steps!$A$5:$A$62,0)),""))</f>
        <v/>
      </c>
      <c r="D133" s="6" t="n"/>
      <c r="E133" s="8" t="n"/>
      <c r="F133" s="9" t="n"/>
      <c r="G133" s="6" t="n"/>
      <c r="H133" s="11">
        <f>IF(OR(B133="",D133=""),0,N(IFERROR(INDEX(Steps!$E$5:$E$62,MATCH(B133,Steps!$A$5:$A$62,0)),""))*E133)</f>
        <v/>
      </c>
    </row>
    <row r="134">
      <c r="A134" s="6" t="n"/>
      <c r="B134" s="6" t="n"/>
      <c r="C134" s="3">
        <f>IF(B134="","",IFERROR(INDEX(Steps!$C$5:$C$62,MATCH(B134,Steps!$A$5:$A$62,0)),""))</f>
        <v/>
      </c>
      <c r="D134" s="6" t="n"/>
      <c r="E134" s="8" t="n"/>
      <c r="F134" s="9" t="n"/>
      <c r="G134" s="6" t="n"/>
      <c r="H134" s="11">
        <f>IF(OR(B134="",D134=""),0,N(IFERROR(INDEX(Steps!$E$5:$E$62,MATCH(B134,Steps!$A$5:$A$62,0)),""))*E134)</f>
        <v/>
      </c>
    </row>
    <row r="135">
      <c r="A135" s="6" t="n"/>
      <c r="B135" s="6" t="n"/>
      <c r="C135" s="3">
        <f>IF(B135="","",IFERROR(INDEX(Steps!$C$5:$C$62,MATCH(B135,Steps!$A$5:$A$62,0)),""))</f>
        <v/>
      </c>
      <c r="D135" s="6" t="n"/>
      <c r="E135" s="8" t="n"/>
      <c r="F135" s="9" t="n"/>
      <c r="G135" s="6" t="n"/>
      <c r="H135" s="11">
        <f>IF(OR(B135="",D135=""),0,N(IFERROR(INDEX(Steps!$E$5:$E$62,MATCH(B135,Steps!$A$5:$A$62,0)),""))*E135)</f>
        <v/>
      </c>
    </row>
    <row r="136">
      <c r="A136" s="6" t="n"/>
      <c r="B136" s="6" t="n"/>
      <c r="C136" s="3">
        <f>IF(B136="","",IFERROR(INDEX(Steps!$C$5:$C$62,MATCH(B136,Steps!$A$5:$A$62,0)),""))</f>
        <v/>
      </c>
      <c r="D136" s="6" t="n"/>
      <c r="E136" s="8" t="n"/>
      <c r="F136" s="9" t="n"/>
      <c r="G136" s="6" t="n"/>
      <c r="H136" s="11">
        <f>IF(OR(B136="",D136=""),0,N(IFERROR(INDEX(Steps!$E$5:$E$62,MATCH(B136,Steps!$A$5:$A$62,0)),""))*E136)</f>
        <v/>
      </c>
    </row>
    <row r="137">
      <c r="A137" s="6" t="n"/>
      <c r="B137" s="6" t="n"/>
      <c r="C137" s="3">
        <f>IF(B137="","",IFERROR(INDEX(Steps!$C$5:$C$62,MATCH(B137,Steps!$A$5:$A$62,0)),""))</f>
        <v/>
      </c>
      <c r="D137" s="6" t="n"/>
      <c r="E137" s="8" t="n"/>
      <c r="F137" s="9" t="n"/>
      <c r="G137" s="6" t="n"/>
      <c r="H137" s="11">
        <f>IF(OR(B137="",D137=""),0,N(IFERROR(INDEX(Steps!$E$5:$E$62,MATCH(B137,Steps!$A$5:$A$62,0)),""))*E137)</f>
        <v/>
      </c>
    </row>
    <row r="138">
      <c r="A138" s="6" t="n"/>
      <c r="B138" s="6" t="n"/>
      <c r="C138" s="3">
        <f>IF(B138="","",IFERROR(INDEX(Steps!$C$5:$C$62,MATCH(B138,Steps!$A$5:$A$62,0)),""))</f>
        <v/>
      </c>
      <c r="D138" s="6" t="n"/>
      <c r="E138" s="8" t="n"/>
      <c r="F138" s="9" t="n"/>
      <c r="G138" s="6" t="n"/>
      <c r="H138" s="11">
        <f>IF(OR(B138="",D138=""),0,N(IFERROR(INDEX(Steps!$E$5:$E$62,MATCH(B138,Steps!$A$5:$A$62,0)),""))*E138)</f>
        <v/>
      </c>
    </row>
    <row r="139">
      <c r="A139" s="6" t="n"/>
      <c r="B139" s="6" t="n"/>
      <c r="C139" s="3">
        <f>IF(B139="","",IFERROR(INDEX(Steps!$C$5:$C$62,MATCH(B139,Steps!$A$5:$A$62,0)),""))</f>
        <v/>
      </c>
      <c r="D139" s="6" t="n"/>
      <c r="E139" s="8" t="n"/>
      <c r="F139" s="9" t="n"/>
      <c r="G139" s="6" t="n"/>
      <c r="H139" s="11">
        <f>IF(OR(B139="",D139=""),0,N(IFERROR(INDEX(Steps!$E$5:$E$62,MATCH(B139,Steps!$A$5:$A$62,0)),""))*E139)</f>
        <v/>
      </c>
    </row>
    <row r="140">
      <c r="A140" s="6" t="n"/>
      <c r="B140" s="6" t="n"/>
      <c r="C140" s="3">
        <f>IF(B140="","",IFERROR(INDEX(Steps!$C$5:$C$62,MATCH(B140,Steps!$A$5:$A$62,0)),""))</f>
        <v/>
      </c>
      <c r="D140" s="6" t="n"/>
      <c r="E140" s="8" t="n"/>
      <c r="F140" s="9" t="n"/>
      <c r="G140" s="6" t="n"/>
      <c r="H140" s="11">
        <f>IF(OR(B140="",D140=""),0,N(IFERROR(INDEX(Steps!$E$5:$E$62,MATCH(B140,Steps!$A$5:$A$62,0)),""))*E140)</f>
        <v/>
      </c>
    </row>
    <row r="141">
      <c r="A141" s="6" t="n"/>
      <c r="B141" s="6" t="n"/>
      <c r="C141" s="3">
        <f>IF(B141="","",IFERROR(INDEX(Steps!$C$5:$C$62,MATCH(B141,Steps!$A$5:$A$62,0)),""))</f>
        <v/>
      </c>
      <c r="D141" s="6" t="n"/>
      <c r="E141" s="8" t="n"/>
      <c r="F141" s="9" t="n"/>
      <c r="G141" s="6" t="n"/>
      <c r="H141" s="11">
        <f>IF(OR(B141="",D141=""),0,N(IFERROR(INDEX(Steps!$E$5:$E$62,MATCH(B141,Steps!$A$5:$A$62,0)),""))*E141)</f>
        <v/>
      </c>
    </row>
    <row r="142">
      <c r="A142" s="6" t="n"/>
      <c r="B142" s="6" t="n"/>
      <c r="C142" s="3">
        <f>IF(B142="","",IFERROR(INDEX(Steps!$C$5:$C$62,MATCH(B142,Steps!$A$5:$A$62,0)),""))</f>
        <v/>
      </c>
      <c r="D142" s="6" t="n"/>
      <c r="E142" s="8" t="n"/>
      <c r="F142" s="9" t="n"/>
      <c r="G142" s="6" t="n"/>
      <c r="H142" s="11">
        <f>IF(OR(B142="",D142=""),0,N(IFERROR(INDEX(Steps!$E$5:$E$62,MATCH(B142,Steps!$A$5:$A$62,0)),""))*E142)</f>
        <v/>
      </c>
    </row>
    <row r="143">
      <c r="A143" s="6" t="n"/>
      <c r="B143" s="6" t="n"/>
      <c r="C143" s="3">
        <f>IF(B143="","",IFERROR(INDEX(Steps!$C$5:$C$62,MATCH(B143,Steps!$A$5:$A$62,0)),""))</f>
        <v/>
      </c>
      <c r="D143" s="6" t="n"/>
      <c r="E143" s="8" t="n"/>
      <c r="F143" s="9" t="n"/>
      <c r="G143" s="6" t="n"/>
      <c r="H143" s="11">
        <f>IF(OR(B143="",D143=""),0,N(IFERROR(INDEX(Steps!$E$5:$E$62,MATCH(B143,Steps!$A$5:$A$62,0)),""))*E143)</f>
        <v/>
      </c>
    </row>
    <row r="144">
      <c r="A144" s="6" t="n"/>
      <c r="B144" s="6" t="n"/>
      <c r="C144" s="3">
        <f>IF(B144="","",IFERROR(INDEX(Steps!$C$5:$C$62,MATCH(B144,Steps!$A$5:$A$62,0)),""))</f>
        <v/>
      </c>
      <c r="D144" s="6" t="n"/>
      <c r="E144" s="8" t="n"/>
      <c r="F144" s="9" t="n"/>
      <c r="G144" s="6" t="n"/>
      <c r="H144" s="11">
        <f>IF(OR(B144="",D144=""),0,N(IFERROR(INDEX(Steps!$E$5:$E$62,MATCH(B144,Steps!$A$5:$A$62,0)),""))*E144)</f>
        <v/>
      </c>
    </row>
    <row r="145">
      <c r="A145" s="6" t="n"/>
      <c r="B145" s="6" t="n"/>
      <c r="C145" s="3">
        <f>IF(B145="","",IFERROR(INDEX(Steps!$C$5:$C$62,MATCH(B145,Steps!$A$5:$A$62,0)),""))</f>
        <v/>
      </c>
      <c r="D145" s="6" t="n"/>
      <c r="E145" s="8" t="n"/>
      <c r="F145" s="9" t="n"/>
      <c r="G145" s="6" t="n"/>
      <c r="H145" s="11">
        <f>IF(OR(B145="",D145=""),0,N(IFERROR(INDEX(Steps!$E$5:$E$62,MATCH(B145,Steps!$A$5:$A$62,0)),""))*E145)</f>
        <v/>
      </c>
    </row>
    <row r="146">
      <c r="A146" s="6" t="n"/>
      <c r="B146" s="6" t="n"/>
      <c r="C146" s="3">
        <f>IF(B146="","",IFERROR(INDEX(Steps!$C$5:$C$62,MATCH(B146,Steps!$A$5:$A$62,0)),""))</f>
        <v/>
      </c>
      <c r="D146" s="6" t="n"/>
      <c r="E146" s="8" t="n"/>
      <c r="F146" s="9" t="n"/>
      <c r="G146" s="6" t="n"/>
      <c r="H146" s="11">
        <f>IF(OR(B146="",D146=""),0,N(IFERROR(INDEX(Steps!$E$5:$E$62,MATCH(B146,Steps!$A$5:$A$62,0)),""))*E146)</f>
        <v/>
      </c>
    </row>
    <row r="147">
      <c r="A147" s="6" t="n"/>
      <c r="B147" s="6" t="n"/>
      <c r="C147" s="3">
        <f>IF(B147="","",IFERROR(INDEX(Steps!$C$5:$C$62,MATCH(B147,Steps!$A$5:$A$62,0)),""))</f>
        <v/>
      </c>
      <c r="D147" s="6" t="n"/>
      <c r="E147" s="8" t="n"/>
      <c r="F147" s="9" t="n"/>
      <c r="G147" s="6" t="n"/>
      <c r="H147" s="11">
        <f>IF(OR(B147="",D147=""),0,N(IFERROR(INDEX(Steps!$E$5:$E$62,MATCH(B147,Steps!$A$5:$A$62,0)),""))*E147)</f>
        <v/>
      </c>
    </row>
    <row r="148">
      <c r="A148" s="6" t="n"/>
      <c r="B148" s="6" t="n"/>
      <c r="C148" s="3">
        <f>IF(B148="","",IFERROR(INDEX(Steps!$C$5:$C$62,MATCH(B148,Steps!$A$5:$A$62,0)),""))</f>
        <v/>
      </c>
      <c r="D148" s="6" t="n"/>
      <c r="E148" s="8" t="n"/>
      <c r="F148" s="9" t="n"/>
      <c r="G148" s="6" t="n"/>
      <c r="H148" s="11">
        <f>IF(OR(B148="",D148=""),0,N(IFERROR(INDEX(Steps!$E$5:$E$62,MATCH(B148,Steps!$A$5:$A$62,0)),""))*E148)</f>
        <v/>
      </c>
    </row>
    <row r="149">
      <c r="A149" s="6" t="n"/>
      <c r="B149" s="6" t="n"/>
      <c r="C149" s="3">
        <f>IF(B149="","",IFERROR(INDEX(Steps!$C$5:$C$62,MATCH(B149,Steps!$A$5:$A$62,0)),""))</f>
        <v/>
      </c>
      <c r="D149" s="6" t="n"/>
      <c r="E149" s="8" t="n"/>
      <c r="F149" s="9" t="n"/>
      <c r="G149" s="6" t="n"/>
      <c r="H149" s="11">
        <f>IF(OR(B149="",D149=""),0,N(IFERROR(INDEX(Steps!$E$5:$E$62,MATCH(B149,Steps!$A$5:$A$62,0)),""))*E149)</f>
        <v/>
      </c>
    </row>
    <row r="150">
      <c r="A150" s="6" t="n"/>
      <c r="B150" s="6" t="n"/>
      <c r="C150" s="3">
        <f>IF(B150="","",IFERROR(INDEX(Steps!$C$5:$C$62,MATCH(B150,Steps!$A$5:$A$62,0)),""))</f>
        <v/>
      </c>
      <c r="D150" s="6" t="n"/>
      <c r="E150" s="8" t="n"/>
      <c r="F150" s="9" t="n"/>
      <c r="G150" s="6" t="n"/>
      <c r="H150" s="11">
        <f>IF(OR(B150="",D150=""),0,N(IFERROR(INDEX(Steps!$E$5:$E$62,MATCH(B150,Steps!$A$5:$A$62,0)),""))*E150)</f>
        <v/>
      </c>
    </row>
    <row r="151">
      <c r="A151" s="6" t="n"/>
      <c r="B151" s="6" t="n"/>
      <c r="C151" s="3">
        <f>IF(B151="","",IFERROR(INDEX(Steps!$C$5:$C$62,MATCH(B151,Steps!$A$5:$A$62,0)),""))</f>
        <v/>
      </c>
      <c r="D151" s="6" t="n"/>
      <c r="E151" s="8" t="n"/>
      <c r="F151" s="9" t="n"/>
      <c r="G151" s="6" t="n"/>
      <c r="H151" s="11">
        <f>IF(OR(B151="",D151=""),0,N(IFERROR(INDEX(Steps!$E$5:$E$62,MATCH(B151,Steps!$A$5:$A$62,0)),""))*E151)</f>
        <v/>
      </c>
    </row>
    <row r="152">
      <c r="A152" s="6" t="n"/>
      <c r="B152" s="6" t="n"/>
      <c r="C152" s="3">
        <f>IF(B152="","",IFERROR(INDEX(Steps!$C$5:$C$62,MATCH(B152,Steps!$A$5:$A$62,0)),""))</f>
        <v/>
      </c>
      <c r="D152" s="6" t="n"/>
      <c r="E152" s="8" t="n"/>
      <c r="F152" s="9" t="n"/>
      <c r="G152" s="6" t="n"/>
      <c r="H152" s="11">
        <f>IF(OR(B152="",D152=""),0,N(IFERROR(INDEX(Steps!$E$5:$E$62,MATCH(B152,Steps!$A$5:$A$62,0)),""))*E152)</f>
        <v/>
      </c>
    </row>
    <row r="153">
      <c r="A153" s="6" t="n"/>
      <c r="B153" s="6" t="n"/>
      <c r="C153" s="3">
        <f>IF(B153="","",IFERROR(INDEX(Steps!$C$5:$C$62,MATCH(B153,Steps!$A$5:$A$62,0)),""))</f>
        <v/>
      </c>
      <c r="D153" s="6" t="n"/>
      <c r="E153" s="8" t="n"/>
      <c r="F153" s="9" t="n"/>
      <c r="G153" s="6" t="n"/>
      <c r="H153" s="11">
        <f>IF(OR(B153="",D153=""),0,N(IFERROR(INDEX(Steps!$E$5:$E$62,MATCH(B153,Steps!$A$5:$A$62,0)),""))*E153)</f>
        <v/>
      </c>
    </row>
    <row r="154">
      <c r="A154" s="6" t="n"/>
      <c r="B154" s="6" t="n"/>
      <c r="C154" s="3">
        <f>IF(B154="","",IFERROR(INDEX(Steps!$C$5:$C$62,MATCH(B154,Steps!$A$5:$A$62,0)),""))</f>
        <v/>
      </c>
      <c r="D154" s="6" t="n"/>
      <c r="E154" s="8" t="n"/>
      <c r="F154" s="9" t="n"/>
      <c r="G154" s="6" t="n"/>
      <c r="H154" s="11">
        <f>IF(OR(B154="",D154=""),0,N(IFERROR(INDEX(Steps!$E$5:$E$62,MATCH(B154,Steps!$A$5:$A$62,0)),""))*E154)</f>
        <v/>
      </c>
    </row>
    <row r="155">
      <c r="A155" s="6" t="n"/>
      <c r="B155" s="6" t="n"/>
      <c r="C155" s="3">
        <f>IF(B155="","",IFERROR(INDEX(Steps!$C$5:$C$62,MATCH(B155,Steps!$A$5:$A$62,0)),""))</f>
        <v/>
      </c>
      <c r="D155" s="6" t="n"/>
      <c r="E155" s="8" t="n"/>
      <c r="F155" s="9" t="n"/>
      <c r="G155" s="6" t="n"/>
      <c r="H155" s="11">
        <f>IF(OR(B155="",D155=""),0,N(IFERROR(INDEX(Steps!$E$5:$E$62,MATCH(B155,Steps!$A$5:$A$62,0)),""))*E155)</f>
        <v/>
      </c>
    </row>
    <row r="156">
      <c r="A156" s="6" t="n"/>
      <c r="B156" s="6" t="n"/>
      <c r="C156" s="3">
        <f>IF(B156="","",IFERROR(INDEX(Steps!$C$5:$C$62,MATCH(B156,Steps!$A$5:$A$62,0)),""))</f>
        <v/>
      </c>
      <c r="D156" s="6" t="n"/>
      <c r="E156" s="8" t="n"/>
      <c r="F156" s="9" t="n"/>
      <c r="G156" s="6" t="n"/>
      <c r="H156" s="11">
        <f>IF(OR(B156="",D156=""),0,N(IFERROR(INDEX(Steps!$E$5:$E$62,MATCH(B156,Steps!$A$5:$A$62,0)),""))*E156)</f>
        <v/>
      </c>
    </row>
    <row r="157">
      <c r="A157" s="6" t="n"/>
      <c r="B157" s="6" t="n"/>
      <c r="C157" s="3">
        <f>IF(B157="","",IFERROR(INDEX(Steps!$C$5:$C$62,MATCH(B157,Steps!$A$5:$A$62,0)),""))</f>
        <v/>
      </c>
      <c r="D157" s="6" t="n"/>
      <c r="E157" s="8" t="n"/>
      <c r="F157" s="9" t="n"/>
      <c r="G157" s="6" t="n"/>
      <c r="H157" s="11">
        <f>IF(OR(B157="",D157=""),0,N(IFERROR(INDEX(Steps!$E$5:$E$62,MATCH(B157,Steps!$A$5:$A$62,0)),""))*E157)</f>
        <v/>
      </c>
    </row>
    <row r="158">
      <c r="A158" s="6" t="n"/>
      <c r="B158" s="6" t="n"/>
      <c r="C158" s="3">
        <f>IF(B158="","",IFERROR(INDEX(Steps!$C$5:$C$62,MATCH(B158,Steps!$A$5:$A$62,0)),""))</f>
        <v/>
      </c>
      <c r="D158" s="6" t="n"/>
      <c r="E158" s="8" t="n"/>
      <c r="F158" s="9" t="n"/>
      <c r="G158" s="6" t="n"/>
      <c r="H158" s="11">
        <f>IF(OR(B158="",D158=""),0,N(IFERROR(INDEX(Steps!$E$5:$E$62,MATCH(B158,Steps!$A$5:$A$62,0)),""))*E158)</f>
        <v/>
      </c>
    </row>
    <row r="159">
      <c r="A159" s="6" t="n"/>
      <c r="B159" s="6" t="n"/>
      <c r="C159" s="3">
        <f>IF(B159="","",IFERROR(INDEX(Steps!$C$5:$C$62,MATCH(B159,Steps!$A$5:$A$62,0)),""))</f>
        <v/>
      </c>
      <c r="D159" s="6" t="n"/>
      <c r="E159" s="8" t="n"/>
      <c r="F159" s="9" t="n"/>
      <c r="G159" s="6" t="n"/>
      <c r="H159" s="11">
        <f>IF(OR(B159="",D159=""),0,N(IFERROR(INDEX(Steps!$E$5:$E$62,MATCH(B159,Steps!$A$5:$A$62,0)),""))*E159)</f>
        <v/>
      </c>
    </row>
    <row r="160">
      <c r="A160" s="6" t="n"/>
      <c r="B160" s="6" t="n"/>
      <c r="C160" s="3">
        <f>IF(B160="","",IFERROR(INDEX(Steps!$C$5:$C$62,MATCH(B160,Steps!$A$5:$A$62,0)),""))</f>
        <v/>
      </c>
      <c r="D160" s="6" t="n"/>
      <c r="E160" s="8" t="n"/>
      <c r="F160" s="9" t="n"/>
      <c r="G160" s="6" t="n"/>
      <c r="H160" s="11">
        <f>IF(OR(B160="",D160=""),0,N(IFERROR(INDEX(Steps!$E$5:$E$62,MATCH(B160,Steps!$A$5:$A$62,0)),""))*E160)</f>
        <v/>
      </c>
    </row>
    <row r="161">
      <c r="A161" s="6" t="n"/>
      <c r="B161" s="6" t="n"/>
      <c r="C161" s="3">
        <f>IF(B161="","",IFERROR(INDEX(Steps!$C$5:$C$62,MATCH(B161,Steps!$A$5:$A$62,0)),""))</f>
        <v/>
      </c>
      <c r="D161" s="6" t="n"/>
      <c r="E161" s="8" t="n"/>
      <c r="F161" s="9" t="n"/>
      <c r="G161" s="6" t="n"/>
      <c r="H161" s="11">
        <f>IF(OR(B161="",D161=""),0,N(IFERROR(INDEX(Steps!$E$5:$E$62,MATCH(B161,Steps!$A$5:$A$62,0)),""))*E161)</f>
        <v/>
      </c>
    </row>
    <row r="162">
      <c r="A162" s="6" t="n"/>
      <c r="B162" s="6" t="n"/>
      <c r="C162" s="3">
        <f>IF(B162="","",IFERROR(INDEX(Steps!$C$5:$C$62,MATCH(B162,Steps!$A$5:$A$62,0)),""))</f>
        <v/>
      </c>
      <c r="D162" s="6" t="n"/>
      <c r="E162" s="8" t="n"/>
      <c r="F162" s="9" t="n"/>
      <c r="G162" s="6" t="n"/>
      <c r="H162" s="11">
        <f>IF(OR(B162="",D162=""),0,N(IFERROR(INDEX(Steps!$E$5:$E$62,MATCH(B162,Steps!$A$5:$A$62,0)),""))*E162)</f>
        <v/>
      </c>
    </row>
    <row r="163">
      <c r="A163" s="6" t="n"/>
      <c r="B163" s="6" t="n"/>
      <c r="C163" s="3">
        <f>IF(B163="","",IFERROR(INDEX(Steps!$C$5:$C$62,MATCH(B163,Steps!$A$5:$A$62,0)),""))</f>
        <v/>
      </c>
      <c r="D163" s="6" t="n"/>
      <c r="E163" s="8" t="n"/>
      <c r="F163" s="9" t="n"/>
      <c r="G163" s="6" t="n"/>
      <c r="H163" s="11">
        <f>IF(OR(B163="",D163=""),0,N(IFERROR(INDEX(Steps!$E$5:$E$62,MATCH(B163,Steps!$A$5:$A$62,0)),""))*E163)</f>
        <v/>
      </c>
    </row>
    <row r="164">
      <c r="A164" s="6" t="n"/>
      <c r="B164" s="6" t="n"/>
      <c r="C164" s="3">
        <f>IF(B164="","",IFERROR(INDEX(Steps!$C$5:$C$62,MATCH(B164,Steps!$A$5:$A$62,0)),""))</f>
        <v/>
      </c>
      <c r="D164" s="6" t="n"/>
      <c r="E164" s="8" t="n"/>
      <c r="F164" s="9" t="n"/>
      <c r="G164" s="6" t="n"/>
      <c r="H164" s="11">
        <f>IF(OR(B164="",D164=""),0,N(IFERROR(INDEX(Steps!$E$5:$E$62,MATCH(B164,Steps!$A$5:$A$62,0)),""))*E164)</f>
        <v/>
      </c>
    </row>
    <row r="165">
      <c r="A165" s="6" t="n"/>
      <c r="B165" s="6" t="n"/>
      <c r="C165" s="3">
        <f>IF(B165="","",IFERROR(INDEX(Steps!$C$5:$C$62,MATCH(B165,Steps!$A$5:$A$62,0)),""))</f>
        <v/>
      </c>
      <c r="D165" s="6" t="n"/>
      <c r="E165" s="8" t="n"/>
      <c r="F165" s="9" t="n"/>
      <c r="G165" s="6" t="n"/>
      <c r="H165" s="11">
        <f>IF(OR(B165="",D165=""),0,N(IFERROR(INDEX(Steps!$E$5:$E$62,MATCH(B165,Steps!$A$5:$A$62,0)),""))*E165)</f>
        <v/>
      </c>
    </row>
    <row r="166">
      <c r="A166" s="6" t="n"/>
      <c r="B166" s="6" t="n"/>
      <c r="C166" s="3">
        <f>IF(B166="","",IFERROR(INDEX(Steps!$C$5:$C$62,MATCH(B166,Steps!$A$5:$A$62,0)),""))</f>
        <v/>
      </c>
      <c r="D166" s="6" t="n"/>
      <c r="E166" s="8" t="n"/>
      <c r="F166" s="9" t="n"/>
      <c r="G166" s="6" t="n"/>
      <c r="H166" s="11">
        <f>IF(OR(B166="",D166=""),0,N(IFERROR(INDEX(Steps!$E$5:$E$62,MATCH(B166,Steps!$A$5:$A$62,0)),""))*E166)</f>
        <v/>
      </c>
    </row>
    <row r="167">
      <c r="A167" s="6" t="n"/>
      <c r="B167" s="6" t="n"/>
      <c r="C167" s="3">
        <f>IF(B167="","",IFERROR(INDEX(Steps!$C$5:$C$62,MATCH(B167,Steps!$A$5:$A$62,0)),""))</f>
        <v/>
      </c>
      <c r="D167" s="6" t="n"/>
      <c r="E167" s="8" t="n"/>
      <c r="F167" s="9" t="n"/>
      <c r="G167" s="6" t="n"/>
      <c r="H167" s="11">
        <f>IF(OR(B167="",D167=""),0,N(IFERROR(INDEX(Steps!$E$5:$E$62,MATCH(B167,Steps!$A$5:$A$62,0)),""))*E167)</f>
        <v/>
      </c>
    </row>
    <row r="168">
      <c r="A168" s="6" t="n"/>
      <c r="B168" s="6" t="n"/>
      <c r="C168" s="3">
        <f>IF(B168="","",IFERROR(INDEX(Steps!$C$5:$C$62,MATCH(B168,Steps!$A$5:$A$62,0)),""))</f>
        <v/>
      </c>
      <c r="D168" s="6" t="n"/>
      <c r="E168" s="8" t="n"/>
      <c r="F168" s="9" t="n"/>
      <c r="G168" s="6" t="n"/>
      <c r="H168" s="11">
        <f>IF(OR(B168="",D168=""),0,N(IFERROR(INDEX(Steps!$E$5:$E$62,MATCH(B168,Steps!$A$5:$A$62,0)),""))*E168)</f>
        <v/>
      </c>
    </row>
    <row r="169">
      <c r="A169" s="6" t="n"/>
      <c r="B169" s="6" t="n"/>
      <c r="C169" s="3">
        <f>IF(B169="","",IFERROR(INDEX(Steps!$C$5:$C$62,MATCH(B169,Steps!$A$5:$A$62,0)),""))</f>
        <v/>
      </c>
      <c r="D169" s="6" t="n"/>
      <c r="E169" s="8" t="n"/>
      <c r="F169" s="9" t="n"/>
      <c r="G169" s="6" t="n"/>
      <c r="H169" s="11">
        <f>IF(OR(B169="",D169=""),0,N(IFERROR(INDEX(Steps!$E$5:$E$62,MATCH(B169,Steps!$A$5:$A$62,0)),""))*E169)</f>
        <v/>
      </c>
    </row>
    <row r="170">
      <c r="A170" s="6" t="n"/>
      <c r="B170" s="6" t="n"/>
      <c r="C170" s="3">
        <f>IF(B170="","",IFERROR(INDEX(Steps!$C$5:$C$62,MATCH(B170,Steps!$A$5:$A$62,0)),""))</f>
        <v/>
      </c>
      <c r="D170" s="6" t="n"/>
      <c r="E170" s="8" t="n"/>
      <c r="F170" s="9" t="n"/>
      <c r="G170" s="6" t="n"/>
      <c r="H170" s="11">
        <f>IF(OR(B170="",D170=""),0,N(IFERROR(INDEX(Steps!$E$5:$E$62,MATCH(B170,Steps!$A$5:$A$62,0)),""))*E170)</f>
        <v/>
      </c>
    </row>
    <row r="171">
      <c r="A171" s="6" t="n"/>
      <c r="B171" s="6" t="n"/>
      <c r="C171" s="3">
        <f>IF(B171="","",IFERROR(INDEX(Steps!$C$5:$C$62,MATCH(B171,Steps!$A$5:$A$62,0)),""))</f>
        <v/>
      </c>
      <c r="D171" s="6" t="n"/>
      <c r="E171" s="8" t="n"/>
      <c r="F171" s="9" t="n"/>
      <c r="G171" s="6" t="n"/>
      <c r="H171" s="11">
        <f>IF(OR(B171="",D171=""),0,N(IFERROR(INDEX(Steps!$E$5:$E$62,MATCH(B171,Steps!$A$5:$A$62,0)),""))*E171)</f>
        <v/>
      </c>
    </row>
    <row r="172">
      <c r="A172" s="6" t="n"/>
      <c r="B172" s="6" t="n"/>
      <c r="C172" s="3">
        <f>IF(B172="","",IFERROR(INDEX(Steps!$C$5:$C$62,MATCH(B172,Steps!$A$5:$A$62,0)),""))</f>
        <v/>
      </c>
      <c r="D172" s="6" t="n"/>
      <c r="E172" s="8" t="n"/>
      <c r="F172" s="9" t="n"/>
      <c r="G172" s="6" t="n"/>
      <c r="H172" s="11">
        <f>IF(OR(B172="",D172=""),0,N(IFERROR(INDEX(Steps!$E$5:$E$62,MATCH(B172,Steps!$A$5:$A$62,0)),""))*E172)</f>
        <v/>
      </c>
    </row>
    <row r="173">
      <c r="A173" s="6" t="n"/>
      <c r="B173" s="6" t="n"/>
      <c r="C173" s="3">
        <f>IF(B173="","",IFERROR(INDEX(Steps!$C$5:$C$62,MATCH(B173,Steps!$A$5:$A$62,0)),""))</f>
        <v/>
      </c>
      <c r="D173" s="6" t="n"/>
      <c r="E173" s="8" t="n"/>
      <c r="F173" s="9" t="n"/>
      <c r="G173" s="6" t="n"/>
      <c r="H173" s="11">
        <f>IF(OR(B173="",D173=""),0,N(IFERROR(INDEX(Steps!$E$5:$E$62,MATCH(B173,Steps!$A$5:$A$62,0)),""))*E173)</f>
        <v/>
      </c>
    </row>
    <row r="174">
      <c r="A174" s="6" t="n"/>
      <c r="B174" s="6" t="n"/>
      <c r="C174" s="3">
        <f>IF(B174="","",IFERROR(INDEX(Steps!$C$5:$C$62,MATCH(B174,Steps!$A$5:$A$62,0)),""))</f>
        <v/>
      </c>
      <c r="D174" s="6" t="n"/>
      <c r="E174" s="8" t="n"/>
      <c r="F174" s="9" t="n"/>
      <c r="G174" s="6" t="n"/>
      <c r="H174" s="11">
        <f>IF(OR(B174="",D174=""),0,N(IFERROR(INDEX(Steps!$E$5:$E$62,MATCH(B174,Steps!$A$5:$A$62,0)),""))*E174)</f>
        <v/>
      </c>
    </row>
    <row r="175">
      <c r="A175" s="6" t="n"/>
      <c r="B175" s="6" t="n"/>
      <c r="C175" s="3">
        <f>IF(B175="","",IFERROR(INDEX(Steps!$C$5:$C$62,MATCH(B175,Steps!$A$5:$A$62,0)),""))</f>
        <v/>
      </c>
      <c r="D175" s="6" t="n"/>
      <c r="E175" s="8" t="n"/>
      <c r="F175" s="9" t="n"/>
      <c r="G175" s="6" t="n"/>
      <c r="H175" s="11">
        <f>IF(OR(B175="",D175=""),0,N(IFERROR(INDEX(Steps!$E$5:$E$62,MATCH(B175,Steps!$A$5:$A$62,0)),""))*E175)</f>
        <v/>
      </c>
    </row>
    <row r="176">
      <c r="A176" s="6" t="n"/>
      <c r="B176" s="6" t="n"/>
      <c r="C176" s="3">
        <f>IF(B176="","",IFERROR(INDEX(Steps!$C$5:$C$62,MATCH(B176,Steps!$A$5:$A$62,0)),""))</f>
        <v/>
      </c>
      <c r="D176" s="6" t="n"/>
      <c r="E176" s="8" t="n"/>
      <c r="F176" s="9" t="n"/>
      <c r="G176" s="6" t="n"/>
      <c r="H176" s="11">
        <f>IF(OR(B176="",D176=""),0,N(IFERROR(INDEX(Steps!$E$5:$E$62,MATCH(B176,Steps!$A$5:$A$62,0)),""))*E176)</f>
        <v/>
      </c>
    </row>
    <row r="177">
      <c r="A177" s="6" t="n"/>
      <c r="B177" s="6" t="n"/>
      <c r="C177" s="3">
        <f>IF(B177="","",IFERROR(INDEX(Steps!$C$5:$C$62,MATCH(B177,Steps!$A$5:$A$62,0)),""))</f>
        <v/>
      </c>
      <c r="D177" s="6" t="n"/>
      <c r="E177" s="8" t="n"/>
      <c r="F177" s="9" t="n"/>
      <c r="G177" s="6" t="n"/>
      <c r="H177" s="11">
        <f>IF(OR(B177="",D177=""),0,N(IFERROR(INDEX(Steps!$E$5:$E$62,MATCH(B177,Steps!$A$5:$A$62,0)),""))*E177)</f>
        <v/>
      </c>
    </row>
    <row r="178">
      <c r="A178" s="6" t="n"/>
      <c r="B178" s="6" t="n"/>
      <c r="C178" s="3">
        <f>IF(B178="","",IFERROR(INDEX(Steps!$C$5:$C$62,MATCH(B178,Steps!$A$5:$A$62,0)),""))</f>
        <v/>
      </c>
      <c r="D178" s="6" t="n"/>
      <c r="E178" s="8" t="n"/>
      <c r="F178" s="9" t="n"/>
      <c r="G178" s="6" t="n"/>
      <c r="H178" s="11">
        <f>IF(OR(B178="",D178=""),0,N(IFERROR(INDEX(Steps!$E$5:$E$62,MATCH(B178,Steps!$A$5:$A$62,0)),""))*E178)</f>
        <v/>
      </c>
    </row>
    <row r="179">
      <c r="A179" s="6" t="n"/>
      <c r="B179" s="6" t="n"/>
      <c r="C179" s="3">
        <f>IF(B179="","",IFERROR(INDEX(Steps!$C$5:$C$62,MATCH(B179,Steps!$A$5:$A$62,0)),""))</f>
        <v/>
      </c>
      <c r="D179" s="6" t="n"/>
      <c r="E179" s="8" t="n"/>
      <c r="F179" s="9" t="n"/>
      <c r="G179" s="6" t="n"/>
      <c r="H179" s="11">
        <f>IF(OR(B179="",D179=""),0,N(IFERROR(INDEX(Steps!$E$5:$E$62,MATCH(B179,Steps!$A$5:$A$62,0)),""))*E179)</f>
        <v/>
      </c>
    </row>
    <row r="180">
      <c r="A180" s="6" t="n"/>
      <c r="B180" s="6" t="n"/>
      <c r="C180" s="3">
        <f>IF(B180="","",IFERROR(INDEX(Steps!$C$5:$C$62,MATCH(B180,Steps!$A$5:$A$62,0)),""))</f>
        <v/>
      </c>
      <c r="D180" s="6" t="n"/>
      <c r="E180" s="8" t="n"/>
      <c r="F180" s="9" t="n"/>
      <c r="G180" s="6" t="n"/>
      <c r="H180" s="11">
        <f>IF(OR(B180="",D180=""),0,N(IFERROR(INDEX(Steps!$E$5:$E$62,MATCH(B180,Steps!$A$5:$A$62,0)),""))*E180)</f>
        <v/>
      </c>
    </row>
    <row r="181">
      <c r="A181" s="6" t="n"/>
      <c r="B181" s="6" t="n"/>
      <c r="C181" s="3">
        <f>IF(B181="","",IFERROR(INDEX(Steps!$C$5:$C$62,MATCH(B181,Steps!$A$5:$A$62,0)),""))</f>
        <v/>
      </c>
      <c r="D181" s="6" t="n"/>
      <c r="E181" s="8" t="n"/>
      <c r="F181" s="9" t="n"/>
      <c r="G181" s="6" t="n"/>
      <c r="H181" s="11">
        <f>IF(OR(B181="",D181=""),0,N(IFERROR(INDEX(Steps!$E$5:$E$62,MATCH(B181,Steps!$A$5:$A$62,0)),""))*E181)</f>
        <v/>
      </c>
    </row>
    <row r="182">
      <c r="A182" s="6" t="n"/>
      <c r="B182" s="6" t="n"/>
      <c r="C182" s="3">
        <f>IF(B182="","",IFERROR(INDEX(Steps!$C$5:$C$62,MATCH(B182,Steps!$A$5:$A$62,0)),""))</f>
        <v/>
      </c>
      <c r="D182" s="6" t="n"/>
      <c r="E182" s="8" t="n"/>
      <c r="F182" s="9" t="n"/>
      <c r="G182" s="6" t="n"/>
      <c r="H182" s="11">
        <f>IF(OR(B182="",D182=""),0,N(IFERROR(INDEX(Steps!$E$5:$E$62,MATCH(B182,Steps!$A$5:$A$62,0)),""))*E182)</f>
        <v/>
      </c>
    </row>
    <row r="183">
      <c r="A183" s="6" t="n"/>
      <c r="B183" s="6" t="n"/>
      <c r="C183" s="3">
        <f>IF(B183="","",IFERROR(INDEX(Steps!$C$5:$C$62,MATCH(B183,Steps!$A$5:$A$62,0)),""))</f>
        <v/>
      </c>
      <c r="D183" s="6" t="n"/>
      <c r="E183" s="8" t="n"/>
      <c r="F183" s="9" t="n"/>
      <c r="G183" s="6" t="n"/>
      <c r="H183" s="11">
        <f>IF(OR(B183="",D183=""),0,N(IFERROR(INDEX(Steps!$E$5:$E$62,MATCH(B183,Steps!$A$5:$A$62,0)),""))*E183)</f>
        <v/>
      </c>
    </row>
    <row r="184">
      <c r="A184" s="6" t="n"/>
      <c r="B184" s="6" t="n"/>
      <c r="C184" s="3">
        <f>IF(B184="","",IFERROR(INDEX(Steps!$C$5:$C$62,MATCH(B184,Steps!$A$5:$A$62,0)),""))</f>
        <v/>
      </c>
      <c r="D184" s="6" t="n"/>
      <c r="E184" s="8" t="n"/>
      <c r="F184" s="9" t="n"/>
      <c r="G184" s="6" t="n"/>
      <c r="H184" s="11">
        <f>IF(OR(B184="",D184=""),0,N(IFERROR(INDEX(Steps!$E$5:$E$62,MATCH(B184,Steps!$A$5:$A$62,0)),""))*E184)</f>
        <v/>
      </c>
    </row>
    <row r="185">
      <c r="A185" s="6" t="n"/>
      <c r="B185" s="6" t="n"/>
      <c r="C185" s="3">
        <f>IF(B185="","",IFERROR(INDEX(Steps!$C$5:$C$62,MATCH(B185,Steps!$A$5:$A$62,0)),""))</f>
        <v/>
      </c>
      <c r="D185" s="6" t="n"/>
      <c r="E185" s="8" t="n"/>
      <c r="F185" s="9" t="n"/>
      <c r="G185" s="6" t="n"/>
      <c r="H185" s="11">
        <f>IF(OR(B185="",D185=""),0,N(IFERROR(INDEX(Steps!$E$5:$E$62,MATCH(B185,Steps!$A$5:$A$62,0)),""))*E185)</f>
        <v/>
      </c>
    </row>
    <row r="186">
      <c r="A186" s="6" t="n"/>
      <c r="B186" s="6" t="n"/>
      <c r="C186" s="3">
        <f>IF(B186="","",IFERROR(INDEX(Steps!$C$5:$C$62,MATCH(B186,Steps!$A$5:$A$62,0)),""))</f>
        <v/>
      </c>
      <c r="D186" s="6" t="n"/>
      <c r="E186" s="8" t="n"/>
      <c r="F186" s="9" t="n"/>
      <c r="G186" s="6" t="n"/>
      <c r="H186" s="11">
        <f>IF(OR(B186="",D186=""),0,N(IFERROR(INDEX(Steps!$E$5:$E$62,MATCH(B186,Steps!$A$5:$A$62,0)),""))*E186)</f>
        <v/>
      </c>
    </row>
    <row r="187">
      <c r="A187" s="6" t="n"/>
      <c r="B187" s="6" t="n"/>
      <c r="C187" s="3">
        <f>IF(B187="","",IFERROR(INDEX(Steps!$C$5:$C$62,MATCH(B187,Steps!$A$5:$A$62,0)),""))</f>
        <v/>
      </c>
      <c r="D187" s="6" t="n"/>
      <c r="E187" s="8" t="n"/>
      <c r="F187" s="9" t="n"/>
      <c r="G187" s="6" t="n"/>
      <c r="H187" s="11">
        <f>IF(OR(B187="",D187=""),0,N(IFERROR(INDEX(Steps!$E$5:$E$62,MATCH(B187,Steps!$A$5:$A$62,0)),""))*E187)</f>
        <v/>
      </c>
    </row>
    <row r="188">
      <c r="A188" s="6" t="n"/>
      <c r="B188" s="6" t="n"/>
      <c r="C188" s="3">
        <f>IF(B188="","",IFERROR(INDEX(Steps!$C$5:$C$62,MATCH(B188,Steps!$A$5:$A$62,0)),""))</f>
        <v/>
      </c>
      <c r="D188" s="6" t="n"/>
      <c r="E188" s="8" t="n"/>
      <c r="F188" s="9" t="n"/>
      <c r="G188" s="6" t="n"/>
      <c r="H188" s="11">
        <f>IF(OR(B188="",D188=""),0,N(IFERROR(INDEX(Steps!$E$5:$E$62,MATCH(B188,Steps!$A$5:$A$62,0)),""))*E188)</f>
        <v/>
      </c>
    </row>
    <row r="189">
      <c r="A189" s="6" t="n"/>
      <c r="B189" s="6" t="n"/>
      <c r="C189" s="3">
        <f>IF(B189="","",IFERROR(INDEX(Steps!$C$5:$C$62,MATCH(B189,Steps!$A$5:$A$62,0)),""))</f>
        <v/>
      </c>
      <c r="D189" s="6" t="n"/>
      <c r="E189" s="8" t="n"/>
      <c r="F189" s="9" t="n"/>
      <c r="G189" s="6" t="n"/>
      <c r="H189" s="11">
        <f>IF(OR(B189="",D189=""),0,N(IFERROR(INDEX(Steps!$E$5:$E$62,MATCH(B189,Steps!$A$5:$A$62,0)),""))*E189)</f>
        <v/>
      </c>
    </row>
    <row r="190">
      <c r="A190" s="6" t="n"/>
      <c r="B190" s="6" t="n"/>
      <c r="C190" s="3">
        <f>IF(B190="","",IFERROR(INDEX(Steps!$C$5:$C$62,MATCH(B190,Steps!$A$5:$A$62,0)),""))</f>
        <v/>
      </c>
      <c r="D190" s="6" t="n"/>
      <c r="E190" s="8" t="n"/>
      <c r="F190" s="9" t="n"/>
      <c r="G190" s="6" t="n"/>
      <c r="H190" s="11">
        <f>IF(OR(B190="",D190=""),0,N(IFERROR(INDEX(Steps!$E$5:$E$62,MATCH(B190,Steps!$A$5:$A$62,0)),""))*E190)</f>
        <v/>
      </c>
    </row>
    <row r="191">
      <c r="A191" s="6" t="n"/>
      <c r="B191" s="6" t="n"/>
      <c r="C191" s="3">
        <f>IF(B191="","",IFERROR(INDEX(Steps!$C$5:$C$62,MATCH(B191,Steps!$A$5:$A$62,0)),""))</f>
        <v/>
      </c>
      <c r="D191" s="6" t="n"/>
      <c r="E191" s="8" t="n"/>
      <c r="F191" s="9" t="n"/>
      <c r="G191" s="6" t="n"/>
      <c r="H191" s="11">
        <f>IF(OR(B191="",D191=""),0,N(IFERROR(INDEX(Steps!$E$5:$E$62,MATCH(B191,Steps!$A$5:$A$62,0)),""))*E191)</f>
        <v/>
      </c>
    </row>
    <row r="192">
      <c r="A192" s="6" t="n"/>
      <c r="B192" s="6" t="n"/>
      <c r="C192" s="3">
        <f>IF(B192="","",IFERROR(INDEX(Steps!$C$5:$C$62,MATCH(B192,Steps!$A$5:$A$62,0)),""))</f>
        <v/>
      </c>
      <c r="D192" s="6" t="n"/>
      <c r="E192" s="8" t="n"/>
      <c r="F192" s="9" t="n"/>
      <c r="G192" s="6" t="n"/>
      <c r="H192" s="11">
        <f>IF(OR(B192="",D192=""),0,N(IFERROR(INDEX(Steps!$E$5:$E$62,MATCH(B192,Steps!$A$5:$A$62,0)),""))*E192)</f>
        <v/>
      </c>
    </row>
    <row r="193">
      <c r="A193" s="6" t="n"/>
      <c r="B193" s="6" t="n"/>
      <c r="C193" s="3">
        <f>IF(B193="","",IFERROR(INDEX(Steps!$C$5:$C$62,MATCH(B193,Steps!$A$5:$A$62,0)),""))</f>
        <v/>
      </c>
      <c r="D193" s="6" t="n"/>
      <c r="E193" s="8" t="n"/>
      <c r="F193" s="9" t="n"/>
      <c r="G193" s="6" t="n"/>
      <c r="H193" s="11">
        <f>IF(OR(B193="",D193=""),0,N(IFERROR(INDEX(Steps!$E$5:$E$62,MATCH(B193,Steps!$A$5:$A$62,0)),""))*E193)</f>
        <v/>
      </c>
    </row>
    <row r="194">
      <c r="A194" s="6" t="n"/>
      <c r="B194" s="6" t="n"/>
      <c r="C194" s="3">
        <f>IF(B194="","",IFERROR(INDEX(Steps!$C$5:$C$62,MATCH(B194,Steps!$A$5:$A$62,0)),""))</f>
        <v/>
      </c>
      <c r="D194" s="6" t="n"/>
      <c r="E194" s="8" t="n"/>
      <c r="F194" s="9" t="n"/>
      <c r="G194" s="6" t="n"/>
      <c r="H194" s="11">
        <f>IF(OR(B194="",D194=""),0,N(IFERROR(INDEX(Steps!$E$5:$E$62,MATCH(B194,Steps!$A$5:$A$62,0)),""))*E194)</f>
        <v/>
      </c>
    </row>
    <row r="195">
      <c r="A195" s="6" t="n"/>
      <c r="B195" s="6" t="n"/>
      <c r="C195" s="3">
        <f>IF(B195="","",IFERROR(INDEX(Steps!$C$5:$C$62,MATCH(B195,Steps!$A$5:$A$62,0)),""))</f>
        <v/>
      </c>
      <c r="D195" s="6" t="n"/>
      <c r="E195" s="8" t="n"/>
      <c r="F195" s="9" t="n"/>
      <c r="G195" s="6" t="n"/>
      <c r="H195" s="11">
        <f>IF(OR(B195="",D195=""),0,N(IFERROR(INDEX(Steps!$E$5:$E$62,MATCH(B195,Steps!$A$5:$A$62,0)),""))*E195)</f>
        <v/>
      </c>
    </row>
    <row r="196">
      <c r="A196" s="6" t="n"/>
      <c r="B196" s="6" t="n"/>
      <c r="C196" s="3">
        <f>IF(B196="","",IFERROR(INDEX(Steps!$C$5:$C$62,MATCH(B196,Steps!$A$5:$A$62,0)),""))</f>
        <v/>
      </c>
      <c r="D196" s="6" t="n"/>
      <c r="E196" s="8" t="n"/>
      <c r="F196" s="9" t="n"/>
      <c r="G196" s="6" t="n"/>
      <c r="H196" s="11">
        <f>IF(OR(B196="",D196=""),0,N(IFERROR(INDEX(Steps!$E$5:$E$62,MATCH(B196,Steps!$A$5:$A$62,0)),""))*E196)</f>
        <v/>
      </c>
    </row>
    <row r="197">
      <c r="A197" s="6" t="n"/>
      <c r="B197" s="6" t="n"/>
      <c r="C197" s="3">
        <f>IF(B197="","",IFERROR(INDEX(Steps!$C$5:$C$62,MATCH(B197,Steps!$A$5:$A$62,0)),""))</f>
        <v/>
      </c>
      <c r="D197" s="6" t="n"/>
      <c r="E197" s="8" t="n"/>
      <c r="F197" s="9" t="n"/>
      <c r="G197" s="6" t="n"/>
      <c r="H197" s="11">
        <f>IF(OR(B197="",D197=""),0,N(IFERROR(INDEX(Steps!$E$5:$E$62,MATCH(B197,Steps!$A$5:$A$62,0)),""))*E197)</f>
        <v/>
      </c>
    </row>
    <row r="198">
      <c r="A198" s="6" t="n"/>
      <c r="B198" s="6" t="n"/>
      <c r="C198" s="3">
        <f>IF(B198="","",IFERROR(INDEX(Steps!$C$5:$C$62,MATCH(B198,Steps!$A$5:$A$62,0)),""))</f>
        <v/>
      </c>
      <c r="D198" s="6" t="n"/>
      <c r="E198" s="8" t="n"/>
      <c r="F198" s="9" t="n"/>
      <c r="G198" s="6" t="n"/>
      <c r="H198" s="11">
        <f>IF(OR(B198="",D198=""),0,N(IFERROR(INDEX(Steps!$E$5:$E$62,MATCH(B198,Steps!$A$5:$A$62,0)),""))*E198)</f>
        <v/>
      </c>
    </row>
    <row r="199">
      <c r="A199" s="6" t="n"/>
      <c r="B199" s="6" t="n"/>
      <c r="C199" s="3">
        <f>IF(B199="","",IFERROR(INDEX(Steps!$C$5:$C$62,MATCH(B199,Steps!$A$5:$A$62,0)),""))</f>
        <v/>
      </c>
      <c r="D199" s="6" t="n"/>
      <c r="E199" s="8" t="n"/>
      <c r="F199" s="9" t="n"/>
      <c r="G199" s="6" t="n"/>
      <c r="H199" s="11">
        <f>IF(OR(B199="",D199=""),0,N(IFERROR(INDEX(Steps!$E$5:$E$62,MATCH(B199,Steps!$A$5:$A$62,0)),""))*E199)</f>
        <v/>
      </c>
    </row>
    <row r="200">
      <c r="A200" s="6" t="n"/>
      <c r="B200" s="6" t="n"/>
      <c r="C200" s="3">
        <f>IF(B200="","",IFERROR(INDEX(Steps!$C$5:$C$62,MATCH(B200,Steps!$A$5:$A$62,0)),""))</f>
        <v/>
      </c>
      <c r="D200" s="6" t="n"/>
      <c r="E200" s="8" t="n"/>
      <c r="F200" s="9" t="n"/>
      <c r="G200" s="6" t="n"/>
      <c r="H200" s="11">
        <f>IF(OR(B200="",D200=""),0,N(IFERROR(INDEX(Steps!$E$5:$E$62,MATCH(B200,Steps!$A$5:$A$62,0)),""))*E200)</f>
        <v/>
      </c>
    </row>
    <row r="201">
      <c r="A201" s="6" t="n"/>
      <c r="B201" s="6" t="n"/>
      <c r="C201" s="3">
        <f>IF(B201="","",IFERROR(INDEX(Steps!$C$5:$C$62,MATCH(B201,Steps!$A$5:$A$62,0)),""))</f>
        <v/>
      </c>
      <c r="D201" s="6" t="n"/>
      <c r="E201" s="8" t="n"/>
      <c r="F201" s="9" t="n"/>
      <c r="G201" s="6" t="n"/>
      <c r="H201" s="11">
        <f>IF(OR(B201="",D201=""),0,N(IFERROR(INDEX(Steps!$E$5:$E$62,MATCH(B201,Steps!$A$5:$A$62,0)),""))*E201)</f>
        <v/>
      </c>
    </row>
    <row r="202">
      <c r="A202" s="6" t="n"/>
      <c r="B202" s="6" t="n"/>
      <c r="C202" s="3">
        <f>IF(B202="","",IFERROR(INDEX(Steps!$C$5:$C$62,MATCH(B202,Steps!$A$5:$A$62,0)),""))</f>
        <v/>
      </c>
      <c r="D202" s="6" t="n"/>
      <c r="E202" s="8" t="n"/>
      <c r="F202" s="9" t="n"/>
      <c r="G202" s="6" t="n"/>
      <c r="H202" s="11">
        <f>IF(OR(B202="",D202=""),0,N(IFERROR(INDEX(Steps!$E$5:$E$62,MATCH(B202,Steps!$A$5:$A$62,0)),""))*E202)</f>
        <v/>
      </c>
    </row>
    <row r="203">
      <c r="A203" s="6" t="n"/>
      <c r="B203" s="6" t="n"/>
      <c r="C203" s="3">
        <f>IF(B203="","",IFERROR(INDEX(Steps!$C$5:$C$62,MATCH(B203,Steps!$A$5:$A$62,0)),""))</f>
        <v/>
      </c>
      <c r="D203" s="6" t="n"/>
      <c r="E203" s="8" t="n"/>
      <c r="F203" s="9" t="n"/>
      <c r="G203" s="6" t="n"/>
      <c r="H203" s="11">
        <f>IF(OR(B203="",D203=""),0,N(IFERROR(INDEX(Steps!$E$5:$E$62,MATCH(B203,Steps!$A$5:$A$62,0)),""))*E203)</f>
        <v/>
      </c>
    </row>
    <row r="204">
      <c r="A204" s="6" t="n"/>
      <c r="B204" s="6" t="n"/>
      <c r="C204" s="3">
        <f>IF(B204="","",IFERROR(INDEX(Steps!$C$5:$C$62,MATCH(B204,Steps!$A$5:$A$62,0)),""))</f>
        <v/>
      </c>
      <c r="D204" s="6" t="n"/>
      <c r="E204" s="8" t="n"/>
      <c r="F204" s="9" t="n"/>
      <c r="G204" s="6" t="n"/>
      <c r="H204" s="11">
        <f>IF(OR(B204="",D204=""),0,N(IFERROR(INDEX(Steps!$E$5:$E$62,MATCH(B204,Steps!$A$5:$A$62,0)),""))*E204)</f>
        <v/>
      </c>
    </row>
    <row r="205">
      <c r="A205" s="6" t="n"/>
      <c r="B205" s="6" t="n"/>
      <c r="C205" s="3">
        <f>IF(B205="","",IFERROR(INDEX(Steps!$C$5:$C$62,MATCH(B205,Steps!$A$5:$A$62,0)),""))</f>
        <v/>
      </c>
      <c r="D205" s="6" t="n"/>
      <c r="E205" s="8" t="n"/>
      <c r="F205" s="9" t="n"/>
      <c r="G205" s="6" t="n"/>
      <c r="H205" s="11">
        <f>IF(OR(B205="",D205=""),0,N(IFERROR(INDEX(Steps!$E$5:$E$62,MATCH(B205,Steps!$A$5:$A$62,0)),""))*E205)</f>
        <v/>
      </c>
    </row>
    <row r="206">
      <c r="A206" s="6" t="n"/>
      <c r="B206" s="6" t="n"/>
      <c r="C206" s="3">
        <f>IF(B206="","",IFERROR(INDEX(Steps!$C$5:$C$62,MATCH(B206,Steps!$A$5:$A$62,0)),""))</f>
        <v/>
      </c>
      <c r="D206" s="6" t="n"/>
      <c r="E206" s="8" t="n"/>
      <c r="F206" s="9" t="n"/>
      <c r="G206" s="6" t="n"/>
      <c r="H206" s="11">
        <f>IF(OR(B206="",D206=""),0,N(IFERROR(INDEX(Steps!$E$5:$E$62,MATCH(B206,Steps!$A$5:$A$62,0)),""))*E206)</f>
        <v/>
      </c>
    </row>
    <row r="207">
      <c r="A207" s="6" t="n"/>
      <c r="B207" s="6" t="n"/>
      <c r="C207" s="3">
        <f>IF(B207="","",IFERROR(INDEX(Steps!$C$5:$C$62,MATCH(B207,Steps!$A$5:$A$62,0)),""))</f>
        <v/>
      </c>
      <c r="D207" s="6" t="n"/>
      <c r="E207" s="8" t="n"/>
      <c r="F207" s="9" t="n"/>
      <c r="G207" s="6" t="n"/>
      <c r="H207" s="11">
        <f>IF(OR(B207="",D207=""),0,N(IFERROR(INDEX(Steps!$E$5:$E$62,MATCH(B207,Steps!$A$5:$A$62,0)),""))*E207)</f>
        <v/>
      </c>
    </row>
    <row r="208">
      <c r="A208" s="6" t="n"/>
      <c r="B208" s="6" t="n"/>
      <c r="C208" s="3">
        <f>IF(B208="","",IFERROR(INDEX(Steps!$C$5:$C$62,MATCH(B208,Steps!$A$5:$A$62,0)),""))</f>
        <v/>
      </c>
      <c r="D208" s="6" t="n"/>
      <c r="E208" s="8" t="n"/>
      <c r="F208" s="9" t="n"/>
      <c r="G208" s="6" t="n"/>
      <c r="H208" s="11">
        <f>IF(OR(B208="",D208=""),0,N(IFERROR(INDEX(Steps!$E$5:$E$62,MATCH(B208,Steps!$A$5:$A$62,0)),""))*E208)</f>
        <v/>
      </c>
    </row>
    <row r="209">
      <c r="A209" s="6" t="n"/>
      <c r="B209" s="6" t="n"/>
      <c r="C209" s="3">
        <f>IF(B209="","",IFERROR(INDEX(Steps!$C$5:$C$62,MATCH(B209,Steps!$A$5:$A$62,0)),""))</f>
        <v/>
      </c>
      <c r="D209" s="6" t="n"/>
      <c r="E209" s="8" t="n"/>
      <c r="F209" s="9" t="n"/>
      <c r="G209" s="6" t="n"/>
      <c r="H209" s="11">
        <f>IF(OR(B209="",D209=""),0,N(IFERROR(INDEX(Steps!$E$5:$E$62,MATCH(B209,Steps!$A$5:$A$62,0)),""))*E209)</f>
        <v/>
      </c>
    </row>
    <row r="210">
      <c r="A210" s="6" t="n"/>
      <c r="B210" s="6" t="n"/>
      <c r="C210" s="3">
        <f>IF(B210="","",IFERROR(INDEX(Steps!$C$5:$C$62,MATCH(B210,Steps!$A$5:$A$62,0)),""))</f>
        <v/>
      </c>
      <c r="D210" s="6" t="n"/>
      <c r="E210" s="8" t="n"/>
      <c r="F210" s="9" t="n"/>
      <c r="G210" s="6" t="n"/>
      <c r="H210" s="11">
        <f>IF(OR(B210="",D210=""),0,N(IFERROR(INDEX(Steps!$E$5:$E$62,MATCH(B210,Steps!$A$5:$A$62,0)),""))*E210)</f>
        <v/>
      </c>
    </row>
    <row r="211">
      <c r="A211" s="6" t="n"/>
      <c r="B211" s="6" t="n"/>
      <c r="C211" s="3">
        <f>IF(B211="","",IFERROR(INDEX(Steps!$C$5:$C$62,MATCH(B211,Steps!$A$5:$A$62,0)),""))</f>
        <v/>
      </c>
      <c r="D211" s="6" t="n"/>
      <c r="E211" s="8" t="n"/>
      <c r="F211" s="9" t="n"/>
      <c r="G211" s="6" t="n"/>
      <c r="H211" s="11">
        <f>IF(OR(B211="",D211=""),0,N(IFERROR(INDEX(Steps!$E$5:$E$62,MATCH(B211,Steps!$A$5:$A$62,0)),""))*E211)</f>
        <v/>
      </c>
    </row>
    <row r="212">
      <c r="A212" s="6" t="n"/>
      <c r="B212" s="6" t="n"/>
      <c r="C212" s="3">
        <f>IF(B212="","",IFERROR(INDEX(Steps!$C$5:$C$62,MATCH(B212,Steps!$A$5:$A$62,0)),""))</f>
        <v/>
      </c>
      <c r="D212" s="6" t="n"/>
      <c r="E212" s="8" t="n"/>
      <c r="F212" s="9" t="n"/>
      <c r="G212" s="6" t="n"/>
      <c r="H212" s="11">
        <f>IF(OR(B212="",D212=""),0,N(IFERROR(INDEX(Steps!$E$5:$E$62,MATCH(B212,Steps!$A$5:$A$62,0)),""))*E212)</f>
        <v/>
      </c>
    </row>
    <row r="213">
      <c r="A213" s="6" t="n"/>
      <c r="B213" s="6" t="n"/>
      <c r="C213" s="3">
        <f>IF(B213="","",IFERROR(INDEX(Steps!$C$5:$C$62,MATCH(B213,Steps!$A$5:$A$62,0)),""))</f>
        <v/>
      </c>
      <c r="D213" s="6" t="n"/>
      <c r="E213" s="8" t="n"/>
      <c r="F213" s="9" t="n"/>
      <c r="G213" s="6" t="n"/>
      <c r="H213" s="11">
        <f>IF(OR(B213="",D213=""),0,N(IFERROR(INDEX(Steps!$E$5:$E$62,MATCH(B213,Steps!$A$5:$A$62,0)),""))*E213)</f>
        <v/>
      </c>
    </row>
    <row r="214">
      <c r="A214" s="6" t="n"/>
      <c r="B214" s="6" t="n"/>
      <c r="C214" s="3">
        <f>IF(B214="","",IFERROR(INDEX(Steps!$C$5:$C$62,MATCH(B214,Steps!$A$5:$A$62,0)),""))</f>
        <v/>
      </c>
      <c r="D214" s="6" t="n"/>
      <c r="E214" s="8" t="n"/>
      <c r="F214" s="9" t="n"/>
      <c r="G214" s="6" t="n"/>
      <c r="H214" s="11">
        <f>IF(OR(B214="",D214=""),0,N(IFERROR(INDEX(Steps!$E$5:$E$62,MATCH(B214,Steps!$A$5:$A$62,0)),""))*E214)</f>
        <v/>
      </c>
    </row>
    <row r="215">
      <c r="A215" s="6" t="n"/>
      <c r="B215" s="6" t="n"/>
      <c r="C215" s="3">
        <f>IF(B215="","",IFERROR(INDEX(Steps!$C$5:$C$62,MATCH(B215,Steps!$A$5:$A$62,0)),""))</f>
        <v/>
      </c>
      <c r="D215" s="6" t="n"/>
      <c r="E215" s="8" t="n"/>
      <c r="F215" s="9" t="n"/>
      <c r="G215" s="6" t="n"/>
      <c r="H215" s="11">
        <f>IF(OR(B215="",D215=""),0,N(IFERROR(INDEX(Steps!$E$5:$E$62,MATCH(B215,Steps!$A$5:$A$62,0)),""))*E215)</f>
        <v/>
      </c>
    </row>
    <row r="216">
      <c r="A216" s="6" t="n"/>
      <c r="B216" s="6" t="n"/>
      <c r="C216" s="3">
        <f>IF(B216="","",IFERROR(INDEX(Steps!$C$5:$C$62,MATCH(B216,Steps!$A$5:$A$62,0)),""))</f>
        <v/>
      </c>
      <c r="D216" s="6" t="n"/>
      <c r="E216" s="8" t="n"/>
      <c r="F216" s="9" t="n"/>
      <c r="G216" s="6" t="n"/>
      <c r="H216" s="11">
        <f>IF(OR(B216="",D216=""),0,N(IFERROR(INDEX(Steps!$E$5:$E$62,MATCH(B216,Steps!$A$5:$A$62,0)),""))*E216)</f>
        <v/>
      </c>
    </row>
    <row r="217">
      <c r="A217" s="6" t="n"/>
      <c r="B217" s="6" t="n"/>
      <c r="C217" s="3">
        <f>IF(B217="","",IFERROR(INDEX(Steps!$C$5:$C$62,MATCH(B217,Steps!$A$5:$A$62,0)),""))</f>
        <v/>
      </c>
      <c r="D217" s="6" t="n"/>
      <c r="E217" s="8" t="n"/>
      <c r="F217" s="9" t="n"/>
      <c r="G217" s="6" t="n"/>
      <c r="H217" s="11">
        <f>IF(OR(B217="",D217=""),0,N(IFERROR(INDEX(Steps!$E$5:$E$62,MATCH(B217,Steps!$A$5:$A$62,0)),""))*E217)</f>
        <v/>
      </c>
    </row>
    <row r="218">
      <c r="A218" s="6" t="n"/>
      <c r="B218" s="6" t="n"/>
      <c r="C218" s="3">
        <f>IF(B218="","",IFERROR(INDEX(Steps!$C$5:$C$62,MATCH(B218,Steps!$A$5:$A$62,0)),""))</f>
        <v/>
      </c>
      <c r="D218" s="6" t="n"/>
      <c r="E218" s="8" t="n"/>
      <c r="F218" s="9" t="n"/>
      <c r="G218" s="6" t="n"/>
      <c r="H218" s="11">
        <f>IF(OR(B218="",D218=""),0,N(IFERROR(INDEX(Steps!$E$5:$E$62,MATCH(B218,Steps!$A$5:$A$62,0)),""))*E218)</f>
        <v/>
      </c>
    </row>
    <row r="219">
      <c r="A219" s="6" t="n"/>
      <c r="B219" s="6" t="n"/>
      <c r="C219" s="3">
        <f>IF(B219="","",IFERROR(INDEX(Steps!$C$5:$C$62,MATCH(B219,Steps!$A$5:$A$62,0)),""))</f>
        <v/>
      </c>
      <c r="D219" s="6" t="n"/>
      <c r="E219" s="8" t="n"/>
      <c r="F219" s="9" t="n"/>
      <c r="G219" s="6" t="n"/>
      <c r="H219" s="11">
        <f>IF(OR(B219="",D219=""),0,N(IFERROR(INDEX(Steps!$E$5:$E$62,MATCH(B219,Steps!$A$5:$A$62,0)),""))*E219)</f>
        <v/>
      </c>
    </row>
    <row r="220">
      <c r="A220" s="6" t="n"/>
      <c r="B220" s="6" t="n"/>
      <c r="C220" s="3">
        <f>IF(B220="","",IFERROR(INDEX(Steps!$C$5:$C$62,MATCH(B220,Steps!$A$5:$A$62,0)),""))</f>
        <v/>
      </c>
      <c r="D220" s="6" t="n"/>
      <c r="E220" s="8" t="n"/>
      <c r="F220" s="9" t="n"/>
      <c r="G220" s="6" t="n"/>
      <c r="H220" s="11">
        <f>IF(OR(B220="",D220=""),0,N(IFERROR(INDEX(Steps!$E$5:$E$62,MATCH(B220,Steps!$A$5:$A$62,0)),""))*E220)</f>
        <v/>
      </c>
    </row>
    <row r="221">
      <c r="A221" s="6" t="n"/>
      <c r="B221" s="6" t="n"/>
      <c r="C221" s="3">
        <f>IF(B221="","",IFERROR(INDEX(Steps!$C$5:$C$62,MATCH(B221,Steps!$A$5:$A$62,0)),""))</f>
        <v/>
      </c>
      <c r="D221" s="6" t="n"/>
      <c r="E221" s="8" t="n"/>
      <c r="F221" s="9" t="n"/>
      <c r="G221" s="6" t="n"/>
      <c r="H221" s="11">
        <f>IF(OR(B221="",D221=""),0,N(IFERROR(INDEX(Steps!$E$5:$E$62,MATCH(B221,Steps!$A$5:$A$62,0)),""))*E221)</f>
        <v/>
      </c>
    </row>
    <row r="222">
      <c r="A222" s="6" t="n"/>
      <c r="B222" s="6" t="n"/>
      <c r="C222" s="3">
        <f>IF(B222="","",IFERROR(INDEX(Steps!$C$5:$C$62,MATCH(B222,Steps!$A$5:$A$62,0)),""))</f>
        <v/>
      </c>
      <c r="D222" s="6" t="n"/>
      <c r="E222" s="8" t="n"/>
      <c r="F222" s="9" t="n"/>
      <c r="G222" s="6" t="n"/>
      <c r="H222" s="11">
        <f>IF(OR(B222="",D222=""),0,N(IFERROR(INDEX(Steps!$E$5:$E$62,MATCH(B222,Steps!$A$5:$A$62,0)),""))*E222)</f>
        <v/>
      </c>
    </row>
    <row r="223">
      <c r="A223" s="6" t="n"/>
      <c r="B223" s="6" t="n"/>
      <c r="C223" s="3">
        <f>IF(B223="","",IFERROR(INDEX(Steps!$C$5:$C$62,MATCH(B223,Steps!$A$5:$A$62,0)),""))</f>
        <v/>
      </c>
      <c r="D223" s="6" t="n"/>
      <c r="E223" s="8" t="n"/>
      <c r="F223" s="9" t="n"/>
      <c r="G223" s="6" t="n"/>
      <c r="H223" s="11">
        <f>IF(OR(B223="",D223=""),0,N(IFERROR(INDEX(Steps!$E$5:$E$62,MATCH(B223,Steps!$A$5:$A$62,0)),""))*E223)</f>
        <v/>
      </c>
    </row>
    <row r="224">
      <c r="A224" s="6" t="n"/>
      <c r="B224" s="6" t="n"/>
      <c r="C224" s="3">
        <f>IF(B224="","",IFERROR(INDEX(Steps!$C$5:$C$62,MATCH(B224,Steps!$A$5:$A$62,0)),""))</f>
        <v/>
      </c>
      <c r="D224" s="6" t="n"/>
      <c r="E224" s="8" t="n"/>
      <c r="F224" s="9" t="n"/>
      <c r="G224" s="6" t="n"/>
      <c r="H224" s="11">
        <f>IF(OR(B224="",D224=""),0,N(IFERROR(INDEX(Steps!$E$5:$E$62,MATCH(B224,Steps!$A$5:$A$62,0)),""))*E224)</f>
        <v/>
      </c>
    </row>
    <row r="225">
      <c r="A225" s="6" t="n"/>
      <c r="B225" s="6" t="n"/>
      <c r="C225" s="3">
        <f>IF(B225="","",IFERROR(INDEX(Steps!$C$5:$C$62,MATCH(B225,Steps!$A$5:$A$62,0)),""))</f>
        <v/>
      </c>
      <c r="D225" s="6" t="n"/>
      <c r="E225" s="8" t="n"/>
      <c r="F225" s="9" t="n"/>
      <c r="G225" s="6" t="n"/>
      <c r="H225" s="11">
        <f>IF(OR(B225="",D225=""),0,N(IFERROR(INDEX(Steps!$E$5:$E$62,MATCH(B225,Steps!$A$5:$A$62,0)),""))*E225)</f>
        <v/>
      </c>
    </row>
    <row r="226">
      <c r="A226" s="6" t="n"/>
      <c r="B226" s="6" t="n"/>
      <c r="C226" s="3">
        <f>IF(B226="","",IFERROR(INDEX(Steps!$C$5:$C$62,MATCH(B226,Steps!$A$5:$A$62,0)),""))</f>
        <v/>
      </c>
      <c r="D226" s="6" t="n"/>
      <c r="E226" s="8" t="n"/>
      <c r="F226" s="9" t="n"/>
      <c r="G226" s="6" t="n"/>
      <c r="H226" s="11">
        <f>IF(OR(B226="",D226=""),0,N(IFERROR(INDEX(Steps!$E$5:$E$62,MATCH(B226,Steps!$A$5:$A$62,0)),""))*E226)</f>
        <v/>
      </c>
    </row>
    <row r="227">
      <c r="A227" s="6" t="n"/>
      <c r="B227" s="6" t="n"/>
      <c r="C227" s="3">
        <f>IF(B227="","",IFERROR(INDEX(Steps!$C$5:$C$62,MATCH(B227,Steps!$A$5:$A$62,0)),""))</f>
        <v/>
      </c>
      <c r="D227" s="6" t="n"/>
      <c r="E227" s="8" t="n"/>
      <c r="F227" s="9" t="n"/>
      <c r="G227" s="6" t="n"/>
      <c r="H227" s="11">
        <f>IF(OR(B227="",D227=""),0,N(IFERROR(INDEX(Steps!$E$5:$E$62,MATCH(B227,Steps!$A$5:$A$62,0)),""))*E227)</f>
        <v/>
      </c>
    </row>
    <row r="228">
      <c r="A228" s="6" t="n"/>
      <c r="B228" s="6" t="n"/>
      <c r="C228" s="3">
        <f>IF(B228="","",IFERROR(INDEX(Steps!$C$5:$C$62,MATCH(B228,Steps!$A$5:$A$62,0)),""))</f>
        <v/>
      </c>
      <c r="D228" s="6" t="n"/>
      <c r="E228" s="8" t="n"/>
      <c r="F228" s="9" t="n"/>
      <c r="G228" s="6" t="n"/>
      <c r="H228" s="11">
        <f>IF(OR(B228="",D228=""),0,N(IFERROR(INDEX(Steps!$E$5:$E$62,MATCH(B228,Steps!$A$5:$A$62,0)),""))*E228)</f>
        <v/>
      </c>
    </row>
    <row r="229">
      <c r="A229" s="6" t="n"/>
      <c r="B229" s="6" t="n"/>
      <c r="C229" s="3">
        <f>IF(B229="","",IFERROR(INDEX(Steps!$C$5:$C$62,MATCH(B229,Steps!$A$5:$A$62,0)),""))</f>
        <v/>
      </c>
      <c r="D229" s="6" t="n"/>
      <c r="E229" s="8" t="n"/>
      <c r="F229" s="9" t="n"/>
      <c r="G229" s="6" t="n"/>
      <c r="H229" s="11">
        <f>IF(OR(B229="",D229=""),0,N(IFERROR(INDEX(Steps!$E$5:$E$62,MATCH(B229,Steps!$A$5:$A$62,0)),""))*E229)</f>
        <v/>
      </c>
    </row>
    <row r="230">
      <c r="A230" s="6" t="n"/>
      <c r="B230" s="6" t="n"/>
      <c r="C230" s="3">
        <f>IF(B230="","",IFERROR(INDEX(Steps!$C$5:$C$62,MATCH(B230,Steps!$A$5:$A$62,0)),""))</f>
        <v/>
      </c>
      <c r="D230" s="6" t="n"/>
      <c r="E230" s="8" t="n"/>
      <c r="F230" s="9" t="n"/>
      <c r="G230" s="6" t="n"/>
      <c r="H230" s="11">
        <f>IF(OR(B230="",D230=""),0,N(IFERROR(INDEX(Steps!$E$5:$E$62,MATCH(B230,Steps!$A$5:$A$62,0)),""))*E230)</f>
        <v/>
      </c>
    </row>
    <row r="231">
      <c r="A231" s="6" t="n"/>
      <c r="B231" s="6" t="n"/>
      <c r="C231" s="3">
        <f>IF(B231="","",IFERROR(INDEX(Steps!$C$5:$C$62,MATCH(B231,Steps!$A$5:$A$62,0)),""))</f>
        <v/>
      </c>
      <c r="D231" s="6" t="n"/>
      <c r="E231" s="8" t="n"/>
      <c r="F231" s="9" t="n"/>
      <c r="G231" s="6" t="n"/>
      <c r="H231" s="11">
        <f>IF(OR(B231="",D231=""),0,N(IFERROR(INDEX(Steps!$E$5:$E$62,MATCH(B231,Steps!$A$5:$A$62,0)),""))*E231)</f>
        <v/>
      </c>
    </row>
    <row r="232">
      <c r="A232" s="6" t="n"/>
      <c r="B232" s="6" t="n"/>
      <c r="C232" s="3">
        <f>IF(B232="","",IFERROR(INDEX(Steps!$C$5:$C$62,MATCH(B232,Steps!$A$5:$A$62,0)),""))</f>
        <v/>
      </c>
      <c r="D232" s="6" t="n"/>
      <c r="E232" s="8" t="n"/>
      <c r="F232" s="9" t="n"/>
      <c r="G232" s="6" t="n"/>
      <c r="H232" s="11">
        <f>IF(OR(B232="",D232=""),0,N(IFERROR(INDEX(Steps!$E$5:$E$62,MATCH(B232,Steps!$A$5:$A$62,0)),""))*E232)</f>
        <v/>
      </c>
    </row>
    <row r="233">
      <c r="A233" s="6" t="n"/>
      <c r="B233" s="6" t="n"/>
      <c r="C233" s="3">
        <f>IF(B233="","",IFERROR(INDEX(Steps!$C$5:$C$62,MATCH(B233,Steps!$A$5:$A$62,0)),""))</f>
        <v/>
      </c>
      <c r="D233" s="6" t="n"/>
      <c r="E233" s="8" t="n"/>
      <c r="F233" s="9" t="n"/>
      <c r="G233" s="6" t="n"/>
      <c r="H233" s="11">
        <f>IF(OR(B233="",D233=""),0,N(IFERROR(INDEX(Steps!$E$5:$E$62,MATCH(B233,Steps!$A$5:$A$62,0)),""))*E233)</f>
        <v/>
      </c>
    </row>
    <row r="234">
      <c r="A234" s="6" t="n"/>
      <c r="B234" s="6" t="n"/>
      <c r="C234" s="3">
        <f>IF(B234="","",IFERROR(INDEX(Steps!$C$5:$C$62,MATCH(B234,Steps!$A$5:$A$62,0)),""))</f>
        <v/>
      </c>
      <c r="D234" s="6" t="n"/>
      <c r="E234" s="8" t="n"/>
      <c r="F234" s="9" t="n"/>
      <c r="G234" s="6" t="n"/>
      <c r="H234" s="11">
        <f>IF(OR(B234="",D234=""),0,N(IFERROR(INDEX(Steps!$E$5:$E$62,MATCH(B234,Steps!$A$5:$A$62,0)),""))*E234)</f>
        <v/>
      </c>
    </row>
    <row r="235">
      <c r="A235" s="6" t="n"/>
      <c r="B235" s="6" t="n"/>
      <c r="C235" s="3">
        <f>IF(B235="","",IFERROR(INDEX(Steps!$C$5:$C$62,MATCH(B235,Steps!$A$5:$A$62,0)),""))</f>
        <v/>
      </c>
      <c r="D235" s="6" t="n"/>
      <c r="E235" s="8" t="n"/>
      <c r="F235" s="9" t="n"/>
      <c r="G235" s="6" t="n"/>
      <c r="H235" s="11">
        <f>IF(OR(B235="",D235=""),0,N(IFERROR(INDEX(Steps!$E$5:$E$62,MATCH(B235,Steps!$A$5:$A$62,0)),""))*E235)</f>
        <v/>
      </c>
    </row>
    <row r="236">
      <c r="A236" s="6" t="n"/>
      <c r="B236" s="6" t="n"/>
      <c r="C236" s="3">
        <f>IF(B236="","",IFERROR(INDEX(Steps!$C$5:$C$62,MATCH(B236,Steps!$A$5:$A$62,0)),""))</f>
        <v/>
      </c>
      <c r="D236" s="6" t="n"/>
      <c r="E236" s="8" t="n"/>
      <c r="F236" s="9" t="n"/>
      <c r="G236" s="6" t="n"/>
      <c r="H236" s="11">
        <f>IF(OR(B236="",D236=""),0,N(IFERROR(INDEX(Steps!$E$5:$E$62,MATCH(B236,Steps!$A$5:$A$62,0)),""))*E236)</f>
        <v/>
      </c>
    </row>
    <row r="237">
      <c r="A237" s="6" t="n"/>
      <c r="B237" s="6" t="n"/>
      <c r="C237" s="3">
        <f>IF(B237="","",IFERROR(INDEX(Steps!$C$5:$C$62,MATCH(B237,Steps!$A$5:$A$62,0)),""))</f>
        <v/>
      </c>
      <c r="D237" s="6" t="n"/>
      <c r="E237" s="8" t="n"/>
      <c r="F237" s="9" t="n"/>
      <c r="G237" s="6" t="n"/>
      <c r="H237" s="11">
        <f>IF(OR(B237="",D237=""),0,N(IFERROR(INDEX(Steps!$E$5:$E$62,MATCH(B237,Steps!$A$5:$A$62,0)),""))*E237)</f>
        <v/>
      </c>
    </row>
    <row r="238">
      <c r="A238" s="6" t="n"/>
      <c r="B238" s="6" t="n"/>
      <c r="C238" s="3">
        <f>IF(B238="","",IFERROR(INDEX(Steps!$C$5:$C$62,MATCH(B238,Steps!$A$5:$A$62,0)),""))</f>
        <v/>
      </c>
      <c r="D238" s="6" t="n"/>
      <c r="E238" s="8" t="n"/>
      <c r="F238" s="9" t="n"/>
      <c r="G238" s="6" t="n"/>
      <c r="H238" s="11">
        <f>IF(OR(B238="",D238=""),0,N(IFERROR(INDEX(Steps!$E$5:$E$62,MATCH(B238,Steps!$A$5:$A$62,0)),""))*E238)</f>
        <v/>
      </c>
    </row>
    <row r="239">
      <c r="A239" s="6" t="n"/>
      <c r="B239" s="6" t="n"/>
      <c r="C239" s="3">
        <f>IF(B239="","",IFERROR(INDEX(Steps!$C$5:$C$62,MATCH(B239,Steps!$A$5:$A$62,0)),""))</f>
        <v/>
      </c>
      <c r="D239" s="6" t="n"/>
      <c r="E239" s="8" t="n"/>
      <c r="F239" s="9" t="n"/>
      <c r="G239" s="6" t="n"/>
      <c r="H239" s="11">
        <f>IF(OR(B239="",D239=""),0,N(IFERROR(INDEX(Steps!$E$5:$E$62,MATCH(B239,Steps!$A$5:$A$62,0)),""))*E239)</f>
        <v/>
      </c>
    </row>
    <row r="240">
      <c r="A240" s="6" t="n"/>
      <c r="B240" s="6" t="n"/>
      <c r="C240" s="3">
        <f>IF(B240="","",IFERROR(INDEX(Steps!$C$5:$C$62,MATCH(B240,Steps!$A$5:$A$62,0)),""))</f>
        <v/>
      </c>
      <c r="D240" s="6" t="n"/>
      <c r="E240" s="8" t="n"/>
      <c r="F240" s="9" t="n"/>
      <c r="G240" s="6" t="n"/>
      <c r="H240" s="11">
        <f>IF(OR(B240="",D240=""),0,N(IFERROR(INDEX(Steps!$E$5:$E$62,MATCH(B240,Steps!$A$5:$A$62,0)),""))*E240)</f>
        <v/>
      </c>
    </row>
    <row r="241">
      <c r="A241" s="6" t="n"/>
      <c r="B241" s="6" t="n"/>
      <c r="C241" s="3">
        <f>IF(B241="","",IFERROR(INDEX(Steps!$C$5:$C$62,MATCH(B241,Steps!$A$5:$A$62,0)),""))</f>
        <v/>
      </c>
      <c r="D241" s="6" t="n"/>
      <c r="E241" s="8" t="n"/>
      <c r="F241" s="9" t="n"/>
      <c r="G241" s="6" t="n"/>
      <c r="H241" s="11">
        <f>IF(OR(B241="",D241=""),0,N(IFERROR(INDEX(Steps!$E$5:$E$62,MATCH(B241,Steps!$A$5:$A$62,0)),""))*E241)</f>
        <v/>
      </c>
    </row>
    <row r="242">
      <c r="A242" s="6" t="n"/>
      <c r="B242" s="6" t="n"/>
      <c r="C242" s="3">
        <f>IF(B242="","",IFERROR(INDEX(Steps!$C$5:$C$62,MATCH(B242,Steps!$A$5:$A$62,0)),""))</f>
        <v/>
      </c>
      <c r="D242" s="6" t="n"/>
      <c r="E242" s="8" t="n"/>
      <c r="F242" s="9" t="n"/>
      <c r="G242" s="6" t="n"/>
      <c r="H242" s="11">
        <f>IF(OR(B242="",D242=""),0,N(IFERROR(INDEX(Steps!$E$5:$E$62,MATCH(B242,Steps!$A$5:$A$62,0)),""))*E242)</f>
        <v/>
      </c>
    </row>
    <row r="243">
      <c r="A243" s="6" t="n"/>
      <c r="B243" s="6" t="n"/>
      <c r="C243" s="3">
        <f>IF(B243="","",IFERROR(INDEX(Steps!$C$5:$C$62,MATCH(B243,Steps!$A$5:$A$62,0)),""))</f>
        <v/>
      </c>
      <c r="D243" s="6" t="n"/>
      <c r="E243" s="8" t="n"/>
      <c r="F243" s="9" t="n"/>
      <c r="G243" s="6" t="n"/>
      <c r="H243" s="11">
        <f>IF(OR(B243="",D243=""),0,N(IFERROR(INDEX(Steps!$E$5:$E$62,MATCH(B243,Steps!$A$5:$A$62,0)),""))*E243)</f>
        <v/>
      </c>
    </row>
    <row r="244">
      <c r="A244" s="6" t="n"/>
      <c r="B244" s="6" t="n"/>
      <c r="C244" s="3">
        <f>IF(B244="","",IFERROR(INDEX(Steps!$C$5:$C$62,MATCH(B244,Steps!$A$5:$A$62,0)),""))</f>
        <v/>
      </c>
      <c r="D244" s="6" t="n"/>
      <c r="E244" s="8" t="n"/>
      <c r="F244" s="9" t="n"/>
      <c r="G244" s="6" t="n"/>
      <c r="H244" s="11">
        <f>IF(OR(B244="",D244=""),0,N(IFERROR(INDEX(Steps!$E$5:$E$62,MATCH(B244,Steps!$A$5:$A$62,0)),""))*E244)</f>
        <v/>
      </c>
    </row>
    <row r="245">
      <c r="A245" s="6" t="n"/>
      <c r="B245" s="6" t="n"/>
      <c r="C245" s="3">
        <f>IF(B245="","",IFERROR(INDEX(Steps!$C$5:$C$62,MATCH(B245,Steps!$A$5:$A$62,0)),""))</f>
        <v/>
      </c>
      <c r="D245" s="6" t="n"/>
      <c r="E245" s="8" t="n"/>
      <c r="F245" s="9" t="n"/>
      <c r="G245" s="6" t="n"/>
      <c r="H245" s="11">
        <f>IF(OR(B245="",D245=""),0,N(IFERROR(INDEX(Steps!$E$5:$E$62,MATCH(B245,Steps!$A$5:$A$62,0)),""))*E245)</f>
        <v/>
      </c>
    </row>
    <row r="246">
      <c r="A246" s="6" t="n"/>
      <c r="B246" s="6" t="n"/>
      <c r="C246" s="3">
        <f>IF(B246="","",IFERROR(INDEX(Steps!$C$5:$C$62,MATCH(B246,Steps!$A$5:$A$62,0)),""))</f>
        <v/>
      </c>
      <c r="D246" s="6" t="n"/>
      <c r="E246" s="8" t="n"/>
      <c r="F246" s="9" t="n"/>
      <c r="G246" s="6" t="n"/>
      <c r="H246" s="11">
        <f>IF(OR(B246="",D246=""),0,N(IFERROR(INDEX(Steps!$E$5:$E$62,MATCH(B246,Steps!$A$5:$A$62,0)),""))*E246)</f>
        <v/>
      </c>
    </row>
    <row r="247">
      <c r="A247" s="6" t="n"/>
      <c r="B247" s="6" t="n"/>
      <c r="C247" s="3">
        <f>IF(B247="","",IFERROR(INDEX(Steps!$C$5:$C$62,MATCH(B247,Steps!$A$5:$A$62,0)),""))</f>
        <v/>
      </c>
      <c r="D247" s="6" t="n"/>
      <c r="E247" s="8" t="n"/>
      <c r="F247" s="9" t="n"/>
      <c r="G247" s="6" t="n"/>
      <c r="H247" s="11">
        <f>IF(OR(B247="",D247=""),0,N(IFERROR(INDEX(Steps!$E$5:$E$62,MATCH(B247,Steps!$A$5:$A$62,0)),""))*E247)</f>
        <v/>
      </c>
    </row>
    <row r="248">
      <c r="A248" s="6" t="n"/>
      <c r="B248" s="6" t="n"/>
      <c r="C248" s="3">
        <f>IF(B248="","",IFERROR(INDEX(Steps!$C$5:$C$62,MATCH(B248,Steps!$A$5:$A$62,0)),""))</f>
        <v/>
      </c>
      <c r="D248" s="6" t="n"/>
      <c r="E248" s="8" t="n"/>
      <c r="F248" s="9" t="n"/>
      <c r="G248" s="6" t="n"/>
      <c r="H248" s="11">
        <f>IF(OR(B248="",D248=""),0,N(IFERROR(INDEX(Steps!$E$5:$E$62,MATCH(B248,Steps!$A$5:$A$62,0)),""))*E248)</f>
        <v/>
      </c>
    </row>
    <row r="249">
      <c r="A249" s="6" t="n"/>
      <c r="B249" s="6" t="n"/>
      <c r="C249" s="3">
        <f>IF(B249="","",IFERROR(INDEX(Steps!$C$5:$C$62,MATCH(B249,Steps!$A$5:$A$62,0)),""))</f>
        <v/>
      </c>
      <c r="D249" s="6" t="n"/>
      <c r="E249" s="8" t="n"/>
      <c r="F249" s="9" t="n"/>
      <c r="G249" s="6" t="n"/>
      <c r="H249" s="11">
        <f>IF(OR(B249="",D249=""),0,N(IFERROR(INDEX(Steps!$E$5:$E$62,MATCH(B249,Steps!$A$5:$A$62,0)),""))*E249)</f>
        <v/>
      </c>
    </row>
    <row r="250">
      <c r="A250" s="6" t="n"/>
      <c r="B250" s="6" t="n"/>
      <c r="C250" s="3">
        <f>IF(B250="","",IFERROR(INDEX(Steps!$C$5:$C$62,MATCH(B250,Steps!$A$5:$A$62,0)),""))</f>
        <v/>
      </c>
      <c r="D250" s="6" t="n"/>
      <c r="E250" s="8" t="n"/>
      <c r="F250" s="9" t="n"/>
      <c r="G250" s="6" t="n"/>
      <c r="H250" s="11">
        <f>IF(OR(B250="",D250=""),0,N(IFERROR(INDEX(Steps!$E$5:$E$62,MATCH(B250,Steps!$A$5:$A$62,0)),""))*E250)</f>
        <v/>
      </c>
    </row>
    <row r="251">
      <c r="A251" s="6" t="n"/>
      <c r="B251" s="6" t="n"/>
      <c r="C251" s="3">
        <f>IF(B251="","",IFERROR(INDEX(Steps!$C$5:$C$62,MATCH(B251,Steps!$A$5:$A$62,0)),""))</f>
        <v/>
      </c>
      <c r="D251" s="6" t="n"/>
      <c r="E251" s="8" t="n"/>
      <c r="F251" s="9" t="n"/>
      <c r="G251" s="6" t="n"/>
      <c r="H251" s="11">
        <f>IF(OR(B251="",D251=""),0,N(IFERROR(INDEX(Steps!$E$5:$E$62,MATCH(B251,Steps!$A$5:$A$62,0)),""))*E251)</f>
        <v/>
      </c>
    </row>
    <row r="252">
      <c r="A252" s="6" t="n"/>
      <c r="B252" s="6" t="n"/>
      <c r="C252" s="3">
        <f>IF(B252="","",IFERROR(INDEX(Steps!$C$5:$C$62,MATCH(B252,Steps!$A$5:$A$62,0)),""))</f>
        <v/>
      </c>
      <c r="D252" s="6" t="n"/>
      <c r="E252" s="8" t="n"/>
      <c r="F252" s="9" t="n"/>
      <c r="G252" s="6" t="n"/>
      <c r="H252" s="11">
        <f>IF(OR(B252="",D252=""),0,N(IFERROR(INDEX(Steps!$E$5:$E$62,MATCH(B252,Steps!$A$5:$A$62,0)),""))*E252)</f>
        <v/>
      </c>
    </row>
    <row r="253">
      <c r="A253" s="6" t="n"/>
      <c r="B253" s="6" t="n"/>
      <c r="C253" s="3">
        <f>IF(B253="","",IFERROR(INDEX(Steps!$C$5:$C$62,MATCH(B253,Steps!$A$5:$A$62,0)),""))</f>
        <v/>
      </c>
      <c r="D253" s="6" t="n"/>
      <c r="E253" s="8" t="n"/>
      <c r="F253" s="9" t="n"/>
      <c r="G253" s="6" t="n"/>
      <c r="H253" s="11">
        <f>IF(OR(B253="",D253=""),0,N(IFERROR(INDEX(Steps!$E$5:$E$62,MATCH(B253,Steps!$A$5:$A$62,0)),""))*E253)</f>
        <v/>
      </c>
    </row>
    <row r="254">
      <c r="A254" s="6" t="n"/>
      <c r="B254" s="6" t="n"/>
      <c r="C254" s="3">
        <f>IF(B254="","",IFERROR(INDEX(Steps!$C$5:$C$62,MATCH(B254,Steps!$A$5:$A$62,0)),""))</f>
        <v/>
      </c>
      <c r="D254" s="6" t="n"/>
      <c r="E254" s="8" t="n"/>
      <c r="F254" s="9" t="n"/>
      <c r="G254" s="6" t="n"/>
      <c r="H254" s="11">
        <f>IF(OR(B254="",D254=""),0,N(IFERROR(INDEX(Steps!$E$5:$E$62,MATCH(B254,Steps!$A$5:$A$62,0)),""))*E254)</f>
        <v/>
      </c>
    </row>
    <row r="255">
      <c r="A255" s="6" t="n"/>
      <c r="B255" s="6" t="n"/>
      <c r="C255" s="3">
        <f>IF(B255="","",IFERROR(INDEX(Steps!$C$5:$C$62,MATCH(B255,Steps!$A$5:$A$62,0)),""))</f>
        <v/>
      </c>
      <c r="D255" s="6" t="n"/>
      <c r="E255" s="8" t="n"/>
      <c r="F255" s="9" t="n"/>
      <c r="G255" s="6" t="n"/>
      <c r="H255" s="11">
        <f>IF(OR(B255="",D255=""),0,N(IFERROR(INDEX(Steps!$E$5:$E$62,MATCH(B255,Steps!$A$5:$A$62,0)),""))*E255)</f>
        <v/>
      </c>
    </row>
    <row r="256">
      <c r="A256" s="6" t="n"/>
      <c r="B256" s="6" t="n"/>
      <c r="C256" s="3">
        <f>IF(B256="","",IFERROR(INDEX(Steps!$C$5:$C$62,MATCH(B256,Steps!$A$5:$A$62,0)),""))</f>
        <v/>
      </c>
      <c r="D256" s="6" t="n"/>
      <c r="E256" s="8" t="n"/>
      <c r="F256" s="9" t="n"/>
      <c r="G256" s="6" t="n"/>
      <c r="H256" s="11">
        <f>IF(OR(B256="",D256=""),0,N(IFERROR(INDEX(Steps!$E$5:$E$62,MATCH(B256,Steps!$A$5:$A$62,0)),""))*E256)</f>
        <v/>
      </c>
    </row>
    <row r="257">
      <c r="A257" s="6" t="n"/>
      <c r="B257" s="6" t="n"/>
      <c r="C257" s="3">
        <f>IF(B257="","",IFERROR(INDEX(Steps!$C$5:$C$62,MATCH(B257,Steps!$A$5:$A$62,0)),""))</f>
        <v/>
      </c>
      <c r="D257" s="6" t="n"/>
      <c r="E257" s="8" t="n"/>
      <c r="F257" s="9" t="n"/>
      <c r="G257" s="6" t="n"/>
      <c r="H257" s="11">
        <f>IF(OR(B257="",D257=""),0,N(IFERROR(INDEX(Steps!$E$5:$E$62,MATCH(B257,Steps!$A$5:$A$62,0)),""))*E257)</f>
        <v/>
      </c>
    </row>
    <row r="258">
      <c r="A258" s="6" t="n"/>
      <c r="B258" s="6" t="n"/>
      <c r="C258" s="3">
        <f>IF(B258="","",IFERROR(INDEX(Steps!$C$5:$C$62,MATCH(B258,Steps!$A$5:$A$62,0)),""))</f>
        <v/>
      </c>
      <c r="D258" s="6" t="n"/>
      <c r="E258" s="8" t="n"/>
      <c r="F258" s="9" t="n"/>
      <c r="G258" s="6" t="n"/>
      <c r="H258" s="11">
        <f>IF(OR(B258="",D258=""),0,N(IFERROR(INDEX(Steps!$E$5:$E$62,MATCH(B258,Steps!$A$5:$A$62,0)),""))*E258)</f>
        <v/>
      </c>
    </row>
    <row r="259">
      <c r="A259" s="6" t="n"/>
      <c r="B259" s="6" t="n"/>
      <c r="C259" s="3">
        <f>IF(B259="","",IFERROR(INDEX(Steps!$C$5:$C$62,MATCH(B259,Steps!$A$5:$A$62,0)),""))</f>
        <v/>
      </c>
      <c r="D259" s="6" t="n"/>
      <c r="E259" s="8" t="n"/>
      <c r="F259" s="9" t="n"/>
      <c r="G259" s="6" t="n"/>
      <c r="H259" s="11">
        <f>IF(OR(B259="",D259=""),0,N(IFERROR(INDEX(Steps!$E$5:$E$62,MATCH(B259,Steps!$A$5:$A$62,0)),""))*E259)</f>
        <v/>
      </c>
    </row>
    <row r="260">
      <c r="A260" s="6" t="n"/>
      <c r="B260" s="6" t="n"/>
      <c r="C260" s="3">
        <f>IF(B260="","",IFERROR(INDEX(Steps!$C$5:$C$62,MATCH(B260,Steps!$A$5:$A$62,0)),""))</f>
        <v/>
      </c>
      <c r="D260" s="6" t="n"/>
      <c r="E260" s="8" t="n"/>
      <c r="F260" s="9" t="n"/>
      <c r="G260" s="6" t="n"/>
      <c r="H260" s="11">
        <f>IF(OR(B260="",D260=""),0,N(IFERROR(INDEX(Steps!$E$5:$E$62,MATCH(B260,Steps!$A$5:$A$62,0)),""))*E260)</f>
        <v/>
      </c>
    </row>
    <row r="261">
      <c r="A261" s="6" t="n"/>
      <c r="B261" s="6" t="n"/>
      <c r="C261" s="3">
        <f>IF(B261="","",IFERROR(INDEX(Steps!$C$5:$C$62,MATCH(B261,Steps!$A$5:$A$62,0)),""))</f>
        <v/>
      </c>
      <c r="D261" s="6" t="n"/>
      <c r="E261" s="8" t="n"/>
      <c r="F261" s="9" t="n"/>
      <c r="G261" s="6" t="n"/>
      <c r="H261" s="11">
        <f>IF(OR(B261="",D261=""),0,N(IFERROR(INDEX(Steps!$E$5:$E$62,MATCH(B261,Steps!$A$5:$A$62,0)),""))*E261)</f>
        <v/>
      </c>
    </row>
    <row r="262">
      <c r="A262" s="6" t="n"/>
      <c r="B262" s="6" t="n"/>
      <c r="C262" s="3">
        <f>IF(B262="","",IFERROR(INDEX(Steps!$C$5:$C$62,MATCH(B262,Steps!$A$5:$A$62,0)),""))</f>
        <v/>
      </c>
      <c r="D262" s="6" t="n"/>
      <c r="E262" s="8" t="n"/>
      <c r="F262" s="9" t="n"/>
      <c r="G262" s="6" t="n"/>
      <c r="H262" s="11">
        <f>IF(OR(B262="",D262=""),0,N(IFERROR(INDEX(Steps!$E$5:$E$62,MATCH(B262,Steps!$A$5:$A$62,0)),""))*E262)</f>
        <v/>
      </c>
    </row>
    <row r="263">
      <c r="A263" s="6" t="n"/>
      <c r="B263" s="6" t="n"/>
      <c r="C263" s="3">
        <f>IF(B263="","",IFERROR(INDEX(Steps!$C$5:$C$62,MATCH(B263,Steps!$A$5:$A$62,0)),""))</f>
        <v/>
      </c>
      <c r="D263" s="6" t="n"/>
      <c r="E263" s="8" t="n"/>
      <c r="F263" s="9" t="n"/>
      <c r="G263" s="6" t="n"/>
      <c r="H263" s="11">
        <f>IF(OR(B263="",D263=""),0,N(IFERROR(INDEX(Steps!$E$5:$E$62,MATCH(B263,Steps!$A$5:$A$62,0)),""))*E263)</f>
        <v/>
      </c>
    </row>
    <row r="264">
      <c r="A264" s="6" t="n"/>
      <c r="B264" s="6" t="n"/>
      <c r="C264" s="3">
        <f>IF(B264="","",IFERROR(INDEX(Steps!$C$5:$C$62,MATCH(B264,Steps!$A$5:$A$62,0)),""))</f>
        <v/>
      </c>
      <c r="D264" s="6" t="n"/>
      <c r="E264" s="8" t="n"/>
      <c r="F264" s="9" t="n"/>
      <c r="G264" s="6" t="n"/>
      <c r="H264" s="11">
        <f>IF(OR(B264="",D264=""),0,N(IFERROR(INDEX(Steps!$E$5:$E$62,MATCH(B264,Steps!$A$5:$A$62,0)),""))*E264)</f>
        <v/>
      </c>
    </row>
    <row r="265">
      <c r="A265" s="6" t="n"/>
      <c r="B265" s="6" t="n"/>
      <c r="C265" s="3">
        <f>IF(B265="","",IFERROR(INDEX(Steps!$C$5:$C$62,MATCH(B265,Steps!$A$5:$A$62,0)),""))</f>
        <v/>
      </c>
      <c r="D265" s="6" t="n"/>
      <c r="E265" s="8" t="n"/>
      <c r="F265" s="9" t="n"/>
      <c r="G265" s="6" t="n"/>
      <c r="H265" s="11">
        <f>IF(OR(B265="",D265=""),0,N(IFERROR(INDEX(Steps!$E$5:$E$62,MATCH(B265,Steps!$A$5:$A$62,0)),""))*E265)</f>
        <v/>
      </c>
    </row>
    <row r="266">
      <c r="A266" s="6" t="n"/>
      <c r="B266" s="6" t="n"/>
      <c r="C266" s="3">
        <f>IF(B266="","",IFERROR(INDEX(Steps!$C$5:$C$62,MATCH(B266,Steps!$A$5:$A$62,0)),""))</f>
        <v/>
      </c>
      <c r="D266" s="6" t="n"/>
      <c r="E266" s="8" t="n"/>
      <c r="F266" s="9" t="n"/>
      <c r="G266" s="6" t="n"/>
      <c r="H266" s="11">
        <f>IF(OR(B266="",D266=""),0,N(IFERROR(INDEX(Steps!$E$5:$E$62,MATCH(B266,Steps!$A$5:$A$62,0)),""))*E266)</f>
        <v/>
      </c>
    </row>
    <row r="267">
      <c r="A267" s="6" t="n"/>
      <c r="B267" s="6" t="n"/>
      <c r="C267" s="3">
        <f>IF(B267="","",IFERROR(INDEX(Steps!$C$5:$C$62,MATCH(B267,Steps!$A$5:$A$62,0)),""))</f>
        <v/>
      </c>
      <c r="D267" s="6" t="n"/>
      <c r="E267" s="8" t="n"/>
      <c r="F267" s="9" t="n"/>
      <c r="G267" s="6" t="n"/>
      <c r="H267" s="11">
        <f>IF(OR(B267="",D267=""),0,N(IFERROR(INDEX(Steps!$E$5:$E$62,MATCH(B267,Steps!$A$5:$A$62,0)),""))*E267)</f>
        <v/>
      </c>
    </row>
    <row r="268">
      <c r="A268" s="6" t="n"/>
      <c r="B268" s="6" t="n"/>
      <c r="C268" s="3">
        <f>IF(B268="","",IFERROR(INDEX(Steps!$C$5:$C$62,MATCH(B268,Steps!$A$5:$A$62,0)),""))</f>
        <v/>
      </c>
      <c r="D268" s="6" t="n"/>
      <c r="E268" s="8" t="n"/>
      <c r="F268" s="9" t="n"/>
      <c r="G268" s="6" t="n"/>
      <c r="H268" s="11">
        <f>IF(OR(B268="",D268=""),0,N(IFERROR(INDEX(Steps!$E$5:$E$62,MATCH(B268,Steps!$A$5:$A$62,0)),""))*E268)</f>
        <v/>
      </c>
    </row>
    <row r="269">
      <c r="A269" s="6" t="n"/>
      <c r="B269" s="6" t="n"/>
      <c r="C269" s="3">
        <f>IF(B269="","",IFERROR(INDEX(Steps!$C$5:$C$62,MATCH(B269,Steps!$A$5:$A$62,0)),""))</f>
        <v/>
      </c>
      <c r="D269" s="6" t="n"/>
      <c r="E269" s="8" t="n"/>
      <c r="F269" s="9" t="n"/>
      <c r="G269" s="6" t="n"/>
      <c r="H269" s="11">
        <f>IF(OR(B269="",D269=""),0,N(IFERROR(INDEX(Steps!$E$5:$E$62,MATCH(B269,Steps!$A$5:$A$62,0)),""))*E269)</f>
        <v/>
      </c>
    </row>
    <row r="270">
      <c r="A270" s="6" t="n"/>
      <c r="B270" s="6" t="n"/>
      <c r="C270" s="3">
        <f>IF(B270="","",IFERROR(INDEX(Steps!$C$5:$C$62,MATCH(B270,Steps!$A$5:$A$62,0)),""))</f>
        <v/>
      </c>
      <c r="D270" s="6" t="n"/>
      <c r="E270" s="8" t="n"/>
      <c r="F270" s="9" t="n"/>
      <c r="G270" s="6" t="n"/>
      <c r="H270" s="11">
        <f>IF(OR(B270="",D270=""),0,N(IFERROR(INDEX(Steps!$E$5:$E$62,MATCH(B270,Steps!$A$5:$A$62,0)),""))*E270)</f>
        <v/>
      </c>
    </row>
    <row r="271">
      <c r="A271" s="6" t="n"/>
      <c r="B271" s="6" t="n"/>
      <c r="C271" s="3">
        <f>IF(B271="","",IFERROR(INDEX(Steps!$C$5:$C$62,MATCH(B271,Steps!$A$5:$A$62,0)),""))</f>
        <v/>
      </c>
      <c r="D271" s="6" t="n"/>
      <c r="E271" s="8" t="n"/>
      <c r="F271" s="9" t="n"/>
      <c r="G271" s="6" t="n"/>
      <c r="H271" s="11">
        <f>IF(OR(B271="",D271=""),0,N(IFERROR(INDEX(Steps!$E$5:$E$62,MATCH(B271,Steps!$A$5:$A$62,0)),""))*E271)</f>
        <v/>
      </c>
    </row>
    <row r="272">
      <c r="A272" s="6" t="n"/>
      <c r="B272" s="6" t="n"/>
      <c r="C272" s="3">
        <f>IF(B272="","",IFERROR(INDEX(Steps!$C$5:$C$62,MATCH(B272,Steps!$A$5:$A$62,0)),""))</f>
        <v/>
      </c>
      <c r="D272" s="6" t="n"/>
      <c r="E272" s="8" t="n"/>
      <c r="F272" s="9" t="n"/>
      <c r="G272" s="6" t="n"/>
      <c r="H272" s="11">
        <f>IF(OR(B272="",D272=""),0,N(IFERROR(INDEX(Steps!$E$5:$E$62,MATCH(B272,Steps!$A$5:$A$62,0)),""))*E272)</f>
        <v/>
      </c>
    </row>
    <row r="273">
      <c r="A273" s="6" t="n"/>
      <c r="B273" s="6" t="n"/>
      <c r="C273" s="3">
        <f>IF(B273="","",IFERROR(INDEX(Steps!$C$5:$C$62,MATCH(B273,Steps!$A$5:$A$62,0)),""))</f>
        <v/>
      </c>
      <c r="D273" s="6" t="n"/>
      <c r="E273" s="8" t="n"/>
      <c r="F273" s="9" t="n"/>
      <c r="G273" s="6" t="n"/>
      <c r="H273" s="11">
        <f>IF(OR(B273="",D273=""),0,N(IFERROR(INDEX(Steps!$E$5:$E$62,MATCH(B273,Steps!$A$5:$A$62,0)),""))*E273)</f>
        <v/>
      </c>
    </row>
    <row r="274">
      <c r="A274" s="6" t="n"/>
      <c r="B274" s="6" t="n"/>
      <c r="C274" s="3">
        <f>IF(B274="","",IFERROR(INDEX(Steps!$C$5:$C$62,MATCH(B274,Steps!$A$5:$A$62,0)),""))</f>
        <v/>
      </c>
      <c r="D274" s="6" t="n"/>
      <c r="E274" s="8" t="n"/>
      <c r="F274" s="9" t="n"/>
      <c r="G274" s="6" t="n"/>
      <c r="H274" s="11">
        <f>IF(OR(B274="",D274=""),0,N(IFERROR(INDEX(Steps!$E$5:$E$62,MATCH(B274,Steps!$A$5:$A$62,0)),""))*E274)</f>
        <v/>
      </c>
    </row>
    <row r="275">
      <c r="A275" s="6" t="n"/>
      <c r="B275" s="6" t="n"/>
      <c r="C275" s="3">
        <f>IF(B275="","",IFERROR(INDEX(Steps!$C$5:$C$62,MATCH(B275,Steps!$A$5:$A$62,0)),""))</f>
        <v/>
      </c>
      <c r="D275" s="6" t="n"/>
      <c r="E275" s="8" t="n"/>
      <c r="F275" s="9" t="n"/>
      <c r="G275" s="6" t="n"/>
      <c r="H275" s="11">
        <f>IF(OR(B275="",D275=""),0,N(IFERROR(INDEX(Steps!$E$5:$E$62,MATCH(B275,Steps!$A$5:$A$62,0)),""))*E275)</f>
        <v/>
      </c>
    </row>
    <row r="276">
      <c r="A276" s="6" t="n"/>
      <c r="B276" s="6" t="n"/>
      <c r="C276" s="3">
        <f>IF(B276="","",IFERROR(INDEX(Steps!$C$5:$C$62,MATCH(B276,Steps!$A$5:$A$62,0)),""))</f>
        <v/>
      </c>
      <c r="D276" s="6" t="n"/>
      <c r="E276" s="8" t="n"/>
      <c r="F276" s="9" t="n"/>
      <c r="G276" s="6" t="n"/>
      <c r="H276" s="11">
        <f>IF(OR(B276="",D276=""),0,N(IFERROR(INDEX(Steps!$E$5:$E$62,MATCH(B276,Steps!$A$5:$A$62,0)),""))*E276)</f>
        <v/>
      </c>
    </row>
    <row r="277">
      <c r="A277" s="6" t="n"/>
      <c r="B277" s="6" t="n"/>
      <c r="C277" s="3">
        <f>IF(B277="","",IFERROR(INDEX(Steps!$C$5:$C$62,MATCH(B277,Steps!$A$5:$A$62,0)),""))</f>
        <v/>
      </c>
      <c r="D277" s="6" t="n"/>
      <c r="E277" s="8" t="n"/>
      <c r="F277" s="9" t="n"/>
      <c r="G277" s="6" t="n"/>
      <c r="H277" s="11">
        <f>IF(OR(B277="",D277=""),0,N(IFERROR(INDEX(Steps!$E$5:$E$62,MATCH(B277,Steps!$A$5:$A$62,0)),""))*E277)</f>
        <v/>
      </c>
    </row>
    <row r="278">
      <c r="A278" s="6" t="n"/>
      <c r="B278" s="6" t="n"/>
      <c r="C278" s="3">
        <f>IF(B278="","",IFERROR(INDEX(Steps!$C$5:$C$62,MATCH(B278,Steps!$A$5:$A$62,0)),""))</f>
        <v/>
      </c>
      <c r="D278" s="6" t="n"/>
      <c r="E278" s="8" t="n"/>
      <c r="F278" s="9" t="n"/>
      <c r="G278" s="6" t="n"/>
      <c r="H278" s="11">
        <f>IF(OR(B278="",D278=""),0,N(IFERROR(INDEX(Steps!$E$5:$E$62,MATCH(B278,Steps!$A$5:$A$62,0)),""))*E278)</f>
        <v/>
      </c>
    </row>
    <row r="279">
      <c r="A279" s="6" t="n"/>
      <c r="B279" s="6" t="n"/>
      <c r="C279" s="3">
        <f>IF(B279="","",IFERROR(INDEX(Steps!$C$5:$C$62,MATCH(B279,Steps!$A$5:$A$62,0)),""))</f>
        <v/>
      </c>
      <c r="D279" s="6" t="n"/>
      <c r="E279" s="8" t="n"/>
      <c r="F279" s="9" t="n"/>
      <c r="G279" s="6" t="n"/>
      <c r="H279" s="11">
        <f>IF(OR(B279="",D279=""),0,N(IFERROR(INDEX(Steps!$E$5:$E$62,MATCH(B279,Steps!$A$5:$A$62,0)),""))*E279)</f>
        <v/>
      </c>
    </row>
    <row r="280">
      <c r="A280" s="6" t="n"/>
      <c r="B280" s="6" t="n"/>
      <c r="C280" s="3">
        <f>IF(B280="","",IFERROR(INDEX(Steps!$C$5:$C$62,MATCH(B280,Steps!$A$5:$A$62,0)),""))</f>
        <v/>
      </c>
      <c r="D280" s="6" t="n"/>
      <c r="E280" s="8" t="n"/>
      <c r="F280" s="9" t="n"/>
      <c r="G280" s="6" t="n"/>
      <c r="H280" s="11">
        <f>IF(OR(B280="",D280=""),0,N(IFERROR(INDEX(Steps!$E$5:$E$62,MATCH(B280,Steps!$A$5:$A$62,0)),""))*E280)</f>
        <v/>
      </c>
    </row>
    <row r="281">
      <c r="A281" s="6" t="n"/>
      <c r="B281" s="6" t="n"/>
      <c r="C281" s="3">
        <f>IF(B281="","",IFERROR(INDEX(Steps!$C$5:$C$62,MATCH(B281,Steps!$A$5:$A$62,0)),""))</f>
        <v/>
      </c>
      <c r="D281" s="6" t="n"/>
      <c r="E281" s="8" t="n"/>
      <c r="F281" s="9" t="n"/>
      <c r="G281" s="6" t="n"/>
      <c r="H281" s="11">
        <f>IF(OR(B281="",D281=""),0,N(IFERROR(INDEX(Steps!$E$5:$E$62,MATCH(B281,Steps!$A$5:$A$62,0)),""))*E281)</f>
        <v/>
      </c>
    </row>
    <row r="282">
      <c r="A282" s="6" t="n"/>
      <c r="B282" s="6" t="n"/>
      <c r="C282" s="3">
        <f>IF(B282="","",IFERROR(INDEX(Steps!$C$5:$C$62,MATCH(B282,Steps!$A$5:$A$62,0)),""))</f>
        <v/>
      </c>
      <c r="D282" s="6" t="n"/>
      <c r="E282" s="8" t="n"/>
      <c r="F282" s="9" t="n"/>
      <c r="G282" s="6" t="n"/>
      <c r="H282" s="11">
        <f>IF(OR(B282="",D282=""),0,N(IFERROR(INDEX(Steps!$E$5:$E$62,MATCH(B282,Steps!$A$5:$A$62,0)),""))*E282)</f>
        <v/>
      </c>
    </row>
    <row r="283">
      <c r="A283" s="6" t="n"/>
      <c r="B283" s="6" t="n"/>
      <c r="C283" s="3">
        <f>IF(B283="","",IFERROR(INDEX(Steps!$C$5:$C$62,MATCH(B283,Steps!$A$5:$A$62,0)),""))</f>
        <v/>
      </c>
      <c r="D283" s="6" t="n"/>
      <c r="E283" s="8" t="n"/>
      <c r="F283" s="9" t="n"/>
      <c r="G283" s="6" t="n"/>
      <c r="H283" s="11">
        <f>IF(OR(B283="",D283=""),0,N(IFERROR(INDEX(Steps!$E$5:$E$62,MATCH(B283,Steps!$A$5:$A$62,0)),""))*E283)</f>
        <v/>
      </c>
    </row>
    <row r="284">
      <c r="A284" s="6" t="n"/>
      <c r="B284" s="6" t="n"/>
      <c r="C284" s="3">
        <f>IF(B284="","",IFERROR(INDEX(Steps!$C$5:$C$62,MATCH(B284,Steps!$A$5:$A$62,0)),""))</f>
        <v/>
      </c>
      <c r="D284" s="6" t="n"/>
      <c r="E284" s="8" t="n"/>
      <c r="F284" s="9" t="n"/>
      <c r="G284" s="6" t="n"/>
      <c r="H284" s="11">
        <f>IF(OR(B284="",D284=""),0,N(IFERROR(INDEX(Steps!$E$5:$E$62,MATCH(B284,Steps!$A$5:$A$62,0)),""))*E284)</f>
        <v/>
      </c>
    </row>
    <row r="285">
      <c r="A285" s="6" t="n"/>
      <c r="B285" s="6" t="n"/>
      <c r="C285" s="3">
        <f>IF(B285="","",IFERROR(INDEX(Steps!$C$5:$C$62,MATCH(B285,Steps!$A$5:$A$62,0)),""))</f>
        <v/>
      </c>
      <c r="D285" s="6" t="n"/>
      <c r="E285" s="8" t="n"/>
      <c r="F285" s="9" t="n"/>
      <c r="G285" s="6" t="n"/>
      <c r="H285" s="11">
        <f>IF(OR(B285="",D285=""),0,N(IFERROR(INDEX(Steps!$E$5:$E$62,MATCH(B285,Steps!$A$5:$A$62,0)),""))*E285)</f>
        <v/>
      </c>
    </row>
    <row r="286">
      <c r="A286" s="6" t="n"/>
      <c r="B286" s="6" t="n"/>
      <c r="C286" s="3">
        <f>IF(B286="","",IFERROR(INDEX(Steps!$C$5:$C$62,MATCH(B286,Steps!$A$5:$A$62,0)),""))</f>
        <v/>
      </c>
      <c r="D286" s="6" t="n"/>
      <c r="E286" s="8" t="n"/>
      <c r="F286" s="9" t="n"/>
      <c r="G286" s="6" t="n"/>
      <c r="H286" s="11">
        <f>IF(OR(B286="",D286=""),0,N(IFERROR(INDEX(Steps!$E$5:$E$62,MATCH(B286,Steps!$A$5:$A$62,0)),""))*E286)</f>
        <v/>
      </c>
    </row>
    <row r="287">
      <c r="A287" s="6" t="n"/>
      <c r="B287" s="6" t="n"/>
      <c r="C287" s="3">
        <f>IF(B287="","",IFERROR(INDEX(Steps!$C$5:$C$62,MATCH(B287,Steps!$A$5:$A$62,0)),""))</f>
        <v/>
      </c>
      <c r="D287" s="6" t="n"/>
      <c r="E287" s="8" t="n"/>
      <c r="F287" s="9" t="n"/>
      <c r="G287" s="6" t="n"/>
      <c r="H287" s="11">
        <f>IF(OR(B287="",D287=""),0,N(IFERROR(INDEX(Steps!$E$5:$E$62,MATCH(B287,Steps!$A$5:$A$62,0)),""))*E287)</f>
        <v/>
      </c>
    </row>
    <row r="288">
      <c r="A288" s="6" t="n"/>
      <c r="B288" s="6" t="n"/>
      <c r="C288" s="3">
        <f>IF(B288="","",IFERROR(INDEX(Steps!$C$5:$C$62,MATCH(B288,Steps!$A$5:$A$62,0)),""))</f>
        <v/>
      </c>
      <c r="D288" s="6" t="n"/>
      <c r="E288" s="8" t="n"/>
      <c r="F288" s="9" t="n"/>
      <c r="G288" s="6" t="n"/>
      <c r="H288" s="11">
        <f>IF(OR(B288="",D288=""),0,N(IFERROR(INDEX(Steps!$E$5:$E$62,MATCH(B288,Steps!$A$5:$A$62,0)),""))*E288)</f>
        <v/>
      </c>
    </row>
    <row r="289">
      <c r="A289" s="6" t="n"/>
      <c r="B289" s="6" t="n"/>
      <c r="C289" s="3">
        <f>IF(B289="","",IFERROR(INDEX(Steps!$C$5:$C$62,MATCH(B289,Steps!$A$5:$A$62,0)),""))</f>
        <v/>
      </c>
      <c r="D289" s="6" t="n"/>
      <c r="E289" s="8" t="n"/>
      <c r="F289" s="9" t="n"/>
      <c r="G289" s="6" t="n"/>
      <c r="H289" s="11">
        <f>IF(OR(B289="",D289=""),0,N(IFERROR(INDEX(Steps!$E$5:$E$62,MATCH(B289,Steps!$A$5:$A$62,0)),""))*E289)</f>
        <v/>
      </c>
    </row>
    <row r="290">
      <c r="A290" s="6" t="n"/>
      <c r="B290" s="6" t="n"/>
      <c r="C290" s="3">
        <f>IF(B290="","",IFERROR(INDEX(Steps!$C$5:$C$62,MATCH(B290,Steps!$A$5:$A$62,0)),""))</f>
        <v/>
      </c>
      <c r="D290" s="6" t="n"/>
      <c r="E290" s="8" t="n"/>
      <c r="F290" s="9" t="n"/>
      <c r="G290" s="6" t="n"/>
      <c r="H290" s="11">
        <f>IF(OR(B290="",D290=""),0,N(IFERROR(INDEX(Steps!$E$5:$E$62,MATCH(B290,Steps!$A$5:$A$62,0)),""))*E290)</f>
        <v/>
      </c>
    </row>
    <row r="291">
      <c r="A291" s="6" t="n"/>
      <c r="B291" s="6" t="n"/>
      <c r="C291" s="3">
        <f>IF(B291="","",IFERROR(INDEX(Steps!$C$5:$C$62,MATCH(B291,Steps!$A$5:$A$62,0)),""))</f>
        <v/>
      </c>
      <c r="D291" s="6" t="n"/>
      <c r="E291" s="8" t="n"/>
      <c r="F291" s="9" t="n"/>
      <c r="G291" s="6" t="n"/>
      <c r="H291" s="11">
        <f>IF(OR(B291="",D291=""),0,N(IFERROR(INDEX(Steps!$E$5:$E$62,MATCH(B291,Steps!$A$5:$A$62,0)),""))*E291)</f>
        <v/>
      </c>
    </row>
    <row r="292">
      <c r="A292" s="6" t="n"/>
      <c r="B292" s="6" t="n"/>
      <c r="C292" s="3">
        <f>IF(B292="","",IFERROR(INDEX(Steps!$C$5:$C$62,MATCH(B292,Steps!$A$5:$A$62,0)),""))</f>
        <v/>
      </c>
      <c r="D292" s="6" t="n"/>
      <c r="E292" s="8" t="n"/>
      <c r="F292" s="9" t="n"/>
      <c r="G292" s="6" t="n"/>
      <c r="H292" s="11">
        <f>IF(OR(B292="",D292=""),0,N(IFERROR(INDEX(Steps!$E$5:$E$62,MATCH(B292,Steps!$A$5:$A$62,0)),""))*E292)</f>
        <v/>
      </c>
    </row>
    <row r="293">
      <c r="A293" s="6" t="n"/>
      <c r="B293" s="6" t="n"/>
      <c r="C293" s="3">
        <f>IF(B293="","",IFERROR(INDEX(Steps!$C$5:$C$62,MATCH(B293,Steps!$A$5:$A$62,0)),""))</f>
        <v/>
      </c>
      <c r="D293" s="6" t="n"/>
      <c r="E293" s="8" t="n"/>
      <c r="F293" s="9" t="n"/>
      <c r="G293" s="6" t="n"/>
      <c r="H293" s="11">
        <f>IF(OR(B293="",D293=""),0,N(IFERROR(INDEX(Steps!$E$5:$E$62,MATCH(B293,Steps!$A$5:$A$62,0)),""))*E293)</f>
        <v/>
      </c>
    </row>
    <row r="294">
      <c r="A294" s="6" t="n"/>
      <c r="B294" s="6" t="n"/>
      <c r="C294" s="3">
        <f>IF(B294="","",IFERROR(INDEX(Steps!$C$5:$C$62,MATCH(B294,Steps!$A$5:$A$62,0)),""))</f>
        <v/>
      </c>
      <c r="D294" s="6" t="n"/>
      <c r="E294" s="8" t="n"/>
      <c r="F294" s="9" t="n"/>
      <c r="G294" s="6" t="n"/>
      <c r="H294" s="11">
        <f>IF(OR(B294="",D294=""),0,N(IFERROR(INDEX(Steps!$E$5:$E$62,MATCH(B294,Steps!$A$5:$A$62,0)),""))*E294)</f>
        <v/>
      </c>
    </row>
    <row r="295">
      <c r="A295" s="6" t="n"/>
      <c r="B295" s="6" t="n"/>
      <c r="C295" s="3">
        <f>IF(B295="","",IFERROR(INDEX(Steps!$C$5:$C$62,MATCH(B295,Steps!$A$5:$A$62,0)),""))</f>
        <v/>
      </c>
      <c r="D295" s="6" t="n"/>
      <c r="E295" s="8" t="n"/>
      <c r="F295" s="9" t="n"/>
      <c r="G295" s="6" t="n"/>
      <c r="H295" s="11">
        <f>IF(OR(B295="",D295=""),0,N(IFERROR(INDEX(Steps!$E$5:$E$62,MATCH(B295,Steps!$A$5:$A$62,0)),""))*E295)</f>
        <v/>
      </c>
    </row>
    <row r="296">
      <c r="A296" s="6" t="n"/>
      <c r="B296" s="6" t="n"/>
      <c r="C296" s="3">
        <f>IF(B296="","",IFERROR(INDEX(Steps!$C$5:$C$62,MATCH(B296,Steps!$A$5:$A$62,0)),""))</f>
        <v/>
      </c>
      <c r="D296" s="6" t="n"/>
      <c r="E296" s="8" t="n"/>
      <c r="F296" s="9" t="n"/>
      <c r="G296" s="6" t="n"/>
      <c r="H296" s="11">
        <f>IF(OR(B296="",D296=""),0,N(IFERROR(INDEX(Steps!$E$5:$E$62,MATCH(B296,Steps!$A$5:$A$62,0)),""))*E296)</f>
        <v/>
      </c>
    </row>
    <row r="297">
      <c r="A297" s="6" t="n"/>
      <c r="B297" s="6" t="n"/>
      <c r="C297" s="3">
        <f>IF(B297="","",IFERROR(INDEX(Steps!$C$5:$C$62,MATCH(B297,Steps!$A$5:$A$62,0)),""))</f>
        <v/>
      </c>
      <c r="D297" s="6" t="n"/>
      <c r="E297" s="8" t="n"/>
      <c r="F297" s="9" t="n"/>
      <c r="G297" s="6" t="n"/>
      <c r="H297" s="11">
        <f>IF(OR(B297="",D297=""),0,N(IFERROR(INDEX(Steps!$E$5:$E$62,MATCH(B297,Steps!$A$5:$A$62,0)),""))*E297)</f>
        <v/>
      </c>
    </row>
    <row r="298">
      <c r="A298" s="6" t="n"/>
      <c r="B298" s="6" t="n"/>
      <c r="C298" s="3">
        <f>IF(B298="","",IFERROR(INDEX(Steps!$C$5:$C$62,MATCH(B298,Steps!$A$5:$A$62,0)),""))</f>
        <v/>
      </c>
      <c r="D298" s="6" t="n"/>
      <c r="E298" s="8" t="n"/>
      <c r="F298" s="9" t="n"/>
      <c r="G298" s="6" t="n"/>
      <c r="H298" s="11">
        <f>IF(OR(B298="",D298=""),0,N(IFERROR(INDEX(Steps!$E$5:$E$62,MATCH(B298,Steps!$A$5:$A$62,0)),""))*E298)</f>
        <v/>
      </c>
    </row>
    <row r="299">
      <c r="A299" s="6" t="n"/>
      <c r="B299" s="6" t="n"/>
      <c r="C299" s="3">
        <f>IF(B299="","",IFERROR(INDEX(Steps!$C$5:$C$62,MATCH(B299,Steps!$A$5:$A$62,0)),""))</f>
        <v/>
      </c>
      <c r="D299" s="6" t="n"/>
      <c r="E299" s="8" t="n"/>
      <c r="F299" s="9" t="n"/>
      <c r="G299" s="6" t="n"/>
      <c r="H299" s="11">
        <f>IF(OR(B299="",D299=""),0,N(IFERROR(INDEX(Steps!$E$5:$E$62,MATCH(B299,Steps!$A$5:$A$62,0)),""))*E299)</f>
        <v/>
      </c>
    </row>
    <row r="300">
      <c r="A300" s="6" t="n"/>
      <c r="B300" s="6" t="n"/>
      <c r="C300" s="3">
        <f>IF(B300="","",IFERROR(INDEX(Steps!$C$5:$C$62,MATCH(B300,Steps!$A$5:$A$62,0)),""))</f>
        <v/>
      </c>
      <c r="D300" s="6" t="n"/>
      <c r="E300" s="8" t="n"/>
      <c r="F300" s="9" t="n"/>
      <c r="G300" s="6" t="n"/>
      <c r="H300" s="11">
        <f>IF(OR(B300="",D300=""),0,N(IFERROR(INDEX(Steps!$E$5:$E$62,MATCH(B300,Steps!$A$5:$A$62,0)),""))*E300)</f>
        <v/>
      </c>
    </row>
    <row r="301">
      <c r="A301" s="6" t="n"/>
      <c r="B301" s="6" t="n"/>
      <c r="C301" s="3">
        <f>IF(B301="","",IFERROR(INDEX(Steps!$C$5:$C$62,MATCH(B301,Steps!$A$5:$A$62,0)),""))</f>
        <v/>
      </c>
      <c r="D301" s="6" t="n"/>
      <c r="E301" s="8" t="n"/>
      <c r="F301" s="9" t="n"/>
      <c r="G301" s="6" t="n"/>
      <c r="H301" s="11">
        <f>IF(OR(B301="",D301=""),0,N(IFERROR(INDEX(Steps!$E$5:$E$62,MATCH(B301,Steps!$A$5:$A$62,0)),""))*E301)</f>
        <v/>
      </c>
    </row>
    <row r="302">
      <c r="A302" s="6" t="n"/>
      <c r="B302" s="6" t="n"/>
      <c r="C302" s="3">
        <f>IF(B302="","",IFERROR(INDEX(Steps!$C$5:$C$62,MATCH(B302,Steps!$A$5:$A$62,0)),""))</f>
        <v/>
      </c>
      <c r="D302" s="6" t="n"/>
      <c r="E302" s="8" t="n"/>
      <c r="F302" s="9" t="n"/>
      <c r="G302" s="6" t="n"/>
      <c r="H302" s="11">
        <f>IF(OR(B302="",D302=""),0,N(IFERROR(INDEX(Steps!$E$5:$E$62,MATCH(B302,Steps!$A$5:$A$62,0)),""))*E302)</f>
        <v/>
      </c>
    </row>
    <row r="303">
      <c r="A303" s="6" t="n"/>
      <c r="B303" s="6" t="n"/>
      <c r="C303" s="3">
        <f>IF(B303="","",IFERROR(INDEX(Steps!$C$5:$C$62,MATCH(B303,Steps!$A$5:$A$62,0)),""))</f>
        <v/>
      </c>
      <c r="D303" s="6" t="n"/>
      <c r="E303" s="8" t="n"/>
      <c r="F303" s="9" t="n"/>
      <c r="G303" s="6" t="n"/>
      <c r="H303" s="11">
        <f>IF(OR(B303="",D303=""),0,N(IFERROR(INDEX(Steps!$E$5:$E$62,MATCH(B303,Steps!$A$5:$A$62,0)),""))*E303)</f>
        <v/>
      </c>
    </row>
    <row r="304">
      <c r="A304" s="6" t="n"/>
      <c r="B304" s="6" t="n"/>
      <c r="C304" s="3">
        <f>IF(B304="","",IFERROR(INDEX(Steps!$C$5:$C$62,MATCH(B304,Steps!$A$5:$A$62,0)),""))</f>
        <v/>
      </c>
      <c r="D304" s="6" t="n"/>
      <c r="E304" s="8" t="n"/>
      <c r="F304" s="9" t="n"/>
      <c r="G304" s="6" t="n"/>
      <c r="H304" s="11">
        <f>IF(OR(B304="",D304=""),0,N(IFERROR(INDEX(Steps!$E$5:$E$62,MATCH(B304,Steps!$A$5:$A$62,0)),""))*E304)</f>
        <v/>
      </c>
    </row>
    <row r="305">
      <c r="A305" s="6" t="n"/>
      <c r="B305" s="6" t="n"/>
      <c r="C305" s="3">
        <f>IF(B305="","",IFERROR(INDEX(Steps!$C$5:$C$62,MATCH(B305,Steps!$A$5:$A$62,0)),""))</f>
        <v/>
      </c>
      <c r="D305" s="6" t="n"/>
      <c r="E305" s="8" t="n"/>
      <c r="F305" s="9" t="n"/>
      <c r="G305" s="6" t="n"/>
      <c r="H305" s="11">
        <f>IF(OR(B305="",D305=""),0,N(IFERROR(INDEX(Steps!$E$5:$E$62,MATCH(B305,Steps!$A$5:$A$62,0)),""))*E305)</f>
        <v/>
      </c>
    </row>
    <row r="306">
      <c r="A306" s="6" t="n"/>
      <c r="B306" s="6" t="n"/>
      <c r="C306" s="3">
        <f>IF(B306="","",IFERROR(INDEX(Steps!$C$5:$C$62,MATCH(B306,Steps!$A$5:$A$62,0)),""))</f>
        <v/>
      </c>
      <c r="D306" s="6" t="n"/>
      <c r="E306" s="8" t="n"/>
      <c r="F306" s="9" t="n"/>
      <c r="G306" s="6" t="n"/>
      <c r="H306" s="11">
        <f>IF(OR(B306="",D306=""),0,N(IFERROR(INDEX(Steps!$E$5:$E$62,MATCH(B306,Steps!$A$5:$A$62,0)),""))*E306)</f>
        <v/>
      </c>
    </row>
    <row r="307">
      <c r="A307" s="6" t="n"/>
      <c r="B307" s="6" t="n"/>
      <c r="C307" s="3">
        <f>IF(B307="","",IFERROR(INDEX(Steps!$C$5:$C$62,MATCH(B307,Steps!$A$5:$A$62,0)),""))</f>
        <v/>
      </c>
      <c r="D307" s="6" t="n"/>
      <c r="E307" s="8" t="n"/>
      <c r="F307" s="9" t="n"/>
      <c r="G307" s="6" t="n"/>
      <c r="H307" s="11">
        <f>IF(OR(B307="",D307=""),0,N(IFERROR(INDEX(Steps!$E$5:$E$62,MATCH(B307,Steps!$A$5:$A$62,0)),""))*E307)</f>
        <v/>
      </c>
    </row>
    <row r="308">
      <c r="A308" s="6" t="n"/>
      <c r="B308" s="6" t="n"/>
      <c r="C308" s="3">
        <f>IF(B308="","",IFERROR(INDEX(Steps!$C$5:$C$62,MATCH(B308,Steps!$A$5:$A$62,0)),""))</f>
        <v/>
      </c>
      <c r="D308" s="6" t="n"/>
      <c r="E308" s="8" t="n"/>
      <c r="F308" s="9" t="n"/>
      <c r="G308" s="6" t="n"/>
      <c r="H308" s="11">
        <f>IF(OR(B308="",D308=""),0,N(IFERROR(INDEX(Steps!$E$5:$E$62,MATCH(B308,Steps!$A$5:$A$62,0)),""))*E308)</f>
        <v/>
      </c>
    </row>
    <row r="309">
      <c r="A309" s="6" t="n"/>
      <c r="B309" s="6" t="n"/>
      <c r="C309" s="3">
        <f>IF(B309="","",IFERROR(INDEX(Steps!$C$5:$C$62,MATCH(B309,Steps!$A$5:$A$62,0)),""))</f>
        <v/>
      </c>
      <c r="D309" s="6" t="n"/>
      <c r="E309" s="8" t="n"/>
      <c r="F309" s="9" t="n"/>
      <c r="G309" s="6" t="n"/>
      <c r="H309" s="11">
        <f>IF(OR(B309="",D309=""),0,N(IFERROR(INDEX(Steps!$E$5:$E$62,MATCH(B309,Steps!$A$5:$A$62,0)),""))*E309)</f>
        <v/>
      </c>
    </row>
    <row r="310">
      <c r="A310" s="6" t="n"/>
      <c r="B310" s="6" t="n"/>
      <c r="C310" s="3">
        <f>IF(B310="","",IFERROR(INDEX(Steps!$C$5:$C$62,MATCH(B310,Steps!$A$5:$A$62,0)),""))</f>
        <v/>
      </c>
      <c r="D310" s="6" t="n"/>
      <c r="E310" s="8" t="n"/>
      <c r="F310" s="9" t="n"/>
      <c r="G310" s="6" t="n"/>
      <c r="H310" s="11">
        <f>IF(OR(B310="",D310=""),0,N(IFERROR(INDEX(Steps!$E$5:$E$62,MATCH(B310,Steps!$A$5:$A$62,0)),""))*E310)</f>
        <v/>
      </c>
    </row>
    <row r="311">
      <c r="A311" s="6" t="n"/>
      <c r="B311" s="6" t="n"/>
      <c r="C311" s="3">
        <f>IF(B311="","",IFERROR(INDEX(Steps!$C$5:$C$62,MATCH(B311,Steps!$A$5:$A$62,0)),""))</f>
        <v/>
      </c>
      <c r="D311" s="6" t="n"/>
      <c r="E311" s="8" t="n"/>
      <c r="F311" s="9" t="n"/>
      <c r="G311" s="6" t="n"/>
      <c r="H311" s="11">
        <f>IF(OR(B311="",D311=""),0,N(IFERROR(INDEX(Steps!$E$5:$E$62,MATCH(B311,Steps!$A$5:$A$62,0)),""))*E311)</f>
        <v/>
      </c>
    </row>
    <row r="312">
      <c r="A312" s="6" t="n"/>
      <c r="B312" s="6" t="n"/>
      <c r="C312" s="3">
        <f>IF(B312="","",IFERROR(INDEX(Steps!$C$5:$C$62,MATCH(B312,Steps!$A$5:$A$62,0)),""))</f>
        <v/>
      </c>
      <c r="D312" s="6" t="n"/>
      <c r="E312" s="8" t="n"/>
      <c r="F312" s="9" t="n"/>
      <c r="G312" s="6" t="n"/>
      <c r="H312" s="11">
        <f>IF(OR(B312="",D312=""),0,N(IFERROR(INDEX(Steps!$E$5:$E$62,MATCH(B312,Steps!$A$5:$A$62,0)),""))*E312)</f>
        <v/>
      </c>
    </row>
    <row r="313">
      <c r="A313" s="6" t="n"/>
      <c r="B313" s="6" t="n"/>
      <c r="C313" s="3">
        <f>IF(B313="","",IFERROR(INDEX(Steps!$C$5:$C$62,MATCH(B313,Steps!$A$5:$A$62,0)),""))</f>
        <v/>
      </c>
      <c r="D313" s="6" t="n"/>
      <c r="E313" s="8" t="n"/>
      <c r="F313" s="9" t="n"/>
      <c r="G313" s="6" t="n"/>
      <c r="H313" s="11">
        <f>IF(OR(B313="",D313=""),0,N(IFERROR(INDEX(Steps!$E$5:$E$62,MATCH(B313,Steps!$A$5:$A$62,0)),""))*E313)</f>
        <v/>
      </c>
    </row>
    <row r="314">
      <c r="A314" s="6" t="n"/>
      <c r="B314" s="6" t="n"/>
      <c r="C314" s="3">
        <f>IF(B314="","",IFERROR(INDEX(Steps!$C$5:$C$62,MATCH(B314,Steps!$A$5:$A$62,0)),""))</f>
        <v/>
      </c>
      <c r="D314" s="6" t="n"/>
      <c r="E314" s="8" t="n"/>
      <c r="F314" s="9" t="n"/>
      <c r="G314" s="6" t="n"/>
      <c r="H314" s="11">
        <f>IF(OR(B314="",D314=""),0,N(IFERROR(INDEX(Steps!$E$5:$E$62,MATCH(B314,Steps!$A$5:$A$62,0)),""))*E314)</f>
        <v/>
      </c>
    </row>
    <row r="315">
      <c r="A315" s="6" t="n"/>
      <c r="B315" s="6" t="n"/>
      <c r="C315" s="3">
        <f>IF(B315="","",IFERROR(INDEX(Steps!$C$5:$C$62,MATCH(B315,Steps!$A$5:$A$62,0)),""))</f>
        <v/>
      </c>
      <c r="D315" s="6" t="n"/>
      <c r="E315" s="8" t="n"/>
      <c r="F315" s="9" t="n"/>
      <c r="G315" s="6" t="n"/>
      <c r="H315" s="11">
        <f>IF(OR(B315="",D315=""),0,N(IFERROR(INDEX(Steps!$E$5:$E$62,MATCH(B315,Steps!$A$5:$A$62,0)),""))*E315)</f>
        <v/>
      </c>
    </row>
    <row r="316">
      <c r="A316" s="6" t="n"/>
      <c r="B316" s="6" t="n"/>
      <c r="C316" s="3">
        <f>IF(B316="","",IFERROR(INDEX(Steps!$C$5:$C$62,MATCH(B316,Steps!$A$5:$A$62,0)),""))</f>
        <v/>
      </c>
      <c r="D316" s="6" t="n"/>
      <c r="E316" s="8" t="n"/>
      <c r="F316" s="9" t="n"/>
      <c r="G316" s="6" t="n"/>
      <c r="H316" s="11">
        <f>IF(OR(B316="",D316=""),0,N(IFERROR(INDEX(Steps!$E$5:$E$62,MATCH(B316,Steps!$A$5:$A$62,0)),""))*E316)</f>
        <v/>
      </c>
    </row>
    <row r="317">
      <c r="A317" s="6" t="n"/>
      <c r="B317" s="6" t="n"/>
      <c r="C317" s="3">
        <f>IF(B317="","",IFERROR(INDEX(Steps!$C$5:$C$62,MATCH(B317,Steps!$A$5:$A$62,0)),""))</f>
        <v/>
      </c>
      <c r="D317" s="6" t="n"/>
      <c r="E317" s="8" t="n"/>
      <c r="F317" s="9" t="n"/>
      <c r="G317" s="6" t="n"/>
      <c r="H317" s="11">
        <f>IF(OR(B317="",D317=""),0,N(IFERROR(INDEX(Steps!$E$5:$E$62,MATCH(B317,Steps!$A$5:$A$62,0)),""))*E317)</f>
        <v/>
      </c>
    </row>
    <row r="318">
      <c r="A318" s="6" t="n"/>
      <c r="B318" s="6" t="n"/>
      <c r="C318" s="3">
        <f>IF(B318="","",IFERROR(INDEX(Steps!$C$5:$C$62,MATCH(B318,Steps!$A$5:$A$62,0)),""))</f>
        <v/>
      </c>
      <c r="D318" s="6" t="n"/>
      <c r="E318" s="8" t="n"/>
      <c r="F318" s="9" t="n"/>
      <c r="G318" s="6" t="n"/>
      <c r="H318" s="11">
        <f>IF(OR(B318="",D318=""),0,N(IFERROR(INDEX(Steps!$E$5:$E$62,MATCH(B318,Steps!$A$5:$A$62,0)),""))*E318)</f>
        <v/>
      </c>
    </row>
    <row r="319">
      <c r="A319" s="6" t="n"/>
      <c r="B319" s="6" t="n"/>
      <c r="C319" s="3">
        <f>IF(B319="","",IFERROR(INDEX(Steps!$C$5:$C$62,MATCH(B319,Steps!$A$5:$A$62,0)),""))</f>
        <v/>
      </c>
      <c r="D319" s="6" t="n"/>
      <c r="E319" s="8" t="n"/>
      <c r="F319" s="9" t="n"/>
      <c r="G319" s="6" t="n"/>
      <c r="H319" s="11">
        <f>IF(OR(B319="",D319=""),0,N(IFERROR(INDEX(Steps!$E$5:$E$62,MATCH(B319,Steps!$A$5:$A$62,0)),""))*E319)</f>
        <v/>
      </c>
    </row>
    <row r="320">
      <c r="A320" s="6" t="n"/>
      <c r="B320" s="6" t="n"/>
      <c r="C320" s="3">
        <f>IF(B320="","",IFERROR(INDEX(Steps!$C$5:$C$62,MATCH(B320,Steps!$A$5:$A$62,0)),""))</f>
        <v/>
      </c>
      <c r="D320" s="6" t="n"/>
      <c r="E320" s="8" t="n"/>
      <c r="F320" s="9" t="n"/>
      <c r="G320" s="6" t="n"/>
      <c r="H320" s="11">
        <f>IF(OR(B320="",D320=""),0,N(IFERROR(INDEX(Steps!$E$5:$E$62,MATCH(B320,Steps!$A$5:$A$62,0)),""))*E320)</f>
        <v/>
      </c>
    </row>
    <row r="321">
      <c r="A321" s="6" t="n"/>
      <c r="B321" s="6" t="n"/>
      <c r="C321" s="3">
        <f>IF(B321="","",IFERROR(INDEX(Steps!$C$5:$C$62,MATCH(B321,Steps!$A$5:$A$62,0)),""))</f>
        <v/>
      </c>
      <c r="D321" s="6" t="n"/>
      <c r="E321" s="8" t="n"/>
      <c r="F321" s="9" t="n"/>
      <c r="G321" s="6" t="n"/>
      <c r="H321" s="11">
        <f>IF(OR(B321="",D321=""),0,N(IFERROR(INDEX(Steps!$E$5:$E$62,MATCH(B321,Steps!$A$5:$A$62,0)),""))*E321)</f>
        <v/>
      </c>
    </row>
    <row r="322">
      <c r="A322" s="6" t="n"/>
      <c r="B322" s="6" t="n"/>
      <c r="C322" s="3">
        <f>IF(B322="","",IFERROR(INDEX(Steps!$C$5:$C$62,MATCH(B322,Steps!$A$5:$A$62,0)),""))</f>
        <v/>
      </c>
      <c r="D322" s="6" t="n"/>
      <c r="E322" s="8" t="n"/>
      <c r="F322" s="9" t="n"/>
      <c r="G322" s="6" t="n"/>
      <c r="H322" s="11">
        <f>IF(OR(B322="",D322=""),0,N(IFERROR(INDEX(Steps!$E$5:$E$62,MATCH(B322,Steps!$A$5:$A$62,0)),""))*E322)</f>
        <v/>
      </c>
    </row>
    <row r="323">
      <c r="A323" s="6" t="n"/>
      <c r="B323" s="6" t="n"/>
      <c r="C323" s="3">
        <f>IF(B323="","",IFERROR(INDEX(Steps!$C$5:$C$62,MATCH(B323,Steps!$A$5:$A$62,0)),""))</f>
        <v/>
      </c>
      <c r="D323" s="6" t="n"/>
      <c r="E323" s="8" t="n"/>
      <c r="F323" s="9" t="n"/>
      <c r="G323" s="6" t="n"/>
      <c r="H323" s="11">
        <f>IF(OR(B323="",D323=""),0,N(IFERROR(INDEX(Steps!$E$5:$E$62,MATCH(B323,Steps!$A$5:$A$62,0)),""))*E323)</f>
        <v/>
      </c>
    </row>
    <row r="324">
      <c r="A324" s="6" t="n"/>
      <c r="B324" s="6" t="n"/>
      <c r="C324" s="3">
        <f>IF(B324="","",IFERROR(INDEX(Steps!$C$5:$C$62,MATCH(B324,Steps!$A$5:$A$62,0)),""))</f>
        <v/>
      </c>
      <c r="D324" s="6" t="n"/>
      <c r="E324" s="8" t="n"/>
      <c r="F324" s="9" t="n"/>
      <c r="G324" s="6" t="n"/>
      <c r="H324" s="11">
        <f>IF(OR(B324="",D324=""),0,N(IFERROR(INDEX(Steps!$E$5:$E$62,MATCH(B324,Steps!$A$5:$A$62,0)),""))*E324)</f>
        <v/>
      </c>
    </row>
    <row r="325">
      <c r="A325" s="6" t="n"/>
      <c r="B325" s="6" t="n"/>
      <c r="C325" s="3">
        <f>IF(B325="","",IFERROR(INDEX(Steps!$C$5:$C$62,MATCH(B325,Steps!$A$5:$A$62,0)),""))</f>
        <v/>
      </c>
      <c r="D325" s="6" t="n"/>
      <c r="E325" s="8" t="n"/>
      <c r="F325" s="9" t="n"/>
      <c r="G325" s="6" t="n"/>
      <c r="H325" s="11">
        <f>IF(OR(B325="",D325=""),0,N(IFERROR(INDEX(Steps!$E$5:$E$62,MATCH(B325,Steps!$A$5:$A$62,0)),""))*E325)</f>
        <v/>
      </c>
    </row>
    <row r="326">
      <c r="A326" s="6" t="n"/>
      <c r="B326" s="6" t="n"/>
      <c r="C326" s="3">
        <f>IF(B326="","",IFERROR(INDEX(Steps!$C$5:$C$62,MATCH(B326,Steps!$A$5:$A$62,0)),""))</f>
        <v/>
      </c>
      <c r="D326" s="6" t="n"/>
      <c r="E326" s="8" t="n"/>
      <c r="F326" s="9" t="n"/>
      <c r="G326" s="6" t="n"/>
      <c r="H326" s="11">
        <f>IF(OR(B326="",D326=""),0,N(IFERROR(INDEX(Steps!$E$5:$E$62,MATCH(B326,Steps!$A$5:$A$62,0)),""))*E326)</f>
        <v/>
      </c>
    </row>
    <row r="327">
      <c r="A327" s="6" t="n"/>
      <c r="B327" s="6" t="n"/>
      <c r="C327" s="3">
        <f>IF(B327="","",IFERROR(INDEX(Steps!$C$5:$C$62,MATCH(B327,Steps!$A$5:$A$62,0)),""))</f>
        <v/>
      </c>
      <c r="D327" s="6" t="n"/>
      <c r="E327" s="8" t="n"/>
      <c r="F327" s="9" t="n"/>
      <c r="G327" s="6" t="n"/>
      <c r="H327" s="11">
        <f>IF(OR(B327="",D327=""),0,N(IFERROR(INDEX(Steps!$E$5:$E$62,MATCH(B327,Steps!$A$5:$A$62,0)),""))*E327)</f>
        <v/>
      </c>
    </row>
    <row r="328">
      <c r="A328" s="6" t="n"/>
      <c r="B328" s="6" t="n"/>
      <c r="C328" s="3">
        <f>IF(B328="","",IFERROR(INDEX(Steps!$C$5:$C$62,MATCH(B328,Steps!$A$5:$A$62,0)),""))</f>
        <v/>
      </c>
      <c r="D328" s="6" t="n"/>
      <c r="E328" s="8" t="n"/>
      <c r="F328" s="9" t="n"/>
      <c r="G328" s="6" t="n"/>
      <c r="H328" s="11">
        <f>IF(OR(B328="",D328=""),0,N(IFERROR(INDEX(Steps!$E$5:$E$62,MATCH(B328,Steps!$A$5:$A$62,0)),""))*E328)</f>
        <v/>
      </c>
    </row>
    <row r="329">
      <c r="A329" s="6" t="n"/>
      <c r="B329" s="6" t="n"/>
      <c r="C329" s="3">
        <f>IF(B329="","",IFERROR(INDEX(Steps!$C$5:$C$62,MATCH(B329,Steps!$A$5:$A$62,0)),""))</f>
        <v/>
      </c>
      <c r="D329" s="6" t="n"/>
      <c r="E329" s="8" t="n"/>
      <c r="F329" s="9" t="n"/>
      <c r="G329" s="6" t="n"/>
      <c r="H329" s="11">
        <f>IF(OR(B329="",D329=""),0,N(IFERROR(INDEX(Steps!$E$5:$E$62,MATCH(B329,Steps!$A$5:$A$62,0)),""))*E329)</f>
        <v/>
      </c>
    </row>
    <row r="330">
      <c r="A330" s="6" t="n"/>
      <c r="B330" s="6" t="n"/>
      <c r="C330" s="3">
        <f>IF(B330="","",IFERROR(INDEX(Steps!$C$5:$C$62,MATCH(B330,Steps!$A$5:$A$62,0)),""))</f>
        <v/>
      </c>
      <c r="D330" s="6" t="n"/>
      <c r="E330" s="8" t="n"/>
      <c r="F330" s="9" t="n"/>
      <c r="G330" s="6" t="n"/>
      <c r="H330" s="11">
        <f>IF(OR(B330="",D330=""),0,N(IFERROR(INDEX(Steps!$E$5:$E$62,MATCH(B330,Steps!$A$5:$A$62,0)),""))*E330)</f>
        <v/>
      </c>
    </row>
    <row r="331">
      <c r="A331" s="6" t="n"/>
      <c r="B331" s="6" t="n"/>
      <c r="C331" s="3">
        <f>IF(B331="","",IFERROR(INDEX(Steps!$C$5:$C$62,MATCH(B331,Steps!$A$5:$A$62,0)),""))</f>
        <v/>
      </c>
      <c r="D331" s="6" t="n"/>
      <c r="E331" s="8" t="n"/>
      <c r="F331" s="9" t="n"/>
      <c r="G331" s="6" t="n"/>
      <c r="H331" s="11">
        <f>IF(OR(B331="",D331=""),0,N(IFERROR(INDEX(Steps!$E$5:$E$62,MATCH(B331,Steps!$A$5:$A$62,0)),""))*E331)</f>
        <v/>
      </c>
    </row>
    <row r="332">
      <c r="A332" s="6" t="n"/>
      <c r="B332" s="6" t="n"/>
      <c r="C332" s="3">
        <f>IF(B332="","",IFERROR(INDEX(Steps!$C$5:$C$62,MATCH(B332,Steps!$A$5:$A$62,0)),""))</f>
        <v/>
      </c>
      <c r="D332" s="6" t="n"/>
      <c r="E332" s="8" t="n"/>
      <c r="F332" s="9" t="n"/>
      <c r="G332" s="6" t="n"/>
      <c r="H332" s="11">
        <f>IF(OR(B332="",D332=""),0,N(IFERROR(INDEX(Steps!$E$5:$E$62,MATCH(B332,Steps!$A$5:$A$62,0)),""))*E332)</f>
        <v/>
      </c>
    </row>
    <row r="333">
      <c r="A333" s="6" t="n"/>
      <c r="B333" s="6" t="n"/>
      <c r="C333" s="3">
        <f>IF(B333="","",IFERROR(INDEX(Steps!$C$5:$C$62,MATCH(B333,Steps!$A$5:$A$62,0)),""))</f>
        <v/>
      </c>
      <c r="D333" s="6" t="n"/>
      <c r="E333" s="8" t="n"/>
      <c r="F333" s="9" t="n"/>
      <c r="G333" s="6" t="n"/>
      <c r="H333" s="11">
        <f>IF(OR(B333="",D333=""),0,N(IFERROR(INDEX(Steps!$E$5:$E$62,MATCH(B333,Steps!$A$5:$A$62,0)),""))*E333)</f>
        <v/>
      </c>
    </row>
    <row r="334">
      <c r="A334" s="6" t="n"/>
      <c r="B334" s="6" t="n"/>
      <c r="C334" s="3">
        <f>IF(B334="","",IFERROR(INDEX(Steps!$C$5:$C$62,MATCH(B334,Steps!$A$5:$A$62,0)),""))</f>
        <v/>
      </c>
      <c r="D334" s="6" t="n"/>
      <c r="E334" s="8" t="n"/>
      <c r="F334" s="9" t="n"/>
      <c r="G334" s="6" t="n"/>
      <c r="H334" s="11">
        <f>IF(OR(B334="",D334=""),0,N(IFERROR(INDEX(Steps!$E$5:$E$62,MATCH(B334,Steps!$A$5:$A$62,0)),""))*E334)</f>
        <v/>
      </c>
    </row>
    <row r="335">
      <c r="A335" s="6" t="n"/>
      <c r="B335" s="6" t="n"/>
      <c r="C335" s="3">
        <f>IF(B335="","",IFERROR(INDEX(Steps!$C$5:$C$62,MATCH(B335,Steps!$A$5:$A$62,0)),""))</f>
        <v/>
      </c>
      <c r="D335" s="6" t="n"/>
      <c r="E335" s="8" t="n"/>
      <c r="F335" s="9" t="n"/>
      <c r="G335" s="6" t="n"/>
      <c r="H335" s="11">
        <f>IF(OR(B335="",D335=""),0,N(IFERROR(INDEX(Steps!$E$5:$E$62,MATCH(B335,Steps!$A$5:$A$62,0)),""))*E335)</f>
        <v/>
      </c>
    </row>
    <row r="336">
      <c r="A336" s="6" t="n"/>
      <c r="B336" s="6" t="n"/>
      <c r="C336" s="3">
        <f>IF(B336="","",IFERROR(INDEX(Steps!$C$5:$C$62,MATCH(B336,Steps!$A$5:$A$62,0)),""))</f>
        <v/>
      </c>
      <c r="D336" s="6" t="n"/>
      <c r="E336" s="8" t="n"/>
      <c r="F336" s="9" t="n"/>
      <c r="G336" s="6" t="n"/>
      <c r="H336" s="11">
        <f>IF(OR(B336="",D336=""),0,N(IFERROR(INDEX(Steps!$E$5:$E$62,MATCH(B336,Steps!$A$5:$A$62,0)),""))*E336)</f>
        <v/>
      </c>
    </row>
    <row r="337">
      <c r="A337" s="6" t="n"/>
      <c r="B337" s="6" t="n"/>
      <c r="C337" s="3">
        <f>IF(B337="","",IFERROR(INDEX(Steps!$C$5:$C$62,MATCH(B337,Steps!$A$5:$A$62,0)),""))</f>
        <v/>
      </c>
      <c r="D337" s="6" t="n"/>
      <c r="E337" s="8" t="n"/>
      <c r="F337" s="9" t="n"/>
      <c r="G337" s="6" t="n"/>
      <c r="H337" s="11">
        <f>IF(OR(B337="",D337=""),0,N(IFERROR(INDEX(Steps!$E$5:$E$62,MATCH(B337,Steps!$A$5:$A$62,0)),""))*E337)</f>
        <v/>
      </c>
    </row>
    <row r="338">
      <c r="A338" s="6" t="n"/>
      <c r="B338" s="6" t="n"/>
      <c r="C338" s="3">
        <f>IF(B338="","",IFERROR(INDEX(Steps!$C$5:$C$62,MATCH(B338,Steps!$A$5:$A$62,0)),""))</f>
        <v/>
      </c>
      <c r="D338" s="6" t="n"/>
      <c r="E338" s="8" t="n"/>
      <c r="F338" s="9" t="n"/>
      <c r="G338" s="6" t="n"/>
      <c r="H338" s="11">
        <f>IF(OR(B338="",D338=""),0,N(IFERROR(INDEX(Steps!$E$5:$E$62,MATCH(B338,Steps!$A$5:$A$62,0)),""))*E338)</f>
        <v/>
      </c>
    </row>
    <row r="339">
      <c r="A339" s="6" t="n"/>
      <c r="B339" s="6" t="n"/>
      <c r="C339" s="3">
        <f>IF(B339="","",IFERROR(INDEX(Steps!$C$5:$C$62,MATCH(B339,Steps!$A$5:$A$62,0)),""))</f>
        <v/>
      </c>
      <c r="D339" s="6" t="n"/>
      <c r="E339" s="8" t="n"/>
      <c r="F339" s="9" t="n"/>
      <c r="G339" s="6" t="n"/>
      <c r="H339" s="11">
        <f>IF(OR(B339="",D339=""),0,N(IFERROR(INDEX(Steps!$E$5:$E$62,MATCH(B339,Steps!$A$5:$A$62,0)),""))*E339)</f>
        <v/>
      </c>
    </row>
    <row r="340">
      <c r="A340" s="6" t="n"/>
      <c r="B340" s="6" t="n"/>
      <c r="C340" s="3">
        <f>IF(B340="","",IFERROR(INDEX(Steps!$C$5:$C$62,MATCH(B340,Steps!$A$5:$A$62,0)),""))</f>
        <v/>
      </c>
      <c r="D340" s="6" t="n"/>
      <c r="E340" s="8" t="n"/>
      <c r="F340" s="9" t="n"/>
      <c r="G340" s="6" t="n"/>
      <c r="H340" s="11">
        <f>IF(OR(B340="",D340=""),0,N(IFERROR(INDEX(Steps!$E$5:$E$62,MATCH(B340,Steps!$A$5:$A$62,0)),""))*E340)</f>
        <v/>
      </c>
    </row>
    <row r="341">
      <c r="A341" s="6" t="n"/>
      <c r="B341" s="6" t="n"/>
      <c r="C341" s="3">
        <f>IF(B341="","",IFERROR(INDEX(Steps!$C$5:$C$62,MATCH(B341,Steps!$A$5:$A$62,0)),""))</f>
        <v/>
      </c>
      <c r="D341" s="6" t="n"/>
      <c r="E341" s="8" t="n"/>
      <c r="F341" s="9" t="n"/>
      <c r="G341" s="6" t="n"/>
      <c r="H341" s="11">
        <f>IF(OR(B341="",D341=""),0,N(IFERROR(INDEX(Steps!$E$5:$E$62,MATCH(B341,Steps!$A$5:$A$62,0)),""))*E341)</f>
        <v/>
      </c>
    </row>
    <row r="342">
      <c r="A342" s="6" t="n"/>
      <c r="B342" s="6" t="n"/>
      <c r="C342" s="3">
        <f>IF(B342="","",IFERROR(INDEX(Steps!$C$5:$C$62,MATCH(B342,Steps!$A$5:$A$62,0)),""))</f>
        <v/>
      </c>
      <c r="D342" s="6" t="n"/>
      <c r="E342" s="8" t="n"/>
      <c r="F342" s="9" t="n"/>
      <c r="G342" s="6" t="n"/>
      <c r="H342" s="11">
        <f>IF(OR(B342="",D342=""),0,N(IFERROR(INDEX(Steps!$E$5:$E$62,MATCH(B342,Steps!$A$5:$A$62,0)),""))*E342)</f>
        <v/>
      </c>
    </row>
    <row r="343">
      <c r="A343" s="6" t="n"/>
      <c r="B343" s="6" t="n"/>
      <c r="C343" s="3">
        <f>IF(B343="","",IFERROR(INDEX(Steps!$C$5:$C$62,MATCH(B343,Steps!$A$5:$A$62,0)),""))</f>
        <v/>
      </c>
      <c r="D343" s="6" t="n"/>
      <c r="E343" s="8" t="n"/>
      <c r="F343" s="9" t="n"/>
      <c r="G343" s="6" t="n"/>
      <c r="H343" s="11">
        <f>IF(OR(B343="",D343=""),0,N(IFERROR(INDEX(Steps!$E$5:$E$62,MATCH(B343,Steps!$A$5:$A$62,0)),""))*E343)</f>
        <v/>
      </c>
    </row>
    <row r="344">
      <c r="A344" s="6" t="n"/>
      <c r="B344" s="6" t="n"/>
      <c r="C344" s="3">
        <f>IF(B344="","",IFERROR(INDEX(Steps!$C$5:$C$62,MATCH(B344,Steps!$A$5:$A$62,0)),""))</f>
        <v/>
      </c>
      <c r="D344" s="6" t="n"/>
      <c r="E344" s="8" t="n"/>
      <c r="F344" s="9" t="n"/>
      <c r="G344" s="6" t="n"/>
      <c r="H344" s="11">
        <f>IF(OR(B344="",D344=""),0,N(IFERROR(INDEX(Steps!$E$5:$E$62,MATCH(B344,Steps!$A$5:$A$62,0)),""))*E344)</f>
        <v/>
      </c>
    </row>
    <row r="345">
      <c r="A345" s="6" t="n"/>
      <c r="B345" s="6" t="n"/>
      <c r="C345" s="3">
        <f>IF(B345="","",IFERROR(INDEX(Steps!$C$5:$C$62,MATCH(B345,Steps!$A$5:$A$62,0)),""))</f>
        <v/>
      </c>
      <c r="D345" s="6" t="n"/>
      <c r="E345" s="8" t="n"/>
      <c r="F345" s="9" t="n"/>
      <c r="G345" s="6" t="n"/>
      <c r="H345" s="11">
        <f>IF(OR(B345="",D345=""),0,N(IFERROR(INDEX(Steps!$E$5:$E$62,MATCH(B345,Steps!$A$5:$A$62,0)),""))*E345)</f>
        <v/>
      </c>
    </row>
    <row r="346">
      <c r="A346" s="6" t="n"/>
      <c r="B346" s="6" t="n"/>
      <c r="C346" s="3">
        <f>IF(B346="","",IFERROR(INDEX(Steps!$C$5:$C$62,MATCH(B346,Steps!$A$5:$A$62,0)),""))</f>
        <v/>
      </c>
      <c r="D346" s="6" t="n"/>
      <c r="E346" s="8" t="n"/>
      <c r="F346" s="9" t="n"/>
      <c r="G346" s="6" t="n"/>
      <c r="H346" s="11">
        <f>IF(OR(B346="",D346=""),0,N(IFERROR(INDEX(Steps!$E$5:$E$62,MATCH(B346,Steps!$A$5:$A$62,0)),""))*E346)</f>
        <v/>
      </c>
    </row>
    <row r="347">
      <c r="A347" s="6" t="n"/>
      <c r="B347" s="6" t="n"/>
      <c r="C347" s="3">
        <f>IF(B347="","",IFERROR(INDEX(Steps!$C$5:$C$62,MATCH(B347,Steps!$A$5:$A$62,0)),""))</f>
        <v/>
      </c>
      <c r="D347" s="6" t="n"/>
      <c r="E347" s="8" t="n"/>
      <c r="F347" s="9" t="n"/>
      <c r="G347" s="6" t="n"/>
      <c r="H347" s="11">
        <f>IF(OR(B347="",D347=""),0,N(IFERROR(INDEX(Steps!$E$5:$E$62,MATCH(B347,Steps!$A$5:$A$62,0)),""))*E347)</f>
        <v/>
      </c>
    </row>
    <row r="348">
      <c r="A348" s="6" t="n"/>
      <c r="B348" s="6" t="n"/>
      <c r="C348" s="3">
        <f>IF(B348="","",IFERROR(INDEX(Steps!$C$5:$C$62,MATCH(B348,Steps!$A$5:$A$62,0)),""))</f>
        <v/>
      </c>
      <c r="D348" s="6" t="n"/>
      <c r="E348" s="8" t="n"/>
      <c r="F348" s="9" t="n"/>
      <c r="G348" s="6" t="n"/>
      <c r="H348" s="11">
        <f>IF(OR(B348="",D348=""),0,N(IFERROR(INDEX(Steps!$E$5:$E$62,MATCH(B348,Steps!$A$5:$A$62,0)),""))*E348)</f>
        <v/>
      </c>
    </row>
    <row r="349">
      <c r="A349" s="6" t="n"/>
      <c r="B349" s="6" t="n"/>
      <c r="C349" s="3">
        <f>IF(B349="","",IFERROR(INDEX(Steps!$C$5:$C$62,MATCH(B349,Steps!$A$5:$A$62,0)),""))</f>
        <v/>
      </c>
      <c r="D349" s="6" t="n"/>
      <c r="E349" s="8" t="n"/>
      <c r="F349" s="9" t="n"/>
      <c r="G349" s="6" t="n"/>
      <c r="H349" s="11">
        <f>IF(OR(B349="",D349=""),0,N(IFERROR(INDEX(Steps!$E$5:$E$62,MATCH(B349,Steps!$A$5:$A$62,0)),""))*E349)</f>
        <v/>
      </c>
    </row>
    <row r="350">
      <c r="A350" s="6" t="n"/>
      <c r="B350" s="6" t="n"/>
      <c r="C350" s="3">
        <f>IF(B350="","",IFERROR(INDEX(Steps!$C$5:$C$62,MATCH(B350,Steps!$A$5:$A$62,0)),""))</f>
        <v/>
      </c>
      <c r="D350" s="6" t="n"/>
      <c r="E350" s="8" t="n"/>
      <c r="F350" s="9" t="n"/>
      <c r="G350" s="6" t="n"/>
      <c r="H350" s="11">
        <f>IF(OR(B350="",D350=""),0,N(IFERROR(INDEX(Steps!$E$5:$E$62,MATCH(B350,Steps!$A$5:$A$62,0)),""))*E350)</f>
        <v/>
      </c>
    </row>
    <row r="351">
      <c r="A351" s="6" t="n"/>
      <c r="B351" s="6" t="n"/>
      <c r="C351" s="3">
        <f>IF(B351="","",IFERROR(INDEX(Steps!$C$5:$C$62,MATCH(B351,Steps!$A$5:$A$62,0)),""))</f>
        <v/>
      </c>
      <c r="D351" s="6" t="n"/>
      <c r="E351" s="8" t="n"/>
      <c r="F351" s="9" t="n"/>
      <c r="G351" s="6" t="n"/>
      <c r="H351" s="11">
        <f>IF(OR(B351="",D351=""),0,N(IFERROR(INDEX(Steps!$E$5:$E$62,MATCH(B351,Steps!$A$5:$A$62,0)),""))*E351)</f>
        <v/>
      </c>
    </row>
    <row r="352">
      <c r="A352" s="6" t="n"/>
      <c r="B352" s="6" t="n"/>
      <c r="C352" s="3">
        <f>IF(B352="","",IFERROR(INDEX(Steps!$C$5:$C$62,MATCH(B352,Steps!$A$5:$A$62,0)),""))</f>
        <v/>
      </c>
      <c r="D352" s="6" t="n"/>
      <c r="E352" s="8" t="n"/>
      <c r="F352" s="9" t="n"/>
      <c r="G352" s="6" t="n"/>
      <c r="H352" s="11">
        <f>IF(OR(B352="",D352=""),0,N(IFERROR(INDEX(Steps!$E$5:$E$62,MATCH(B352,Steps!$A$5:$A$62,0)),""))*E352)</f>
        <v/>
      </c>
    </row>
    <row r="353">
      <c r="A353" s="6" t="n"/>
      <c r="B353" s="6" t="n"/>
      <c r="C353" s="3">
        <f>IF(B353="","",IFERROR(INDEX(Steps!$C$5:$C$62,MATCH(B353,Steps!$A$5:$A$62,0)),""))</f>
        <v/>
      </c>
      <c r="D353" s="6" t="n"/>
      <c r="E353" s="8" t="n"/>
      <c r="F353" s="9" t="n"/>
      <c r="G353" s="6" t="n"/>
      <c r="H353" s="11">
        <f>IF(OR(B353="",D353=""),0,N(IFERROR(INDEX(Steps!$E$5:$E$62,MATCH(B353,Steps!$A$5:$A$62,0)),""))*E353)</f>
        <v/>
      </c>
    </row>
    <row r="354">
      <c r="A354" s="6" t="n"/>
      <c r="B354" s="6" t="n"/>
      <c r="C354" s="3">
        <f>IF(B354="","",IFERROR(INDEX(Steps!$C$5:$C$62,MATCH(B354,Steps!$A$5:$A$62,0)),""))</f>
        <v/>
      </c>
      <c r="D354" s="6" t="n"/>
      <c r="E354" s="8" t="n"/>
      <c r="F354" s="9" t="n"/>
      <c r="G354" s="6" t="n"/>
      <c r="H354" s="11">
        <f>IF(OR(B354="",D354=""),0,N(IFERROR(INDEX(Steps!$E$5:$E$62,MATCH(B354,Steps!$A$5:$A$62,0)),""))*E354)</f>
        <v/>
      </c>
    </row>
    <row r="355">
      <c r="A355" s="6" t="n"/>
      <c r="B355" s="6" t="n"/>
      <c r="C355" s="3">
        <f>IF(B355="","",IFERROR(INDEX(Steps!$C$5:$C$62,MATCH(B355,Steps!$A$5:$A$62,0)),""))</f>
        <v/>
      </c>
      <c r="D355" s="6" t="n"/>
      <c r="E355" s="8" t="n"/>
      <c r="F355" s="9" t="n"/>
      <c r="G355" s="6" t="n"/>
      <c r="H355" s="11">
        <f>IF(OR(B355="",D355=""),0,N(IFERROR(INDEX(Steps!$E$5:$E$62,MATCH(B355,Steps!$A$5:$A$62,0)),""))*E355)</f>
        <v/>
      </c>
    </row>
    <row r="356">
      <c r="A356" s="6" t="n"/>
      <c r="B356" s="6" t="n"/>
      <c r="C356" s="3">
        <f>IF(B356="","",IFERROR(INDEX(Steps!$C$5:$C$62,MATCH(B356,Steps!$A$5:$A$62,0)),""))</f>
        <v/>
      </c>
      <c r="D356" s="6" t="n"/>
      <c r="E356" s="8" t="n"/>
      <c r="F356" s="9" t="n"/>
      <c r="G356" s="6" t="n"/>
      <c r="H356" s="11">
        <f>IF(OR(B356="",D356=""),0,N(IFERROR(INDEX(Steps!$E$5:$E$62,MATCH(B356,Steps!$A$5:$A$62,0)),""))*E356)</f>
        <v/>
      </c>
    </row>
    <row r="357">
      <c r="A357" s="6" t="n"/>
      <c r="B357" s="6" t="n"/>
      <c r="C357" s="3">
        <f>IF(B357="","",IFERROR(INDEX(Steps!$C$5:$C$62,MATCH(B357,Steps!$A$5:$A$62,0)),""))</f>
        <v/>
      </c>
      <c r="D357" s="6" t="n"/>
      <c r="E357" s="8" t="n"/>
      <c r="F357" s="9" t="n"/>
      <c r="G357" s="6" t="n"/>
      <c r="H357" s="11">
        <f>IF(OR(B357="",D357=""),0,N(IFERROR(INDEX(Steps!$E$5:$E$62,MATCH(B357,Steps!$A$5:$A$62,0)),""))*E357)</f>
        <v/>
      </c>
    </row>
    <row r="358">
      <c r="A358" s="6" t="n"/>
      <c r="B358" s="6" t="n"/>
      <c r="C358" s="3">
        <f>IF(B358="","",IFERROR(INDEX(Steps!$C$5:$C$62,MATCH(B358,Steps!$A$5:$A$62,0)),""))</f>
        <v/>
      </c>
      <c r="D358" s="6" t="n"/>
      <c r="E358" s="8" t="n"/>
      <c r="F358" s="9" t="n"/>
      <c r="G358" s="6" t="n"/>
      <c r="H358" s="11">
        <f>IF(OR(B358="",D358=""),0,N(IFERROR(INDEX(Steps!$E$5:$E$62,MATCH(B358,Steps!$A$5:$A$62,0)),""))*E358)</f>
        <v/>
      </c>
    </row>
    <row r="359">
      <c r="A359" s="6" t="n"/>
      <c r="B359" s="6" t="n"/>
      <c r="C359" s="3">
        <f>IF(B359="","",IFERROR(INDEX(Steps!$C$5:$C$62,MATCH(B359,Steps!$A$5:$A$62,0)),""))</f>
        <v/>
      </c>
      <c r="D359" s="6" t="n"/>
      <c r="E359" s="8" t="n"/>
      <c r="F359" s="9" t="n"/>
      <c r="G359" s="6" t="n"/>
      <c r="H359" s="11">
        <f>IF(OR(B359="",D359=""),0,N(IFERROR(INDEX(Steps!$E$5:$E$62,MATCH(B359,Steps!$A$5:$A$62,0)),""))*E359)</f>
        <v/>
      </c>
    </row>
    <row r="360">
      <c r="A360" s="6" t="n"/>
      <c r="B360" s="6" t="n"/>
      <c r="C360" s="3">
        <f>IF(B360="","",IFERROR(INDEX(Steps!$C$5:$C$62,MATCH(B360,Steps!$A$5:$A$62,0)),""))</f>
        <v/>
      </c>
      <c r="D360" s="6" t="n"/>
      <c r="E360" s="8" t="n"/>
      <c r="F360" s="9" t="n"/>
      <c r="G360" s="6" t="n"/>
      <c r="H360" s="11">
        <f>IF(OR(B360="",D360=""),0,N(IFERROR(INDEX(Steps!$E$5:$E$62,MATCH(B360,Steps!$A$5:$A$62,0)),""))*E360)</f>
        <v/>
      </c>
    </row>
    <row r="361">
      <c r="A361" s="6" t="n"/>
      <c r="B361" s="6" t="n"/>
      <c r="C361" s="3">
        <f>IF(B361="","",IFERROR(INDEX(Steps!$C$5:$C$62,MATCH(B361,Steps!$A$5:$A$62,0)),""))</f>
        <v/>
      </c>
      <c r="D361" s="6" t="n"/>
      <c r="E361" s="8" t="n"/>
      <c r="F361" s="9" t="n"/>
      <c r="G361" s="6" t="n"/>
      <c r="H361" s="11">
        <f>IF(OR(B361="",D361=""),0,N(IFERROR(INDEX(Steps!$E$5:$E$62,MATCH(B361,Steps!$A$5:$A$62,0)),""))*E361)</f>
        <v/>
      </c>
    </row>
    <row r="362">
      <c r="A362" s="6" t="n"/>
      <c r="B362" s="6" t="n"/>
      <c r="C362" s="3">
        <f>IF(B362="","",IFERROR(INDEX(Steps!$C$5:$C$62,MATCH(B362,Steps!$A$5:$A$62,0)),""))</f>
        <v/>
      </c>
      <c r="D362" s="6" t="n"/>
      <c r="E362" s="8" t="n"/>
      <c r="F362" s="9" t="n"/>
      <c r="G362" s="6" t="n"/>
      <c r="H362" s="11">
        <f>IF(OR(B362="",D362=""),0,N(IFERROR(INDEX(Steps!$E$5:$E$62,MATCH(B362,Steps!$A$5:$A$62,0)),""))*E362)</f>
        <v/>
      </c>
    </row>
    <row r="363">
      <c r="A363" s="6" t="n"/>
      <c r="B363" s="6" t="n"/>
      <c r="C363" s="3">
        <f>IF(B363="","",IFERROR(INDEX(Steps!$C$5:$C$62,MATCH(B363,Steps!$A$5:$A$62,0)),""))</f>
        <v/>
      </c>
      <c r="D363" s="6" t="n"/>
      <c r="E363" s="8" t="n"/>
      <c r="F363" s="9" t="n"/>
      <c r="G363" s="6" t="n"/>
      <c r="H363" s="11">
        <f>IF(OR(B363="",D363=""),0,N(IFERROR(INDEX(Steps!$E$5:$E$62,MATCH(B363,Steps!$A$5:$A$62,0)),""))*E363)</f>
        <v/>
      </c>
    </row>
    <row r="364">
      <c r="A364" s="6" t="n"/>
      <c r="B364" s="6" t="n"/>
      <c r="C364" s="3">
        <f>IF(B364="","",IFERROR(INDEX(Steps!$C$5:$C$62,MATCH(B364,Steps!$A$5:$A$62,0)),""))</f>
        <v/>
      </c>
      <c r="D364" s="6" t="n"/>
      <c r="E364" s="8" t="n"/>
      <c r="F364" s="9" t="n"/>
      <c r="G364" s="6" t="n"/>
      <c r="H364" s="11">
        <f>IF(OR(B364="",D364=""),0,N(IFERROR(INDEX(Steps!$E$5:$E$62,MATCH(B364,Steps!$A$5:$A$62,0)),""))*E364)</f>
        <v/>
      </c>
    </row>
    <row r="365">
      <c r="A365" s="6" t="n"/>
      <c r="B365" s="6" t="n"/>
      <c r="C365" s="3">
        <f>IF(B365="","",IFERROR(INDEX(Steps!$C$5:$C$62,MATCH(B365,Steps!$A$5:$A$62,0)),""))</f>
        <v/>
      </c>
      <c r="D365" s="6" t="n"/>
      <c r="E365" s="8" t="n"/>
      <c r="F365" s="9" t="n"/>
      <c r="G365" s="6" t="n"/>
      <c r="H365" s="11">
        <f>IF(OR(B365="",D365=""),0,N(IFERROR(INDEX(Steps!$E$5:$E$62,MATCH(B365,Steps!$A$5:$A$62,0)),""))*E365)</f>
        <v/>
      </c>
    </row>
    <row r="366">
      <c r="A366" s="6" t="n"/>
      <c r="B366" s="6" t="n"/>
      <c r="C366" s="3">
        <f>IF(B366="","",IFERROR(INDEX(Steps!$C$5:$C$62,MATCH(B366,Steps!$A$5:$A$62,0)),""))</f>
        <v/>
      </c>
      <c r="D366" s="6" t="n"/>
      <c r="E366" s="8" t="n"/>
      <c r="F366" s="9" t="n"/>
      <c r="G366" s="6" t="n"/>
      <c r="H366" s="11">
        <f>IF(OR(B366="",D366=""),0,N(IFERROR(INDEX(Steps!$E$5:$E$62,MATCH(B366,Steps!$A$5:$A$62,0)),""))*E366)</f>
        <v/>
      </c>
    </row>
    <row r="367">
      <c r="A367" s="6" t="n"/>
      <c r="B367" s="6" t="n"/>
      <c r="C367" s="3">
        <f>IF(B367="","",IFERROR(INDEX(Steps!$C$5:$C$62,MATCH(B367,Steps!$A$5:$A$62,0)),""))</f>
        <v/>
      </c>
      <c r="D367" s="6" t="n"/>
      <c r="E367" s="8" t="n"/>
      <c r="F367" s="9" t="n"/>
      <c r="G367" s="6" t="n"/>
      <c r="H367" s="11">
        <f>IF(OR(B367="",D367=""),0,N(IFERROR(INDEX(Steps!$E$5:$E$62,MATCH(B367,Steps!$A$5:$A$62,0)),""))*E367)</f>
        <v/>
      </c>
    </row>
    <row r="368">
      <c r="A368" s="6" t="n"/>
      <c r="B368" s="6" t="n"/>
      <c r="C368" s="3">
        <f>IF(B368="","",IFERROR(INDEX(Steps!$C$5:$C$62,MATCH(B368,Steps!$A$5:$A$62,0)),""))</f>
        <v/>
      </c>
      <c r="D368" s="6" t="n"/>
      <c r="E368" s="8" t="n"/>
      <c r="F368" s="9" t="n"/>
      <c r="G368" s="6" t="n"/>
      <c r="H368" s="11">
        <f>IF(OR(B368="",D368=""),0,N(IFERROR(INDEX(Steps!$E$5:$E$62,MATCH(B368,Steps!$A$5:$A$62,0)),""))*E368)</f>
        <v/>
      </c>
    </row>
    <row r="369">
      <c r="A369" s="6" t="n"/>
      <c r="B369" s="6" t="n"/>
      <c r="C369" s="3">
        <f>IF(B369="","",IFERROR(INDEX(Steps!$C$5:$C$62,MATCH(B369,Steps!$A$5:$A$62,0)),""))</f>
        <v/>
      </c>
      <c r="D369" s="6" t="n"/>
      <c r="E369" s="8" t="n"/>
      <c r="F369" s="9" t="n"/>
      <c r="G369" s="6" t="n"/>
      <c r="H369" s="11">
        <f>IF(OR(B369="",D369=""),0,N(IFERROR(INDEX(Steps!$E$5:$E$62,MATCH(B369,Steps!$A$5:$A$62,0)),""))*E369)</f>
        <v/>
      </c>
    </row>
    <row r="370">
      <c r="A370" s="6" t="n"/>
      <c r="B370" s="6" t="n"/>
      <c r="C370" s="3">
        <f>IF(B370="","",IFERROR(INDEX(Steps!$C$5:$C$62,MATCH(B370,Steps!$A$5:$A$62,0)),""))</f>
        <v/>
      </c>
      <c r="D370" s="6" t="n"/>
      <c r="E370" s="8" t="n"/>
      <c r="F370" s="9" t="n"/>
      <c r="G370" s="6" t="n"/>
      <c r="H370" s="11">
        <f>IF(OR(B370="",D370=""),0,N(IFERROR(INDEX(Steps!$E$5:$E$62,MATCH(B370,Steps!$A$5:$A$62,0)),""))*E370)</f>
        <v/>
      </c>
    </row>
    <row r="371">
      <c r="A371" s="6" t="n"/>
      <c r="B371" s="6" t="n"/>
      <c r="C371" s="3">
        <f>IF(B371="","",IFERROR(INDEX(Steps!$C$5:$C$62,MATCH(B371,Steps!$A$5:$A$62,0)),""))</f>
        <v/>
      </c>
      <c r="D371" s="6" t="n"/>
      <c r="E371" s="8" t="n"/>
      <c r="F371" s="9" t="n"/>
      <c r="G371" s="6" t="n"/>
      <c r="H371" s="11">
        <f>IF(OR(B371="",D371=""),0,N(IFERROR(INDEX(Steps!$E$5:$E$62,MATCH(B371,Steps!$A$5:$A$62,0)),""))*E371)</f>
        <v/>
      </c>
    </row>
    <row r="372">
      <c r="A372" s="6" t="n"/>
      <c r="B372" s="6" t="n"/>
      <c r="C372" s="3">
        <f>IF(B372="","",IFERROR(INDEX(Steps!$C$5:$C$62,MATCH(B372,Steps!$A$5:$A$62,0)),""))</f>
        <v/>
      </c>
      <c r="D372" s="6" t="n"/>
      <c r="E372" s="8" t="n"/>
      <c r="F372" s="9" t="n"/>
      <c r="G372" s="6" t="n"/>
      <c r="H372" s="11">
        <f>IF(OR(B372="",D372=""),0,N(IFERROR(INDEX(Steps!$E$5:$E$62,MATCH(B372,Steps!$A$5:$A$62,0)),""))*E372)</f>
        <v/>
      </c>
    </row>
    <row r="373">
      <c r="A373" s="6" t="n"/>
      <c r="B373" s="6" t="n"/>
      <c r="C373" s="3">
        <f>IF(B373="","",IFERROR(INDEX(Steps!$C$5:$C$62,MATCH(B373,Steps!$A$5:$A$62,0)),""))</f>
        <v/>
      </c>
      <c r="D373" s="6" t="n"/>
      <c r="E373" s="8" t="n"/>
      <c r="F373" s="9" t="n"/>
      <c r="G373" s="6" t="n"/>
      <c r="H373" s="11">
        <f>IF(OR(B373="",D373=""),0,N(IFERROR(INDEX(Steps!$E$5:$E$62,MATCH(B373,Steps!$A$5:$A$62,0)),""))*E373)</f>
        <v/>
      </c>
    </row>
    <row r="374">
      <c r="A374" s="6" t="n"/>
      <c r="B374" s="6" t="n"/>
      <c r="C374" s="3">
        <f>IF(B374="","",IFERROR(INDEX(Steps!$C$5:$C$62,MATCH(B374,Steps!$A$5:$A$62,0)),""))</f>
        <v/>
      </c>
      <c r="D374" s="6" t="n"/>
      <c r="E374" s="8" t="n"/>
      <c r="F374" s="9" t="n"/>
      <c r="G374" s="6" t="n"/>
      <c r="H374" s="11">
        <f>IF(OR(B374="",D374=""),0,N(IFERROR(INDEX(Steps!$E$5:$E$62,MATCH(B374,Steps!$A$5:$A$62,0)),""))*E374)</f>
        <v/>
      </c>
    </row>
    <row r="375">
      <c r="A375" s="6" t="n"/>
      <c r="B375" s="6" t="n"/>
      <c r="C375" s="3">
        <f>IF(B375="","",IFERROR(INDEX(Steps!$C$5:$C$62,MATCH(B375,Steps!$A$5:$A$62,0)),""))</f>
        <v/>
      </c>
      <c r="D375" s="6" t="n"/>
      <c r="E375" s="8" t="n"/>
      <c r="F375" s="9" t="n"/>
      <c r="G375" s="6" t="n"/>
      <c r="H375" s="11">
        <f>IF(OR(B375="",D375=""),0,N(IFERROR(INDEX(Steps!$E$5:$E$62,MATCH(B375,Steps!$A$5:$A$62,0)),""))*E375)</f>
        <v/>
      </c>
    </row>
    <row r="376">
      <c r="A376" s="6" t="n"/>
      <c r="B376" s="6" t="n"/>
      <c r="C376" s="3">
        <f>IF(B376="","",IFERROR(INDEX(Steps!$C$5:$C$62,MATCH(B376,Steps!$A$5:$A$62,0)),""))</f>
        <v/>
      </c>
      <c r="D376" s="6" t="n"/>
      <c r="E376" s="8" t="n"/>
      <c r="F376" s="9" t="n"/>
      <c r="G376" s="6" t="n"/>
      <c r="H376" s="11">
        <f>IF(OR(B376="",D376=""),0,N(IFERROR(INDEX(Steps!$E$5:$E$62,MATCH(B376,Steps!$A$5:$A$62,0)),""))*E376)</f>
        <v/>
      </c>
    </row>
    <row r="377">
      <c r="A377" s="6" t="n"/>
      <c r="B377" s="6" t="n"/>
      <c r="C377" s="3">
        <f>IF(B377="","",IFERROR(INDEX(Steps!$C$5:$C$62,MATCH(B377,Steps!$A$5:$A$62,0)),""))</f>
        <v/>
      </c>
      <c r="D377" s="6" t="n"/>
      <c r="E377" s="8" t="n"/>
      <c r="F377" s="9" t="n"/>
      <c r="G377" s="6" t="n"/>
      <c r="H377" s="11">
        <f>IF(OR(B377="",D377=""),0,N(IFERROR(INDEX(Steps!$E$5:$E$62,MATCH(B377,Steps!$A$5:$A$62,0)),""))*E377)</f>
        <v/>
      </c>
    </row>
    <row r="378">
      <c r="A378" s="6" t="n"/>
      <c r="B378" s="6" t="n"/>
      <c r="C378" s="3">
        <f>IF(B378="","",IFERROR(INDEX(Steps!$C$5:$C$62,MATCH(B378,Steps!$A$5:$A$62,0)),""))</f>
        <v/>
      </c>
      <c r="D378" s="6" t="n"/>
      <c r="E378" s="8" t="n"/>
      <c r="F378" s="9" t="n"/>
      <c r="G378" s="6" t="n"/>
      <c r="H378" s="11">
        <f>IF(OR(B378="",D378=""),0,N(IFERROR(INDEX(Steps!$E$5:$E$62,MATCH(B378,Steps!$A$5:$A$62,0)),""))*E378)</f>
        <v/>
      </c>
    </row>
    <row r="379">
      <c r="A379" s="6" t="n"/>
      <c r="B379" s="6" t="n"/>
      <c r="C379" s="3">
        <f>IF(B379="","",IFERROR(INDEX(Steps!$C$5:$C$62,MATCH(B379,Steps!$A$5:$A$62,0)),""))</f>
        <v/>
      </c>
      <c r="D379" s="6" t="n"/>
      <c r="E379" s="8" t="n"/>
      <c r="F379" s="9" t="n"/>
      <c r="G379" s="6" t="n"/>
      <c r="H379" s="11">
        <f>IF(OR(B379="",D379=""),0,N(IFERROR(INDEX(Steps!$E$5:$E$62,MATCH(B379,Steps!$A$5:$A$62,0)),""))*E379)</f>
        <v/>
      </c>
    </row>
    <row r="380">
      <c r="A380" s="6" t="n"/>
      <c r="B380" s="6" t="n"/>
      <c r="C380" s="3">
        <f>IF(B380="","",IFERROR(INDEX(Steps!$C$5:$C$62,MATCH(B380,Steps!$A$5:$A$62,0)),""))</f>
        <v/>
      </c>
      <c r="D380" s="6" t="n"/>
      <c r="E380" s="8" t="n"/>
      <c r="F380" s="9" t="n"/>
      <c r="G380" s="6" t="n"/>
      <c r="H380" s="11">
        <f>IF(OR(B380="",D380=""),0,N(IFERROR(INDEX(Steps!$E$5:$E$62,MATCH(B380,Steps!$A$5:$A$62,0)),""))*E380)</f>
        <v/>
      </c>
    </row>
    <row r="381">
      <c r="A381" s="6" t="n"/>
      <c r="B381" s="6" t="n"/>
      <c r="C381" s="3">
        <f>IF(B381="","",IFERROR(INDEX(Steps!$C$5:$C$62,MATCH(B381,Steps!$A$5:$A$62,0)),""))</f>
        <v/>
      </c>
      <c r="D381" s="6" t="n"/>
      <c r="E381" s="8" t="n"/>
      <c r="F381" s="9" t="n"/>
      <c r="G381" s="6" t="n"/>
      <c r="H381" s="11">
        <f>IF(OR(B381="",D381=""),0,N(IFERROR(INDEX(Steps!$E$5:$E$62,MATCH(B381,Steps!$A$5:$A$62,0)),""))*E381)</f>
        <v/>
      </c>
    </row>
    <row r="382">
      <c r="A382" s="6" t="n"/>
      <c r="B382" s="6" t="n"/>
      <c r="C382" s="3">
        <f>IF(B382="","",IFERROR(INDEX(Steps!$C$5:$C$62,MATCH(B382,Steps!$A$5:$A$62,0)),""))</f>
        <v/>
      </c>
      <c r="D382" s="6" t="n"/>
      <c r="E382" s="8" t="n"/>
      <c r="F382" s="9" t="n"/>
      <c r="G382" s="6" t="n"/>
      <c r="H382" s="11">
        <f>IF(OR(B382="",D382=""),0,N(IFERROR(INDEX(Steps!$E$5:$E$62,MATCH(B382,Steps!$A$5:$A$62,0)),""))*E382)</f>
        <v/>
      </c>
    </row>
    <row r="383">
      <c r="A383" s="6" t="n"/>
      <c r="B383" s="6" t="n"/>
      <c r="C383" s="3">
        <f>IF(B383="","",IFERROR(INDEX(Steps!$C$5:$C$62,MATCH(B383,Steps!$A$5:$A$62,0)),""))</f>
        <v/>
      </c>
      <c r="D383" s="6" t="n"/>
      <c r="E383" s="8" t="n"/>
      <c r="F383" s="9" t="n"/>
      <c r="G383" s="6" t="n"/>
      <c r="H383" s="11">
        <f>IF(OR(B383="",D383=""),0,N(IFERROR(INDEX(Steps!$E$5:$E$62,MATCH(B383,Steps!$A$5:$A$62,0)),""))*E383)</f>
        <v/>
      </c>
    </row>
    <row r="384">
      <c r="A384" s="6" t="n"/>
      <c r="B384" s="6" t="n"/>
      <c r="C384" s="3">
        <f>IF(B384="","",IFERROR(INDEX(Steps!$C$5:$C$62,MATCH(B384,Steps!$A$5:$A$62,0)),""))</f>
        <v/>
      </c>
      <c r="D384" s="6" t="n"/>
      <c r="E384" s="8" t="n"/>
      <c r="F384" s="9" t="n"/>
      <c r="G384" s="6" t="n"/>
      <c r="H384" s="11">
        <f>IF(OR(B384="",D384=""),0,N(IFERROR(INDEX(Steps!$E$5:$E$62,MATCH(B384,Steps!$A$5:$A$62,0)),""))*E384)</f>
        <v/>
      </c>
    </row>
    <row r="385">
      <c r="A385" s="6" t="n"/>
      <c r="B385" s="6" t="n"/>
      <c r="C385" s="3">
        <f>IF(B385="","",IFERROR(INDEX(Steps!$C$5:$C$62,MATCH(B385,Steps!$A$5:$A$62,0)),""))</f>
        <v/>
      </c>
      <c r="D385" s="6" t="n"/>
      <c r="E385" s="8" t="n"/>
      <c r="F385" s="9" t="n"/>
      <c r="G385" s="6" t="n"/>
      <c r="H385" s="11">
        <f>IF(OR(B385="",D385=""),0,N(IFERROR(INDEX(Steps!$E$5:$E$62,MATCH(B385,Steps!$A$5:$A$62,0)),""))*E385)</f>
        <v/>
      </c>
    </row>
    <row r="386">
      <c r="A386" s="6" t="n"/>
      <c r="B386" s="6" t="n"/>
      <c r="C386" s="3">
        <f>IF(B386="","",IFERROR(INDEX(Steps!$C$5:$C$62,MATCH(B386,Steps!$A$5:$A$62,0)),""))</f>
        <v/>
      </c>
      <c r="D386" s="6" t="n"/>
      <c r="E386" s="8" t="n"/>
      <c r="F386" s="9" t="n"/>
      <c r="G386" s="6" t="n"/>
      <c r="H386" s="11">
        <f>IF(OR(B386="",D386=""),0,N(IFERROR(INDEX(Steps!$E$5:$E$62,MATCH(B386,Steps!$A$5:$A$62,0)),""))*E386)</f>
        <v/>
      </c>
    </row>
    <row r="387">
      <c r="A387" s="6" t="n"/>
      <c r="B387" s="6" t="n"/>
      <c r="C387" s="3">
        <f>IF(B387="","",IFERROR(INDEX(Steps!$C$5:$C$62,MATCH(B387,Steps!$A$5:$A$62,0)),""))</f>
        <v/>
      </c>
      <c r="D387" s="6" t="n"/>
      <c r="E387" s="8" t="n"/>
      <c r="F387" s="9" t="n"/>
      <c r="G387" s="6" t="n"/>
      <c r="H387" s="11">
        <f>IF(OR(B387="",D387=""),0,N(IFERROR(INDEX(Steps!$E$5:$E$62,MATCH(B387,Steps!$A$5:$A$62,0)),""))*E387)</f>
        <v/>
      </c>
    </row>
    <row r="388">
      <c r="A388" s="6" t="n"/>
      <c r="B388" s="6" t="n"/>
      <c r="C388" s="3">
        <f>IF(B388="","",IFERROR(INDEX(Steps!$C$5:$C$62,MATCH(B388,Steps!$A$5:$A$62,0)),""))</f>
        <v/>
      </c>
      <c r="D388" s="6" t="n"/>
      <c r="E388" s="8" t="n"/>
      <c r="F388" s="9" t="n"/>
      <c r="G388" s="6" t="n"/>
      <c r="H388" s="11">
        <f>IF(OR(B388="",D388=""),0,N(IFERROR(INDEX(Steps!$E$5:$E$62,MATCH(B388,Steps!$A$5:$A$62,0)),""))*E388)</f>
        <v/>
      </c>
    </row>
    <row r="389">
      <c r="A389" s="6" t="n"/>
      <c r="B389" s="6" t="n"/>
      <c r="C389" s="3">
        <f>IF(B389="","",IFERROR(INDEX(Steps!$C$5:$C$62,MATCH(B389,Steps!$A$5:$A$62,0)),""))</f>
        <v/>
      </c>
      <c r="D389" s="6" t="n"/>
      <c r="E389" s="8" t="n"/>
      <c r="F389" s="9" t="n"/>
      <c r="G389" s="6" t="n"/>
      <c r="H389" s="11">
        <f>IF(OR(B389="",D389=""),0,N(IFERROR(INDEX(Steps!$E$5:$E$62,MATCH(B389,Steps!$A$5:$A$62,0)),""))*E389)</f>
        <v/>
      </c>
    </row>
    <row r="390">
      <c r="A390" s="6" t="n"/>
      <c r="B390" s="6" t="n"/>
      <c r="C390" s="3">
        <f>IF(B390="","",IFERROR(INDEX(Steps!$C$5:$C$62,MATCH(B390,Steps!$A$5:$A$62,0)),""))</f>
        <v/>
      </c>
      <c r="D390" s="6" t="n"/>
      <c r="E390" s="8" t="n"/>
      <c r="F390" s="9" t="n"/>
      <c r="G390" s="6" t="n"/>
      <c r="H390" s="11">
        <f>IF(OR(B390="",D390=""),0,N(IFERROR(INDEX(Steps!$E$5:$E$62,MATCH(B390,Steps!$A$5:$A$62,0)),""))*E390)</f>
        <v/>
      </c>
    </row>
    <row r="391">
      <c r="A391" s="6" t="n"/>
      <c r="B391" s="6" t="n"/>
      <c r="C391" s="3">
        <f>IF(B391="","",IFERROR(INDEX(Steps!$C$5:$C$62,MATCH(B391,Steps!$A$5:$A$62,0)),""))</f>
        <v/>
      </c>
      <c r="D391" s="6" t="n"/>
      <c r="E391" s="8" t="n"/>
      <c r="F391" s="9" t="n"/>
      <c r="G391" s="6" t="n"/>
      <c r="H391" s="11">
        <f>IF(OR(B391="",D391=""),0,N(IFERROR(INDEX(Steps!$E$5:$E$62,MATCH(B391,Steps!$A$5:$A$62,0)),""))*E391)</f>
        <v/>
      </c>
    </row>
    <row r="392">
      <c r="A392" s="6" t="n"/>
      <c r="B392" s="6" t="n"/>
      <c r="C392" s="3">
        <f>IF(B392="","",IFERROR(INDEX(Steps!$C$5:$C$62,MATCH(B392,Steps!$A$5:$A$62,0)),""))</f>
        <v/>
      </c>
      <c r="D392" s="6" t="n"/>
      <c r="E392" s="8" t="n"/>
      <c r="F392" s="9" t="n"/>
      <c r="G392" s="6" t="n"/>
      <c r="H392" s="11">
        <f>IF(OR(B392="",D392=""),0,N(IFERROR(INDEX(Steps!$E$5:$E$62,MATCH(B392,Steps!$A$5:$A$62,0)),""))*E392)</f>
        <v/>
      </c>
    </row>
    <row r="393">
      <c r="A393" s="6" t="n"/>
      <c r="B393" s="6" t="n"/>
      <c r="C393" s="3">
        <f>IF(B393="","",IFERROR(INDEX(Steps!$C$5:$C$62,MATCH(B393,Steps!$A$5:$A$62,0)),""))</f>
        <v/>
      </c>
      <c r="D393" s="6" t="n"/>
      <c r="E393" s="8" t="n"/>
      <c r="F393" s="9" t="n"/>
      <c r="G393" s="6" t="n"/>
      <c r="H393" s="11">
        <f>IF(OR(B393="",D393=""),0,N(IFERROR(INDEX(Steps!$E$5:$E$62,MATCH(B393,Steps!$A$5:$A$62,0)),""))*E393)</f>
        <v/>
      </c>
    </row>
    <row r="394">
      <c r="A394" s="6" t="n"/>
      <c r="B394" s="6" t="n"/>
      <c r="C394" s="3">
        <f>IF(B394="","",IFERROR(INDEX(Steps!$C$5:$C$62,MATCH(B394,Steps!$A$5:$A$62,0)),""))</f>
        <v/>
      </c>
      <c r="D394" s="6" t="n"/>
      <c r="E394" s="8" t="n"/>
      <c r="F394" s="9" t="n"/>
      <c r="G394" s="6" t="n"/>
      <c r="H394" s="11">
        <f>IF(OR(B394="",D394=""),0,N(IFERROR(INDEX(Steps!$E$5:$E$62,MATCH(B394,Steps!$A$5:$A$62,0)),""))*E394)</f>
        <v/>
      </c>
    </row>
    <row r="395">
      <c r="A395" s="6" t="n"/>
      <c r="B395" s="6" t="n"/>
      <c r="C395" s="3">
        <f>IF(B395="","",IFERROR(INDEX(Steps!$C$5:$C$62,MATCH(B395,Steps!$A$5:$A$62,0)),""))</f>
        <v/>
      </c>
      <c r="D395" s="6" t="n"/>
      <c r="E395" s="8" t="n"/>
      <c r="F395" s="9" t="n"/>
      <c r="G395" s="6" t="n"/>
      <c r="H395" s="11">
        <f>IF(OR(B395="",D395=""),0,N(IFERROR(INDEX(Steps!$E$5:$E$62,MATCH(B395,Steps!$A$5:$A$62,0)),""))*E395)</f>
        <v/>
      </c>
    </row>
    <row r="396">
      <c r="A396" s="6" t="n"/>
      <c r="B396" s="6" t="n"/>
      <c r="C396" s="3">
        <f>IF(B396="","",IFERROR(INDEX(Steps!$C$5:$C$62,MATCH(B396,Steps!$A$5:$A$62,0)),""))</f>
        <v/>
      </c>
      <c r="D396" s="6" t="n"/>
      <c r="E396" s="8" t="n"/>
      <c r="F396" s="9" t="n"/>
      <c r="G396" s="6" t="n"/>
      <c r="H396" s="11">
        <f>IF(OR(B396="",D396=""),0,N(IFERROR(INDEX(Steps!$E$5:$E$62,MATCH(B396,Steps!$A$5:$A$62,0)),""))*E396)</f>
        <v/>
      </c>
    </row>
    <row r="397">
      <c r="A397" s="6" t="n"/>
      <c r="B397" s="6" t="n"/>
      <c r="C397" s="3">
        <f>IF(B397="","",IFERROR(INDEX(Steps!$C$5:$C$62,MATCH(B397,Steps!$A$5:$A$62,0)),""))</f>
        <v/>
      </c>
      <c r="D397" s="6" t="n"/>
      <c r="E397" s="8" t="n"/>
      <c r="F397" s="9" t="n"/>
      <c r="G397" s="6" t="n"/>
      <c r="H397" s="11">
        <f>IF(OR(B397="",D397=""),0,N(IFERROR(INDEX(Steps!$E$5:$E$62,MATCH(B397,Steps!$A$5:$A$62,0)),""))*E397)</f>
        <v/>
      </c>
    </row>
    <row r="398">
      <c r="A398" s="6" t="n"/>
      <c r="B398" s="6" t="n"/>
      <c r="C398" s="3">
        <f>IF(B398="","",IFERROR(INDEX(Steps!$C$5:$C$62,MATCH(B398,Steps!$A$5:$A$62,0)),""))</f>
        <v/>
      </c>
      <c r="D398" s="6" t="n"/>
      <c r="E398" s="8" t="n"/>
      <c r="F398" s="9" t="n"/>
      <c r="G398" s="6" t="n"/>
      <c r="H398" s="11">
        <f>IF(OR(B398="",D398=""),0,N(IFERROR(INDEX(Steps!$E$5:$E$62,MATCH(B398,Steps!$A$5:$A$62,0)),""))*E398)</f>
        <v/>
      </c>
    </row>
    <row r="399">
      <c r="A399" s="6" t="n"/>
      <c r="B399" s="6" t="n"/>
      <c r="C399" s="3">
        <f>IF(B399="","",IFERROR(INDEX(Steps!$C$5:$C$62,MATCH(B399,Steps!$A$5:$A$62,0)),""))</f>
        <v/>
      </c>
      <c r="D399" s="6" t="n"/>
      <c r="E399" s="8" t="n"/>
      <c r="F399" s="9" t="n"/>
      <c r="G399" s="6" t="n"/>
      <c r="H399" s="11">
        <f>IF(OR(B399="",D399=""),0,N(IFERROR(INDEX(Steps!$E$5:$E$62,MATCH(B399,Steps!$A$5:$A$62,0)),""))*E399)</f>
        <v/>
      </c>
    </row>
    <row r="400">
      <c r="A400" s="6" t="n"/>
      <c r="B400" s="6" t="n"/>
      <c r="C400" s="3">
        <f>IF(B400="","",IFERROR(INDEX(Steps!$C$5:$C$62,MATCH(B400,Steps!$A$5:$A$62,0)),""))</f>
        <v/>
      </c>
      <c r="D400" s="6" t="n"/>
      <c r="E400" s="8" t="n"/>
      <c r="F400" s="9" t="n"/>
      <c r="G400" s="6" t="n"/>
      <c r="H400" s="11">
        <f>IF(OR(B400="",D400=""),0,N(IFERROR(INDEX(Steps!$E$5:$E$62,MATCH(B400,Steps!$A$5:$A$62,0)),""))*E400)</f>
        <v/>
      </c>
    </row>
    <row r="401">
      <c r="A401" s="6" t="n"/>
      <c r="B401" s="6" t="n"/>
      <c r="C401" s="3">
        <f>IF(B401="","",IFERROR(INDEX(Steps!$C$5:$C$62,MATCH(B401,Steps!$A$5:$A$62,0)),""))</f>
        <v/>
      </c>
      <c r="D401" s="6" t="n"/>
      <c r="E401" s="8" t="n"/>
      <c r="F401" s="9" t="n"/>
      <c r="G401" s="6" t="n"/>
      <c r="H401" s="11">
        <f>IF(OR(B401="",D401=""),0,N(IFERROR(INDEX(Steps!$E$5:$E$62,MATCH(B401,Steps!$A$5:$A$62,0)),""))*E401)</f>
        <v/>
      </c>
    </row>
    <row r="402">
      <c r="A402" s="6" t="n"/>
      <c r="B402" s="6" t="n"/>
      <c r="C402" s="3">
        <f>IF(B402="","",IFERROR(INDEX(Steps!$C$5:$C$62,MATCH(B402,Steps!$A$5:$A$62,0)),""))</f>
        <v/>
      </c>
      <c r="D402" s="6" t="n"/>
      <c r="E402" s="8" t="n"/>
      <c r="F402" s="9" t="n"/>
      <c r="G402" s="6" t="n"/>
      <c r="H402" s="11">
        <f>IF(OR(B402="",D402=""),0,N(IFERROR(INDEX(Steps!$E$5:$E$62,MATCH(B402,Steps!$A$5:$A$62,0)),""))*E402)</f>
        <v/>
      </c>
    </row>
    <row r="403">
      <c r="A403" s="6" t="n"/>
      <c r="B403" s="6" t="n"/>
      <c r="C403" s="3">
        <f>IF(B403="","",IFERROR(INDEX(Steps!$C$5:$C$62,MATCH(B403,Steps!$A$5:$A$62,0)),""))</f>
        <v/>
      </c>
      <c r="D403" s="6" t="n"/>
      <c r="E403" s="8" t="n"/>
      <c r="F403" s="9" t="n"/>
      <c r="G403" s="6" t="n"/>
      <c r="H403" s="11">
        <f>IF(OR(B403="",D403=""),0,N(IFERROR(INDEX(Steps!$E$5:$E$62,MATCH(B403,Steps!$A$5:$A$62,0)),""))*E403)</f>
        <v/>
      </c>
    </row>
    <row r="404">
      <c r="A404" s="6" t="n"/>
      <c r="B404" s="6" t="n"/>
      <c r="C404" s="3">
        <f>IF(B404="","",IFERROR(INDEX(Steps!$C$5:$C$62,MATCH(B404,Steps!$A$5:$A$62,0)),""))</f>
        <v/>
      </c>
      <c r="D404" s="6" t="n"/>
      <c r="E404" s="8" t="n"/>
      <c r="F404" s="9" t="n"/>
      <c r="G404" s="6" t="n"/>
      <c r="H404" s="11">
        <f>IF(OR(B404="",D404=""),0,N(IFERROR(INDEX(Steps!$E$5:$E$62,MATCH(B404,Steps!$A$5:$A$62,0)),""))*E404)</f>
        <v/>
      </c>
    </row>
    <row r="405">
      <c r="A405" s="6" t="n"/>
      <c r="B405" s="6" t="n"/>
      <c r="C405" s="3">
        <f>IF(B405="","",IFERROR(INDEX(Steps!$C$5:$C$62,MATCH(B405,Steps!$A$5:$A$62,0)),""))</f>
        <v/>
      </c>
      <c r="D405" s="6" t="n"/>
      <c r="E405" s="8" t="n"/>
      <c r="F405" s="9" t="n"/>
      <c r="G405" s="6" t="n"/>
      <c r="H405" s="11">
        <f>IF(OR(B405="",D405=""),0,N(IFERROR(INDEX(Steps!$E$5:$E$62,MATCH(B405,Steps!$A$5:$A$62,0)),""))*E405)</f>
        <v/>
      </c>
    </row>
    <row r="406">
      <c r="A406" s="6" t="n"/>
      <c r="B406" s="6" t="n"/>
      <c r="C406" s="3">
        <f>IF(B406="","",IFERROR(INDEX(Steps!$C$5:$C$62,MATCH(B406,Steps!$A$5:$A$62,0)),""))</f>
        <v/>
      </c>
      <c r="D406" s="6" t="n"/>
      <c r="E406" s="8" t="n"/>
      <c r="F406" s="9" t="n"/>
      <c r="G406" s="6" t="n"/>
      <c r="H406" s="11">
        <f>IF(OR(B406="",D406=""),0,N(IFERROR(INDEX(Steps!$E$5:$E$62,MATCH(B406,Steps!$A$5:$A$62,0)),""))*E406)</f>
        <v/>
      </c>
    </row>
    <row r="407">
      <c r="A407" s="6" t="n"/>
      <c r="B407" s="6" t="n"/>
      <c r="C407" s="3">
        <f>IF(B407="","",IFERROR(INDEX(Steps!$C$5:$C$62,MATCH(B407,Steps!$A$5:$A$62,0)),""))</f>
        <v/>
      </c>
      <c r="D407" s="6" t="n"/>
      <c r="E407" s="8" t="n"/>
      <c r="F407" s="9" t="n"/>
      <c r="G407" s="6" t="n"/>
      <c r="H407" s="11">
        <f>IF(OR(B407="",D407=""),0,N(IFERROR(INDEX(Steps!$E$5:$E$62,MATCH(B407,Steps!$A$5:$A$62,0)),""))*E407)</f>
        <v/>
      </c>
    </row>
    <row r="408">
      <c r="A408" s="6" t="n"/>
      <c r="B408" s="6" t="n"/>
      <c r="C408" s="3">
        <f>IF(B408="","",IFERROR(INDEX(Steps!$C$5:$C$62,MATCH(B408,Steps!$A$5:$A$62,0)),""))</f>
        <v/>
      </c>
      <c r="D408" s="6" t="n"/>
      <c r="E408" s="8" t="n"/>
      <c r="F408" s="9" t="n"/>
      <c r="G408" s="6" t="n"/>
      <c r="H408" s="11">
        <f>IF(OR(B408="",D408=""),0,N(IFERROR(INDEX(Steps!$E$5:$E$62,MATCH(B408,Steps!$A$5:$A$62,0)),""))*E408)</f>
        <v/>
      </c>
    </row>
    <row r="409">
      <c r="A409" s="6" t="n"/>
      <c r="B409" s="6" t="n"/>
      <c r="C409" s="3">
        <f>IF(B409="","",IFERROR(INDEX(Steps!$C$5:$C$62,MATCH(B409,Steps!$A$5:$A$62,0)),""))</f>
        <v/>
      </c>
      <c r="D409" s="6" t="n"/>
      <c r="E409" s="8" t="n"/>
      <c r="F409" s="9" t="n"/>
      <c r="G409" s="6" t="n"/>
      <c r="H409" s="11">
        <f>IF(OR(B409="",D409=""),0,N(IFERROR(INDEX(Steps!$E$5:$E$62,MATCH(B409,Steps!$A$5:$A$62,0)),""))*E409)</f>
        <v/>
      </c>
    </row>
    <row r="410">
      <c r="A410" s="6" t="n"/>
      <c r="B410" s="6" t="n"/>
      <c r="C410" s="3">
        <f>IF(B410="","",IFERROR(INDEX(Steps!$C$5:$C$62,MATCH(B410,Steps!$A$5:$A$62,0)),""))</f>
        <v/>
      </c>
      <c r="D410" s="6" t="n"/>
      <c r="E410" s="8" t="n"/>
      <c r="F410" s="9" t="n"/>
      <c r="G410" s="6" t="n"/>
      <c r="H410" s="11">
        <f>IF(OR(B410="",D410=""),0,N(IFERROR(INDEX(Steps!$E$5:$E$62,MATCH(B410,Steps!$A$5:$A$62,0)),""))*E410)</f>
        <v/>
      </c>
    </row>
    <row r="411">
      <c r="A411" s="6" t="n"/>
      <c r="B411" s="6" t="n"/>
      <c r="C411" s="3">
        <f>IF(B411="","",IFERROR(INDEX(Steps!$C$5:$C$62,MATCH(B411,Steps!$A$5:$A$62,0)),""))</f>
        <v/>
      </c>
      <c r="D411" s="6" t="n"/>
      <c r="E411" s="8" t="n"/>
      <c r="F411" s="9" t="n"/>
      <c r="G411" s="6" t="n"/>
      <c r="H411" s="11">
        <f>IF(OR(B411="",D411=""),0,N(IFERROR(INDEX(Steps!$E$5:$E$62,MATCH(B411,Steps!$A$5:$A$62,0)),""))*E411)</f>
        <v/>
      </c>
    </row>
    <row r="412">
      <c r="A412" s="6" t="n"/>
      <c r="B412" s="6" t="n"/>
      <c r="C412" s="3">
        <f>IF(B412="","",IFERROR(INDEX(Steps!$C$5:$C$62,MATCH(B412,Steps!$A$5:$A$62,0)),""))</f>
        <v/>
      </c>
      <c r="D412" s="6" t="n"/>
      <c r="E412" s="8" t="n"/>
      <c r="F412" s="9" t="n"/>
      <c r="G412" s="6" t="n"/>
      <c r="H412" s="11">
        <f>IF(OR(B412="",D412=""),0,N(IFERROR(INDEX(Steps!$E$5:$E$62,MATCH(B412,Steps!$A$5:$A$62,0)),""))*E412)</f>
        <v/>
      </c>
    </row>
    <row r="413">
      <c r="A413" s="6" t="n"/>
      <c r="B413" s="6" t="n"/>
      <c r="C413" s="3">
        <f>IF(B413="","",IFERROR(INDEX(Steps!$C$5:$C$62,MATCH(B413,Steps!$A$5:$A$62,0)),""))</f>
        <v/>
      </c>
      <c r="D413" s="6" t="n"/>
      <c r="E413" s="8" t="n"/>
      <c r="F413" s="9" t="n"/>
      <c r="G413" s="6" t="n"/>
      <c r="H413" s="11">
        <f>IF(OR(B413="",D413=""),0,N(IFERROR(INDEX(Steps!$E$5:$E$62,MATCH(B413,Steps!$A$5:$A$62,0)),""))*E413)</f>
        <v/>
      </c>
    </row>
    <row r="414">
      <c r="A414" s="6" t="n"/>
      <c r="B414" s="6" t="n"/>
      <c r="C414" s="3">
        <f>IF(B414="","",IFERROR(INDEX(Steps!$C$5:$C$62,MATCH(B414,Steps!$A$5:$A$62,0)),""))</f>
        <v/>
      </c>
      <c r="D414" s="6" t="n"/>
      <c r="E414" s="8" t="n"/>
      <c r="F414" s="9" t="n"/>
      <c r="G414" s="6" t="n"/>
      <c r="H414" s="11">
        <f>IF(OR(B414="",D414=""),0,N(IFERROR(INDEX(Steps!$E$5:$E$62,MATCH(B414,Steps!$A$5:$A$62,0)),""))*E414)</f>
        <v/>
      </c>
    </row>
    <row r="415">
      <c r="A415" s="6" t="n"/>
      <c r="B415" s="6" t="n"/>
      <c r="C415" s="3">
        <f>IF(B415="","",IFERROR(INDEX(Steps!$C$5:$C$62,MATCH(B415,Steps!$A$5:$A$62,0)),""))</f>
        <v/>
      </c>
      <c r="D415" s="6" t="n"/>
      <c r="E415" s="8" t="n"/>
      <c r="F415" s="9" t="n"/>
      <c r="G415" s="6" t="n"/>
      <c r="H415" s="11">
        <f>IF(OR(B415="",D415=""),0,N(IFERROR(INDEX(Steps!$E$5:$E$62,MATCH(B415,Steps!$A$5:$A$62,0)),""))*E415)</f>
        <v/>
      </c>
    </row>
    <row r="416">
      <c r="A416" s="6" t="n"/>
      <c r="B416" s="6" t="n"/>
      <c r="C416" s="3">
        <f>IF(B416="","",IFERROR(INDEX(Steps!$C$5:$C$62,MATCH(B416,Steps!$A$5:$A$62,0)),""))</f>
        <v/>
      </c>
      <c r="D416" s="6" t="n"/>
      <c r="E416" s="8" t="n"/>
      <c r="F416" s="9" t="n"/>
      <c r="G416" s="6" t="n"/>
      <c r="H416" s="11">
        <f>IF(OR(B416="",D416=""),0,N(IFERROR(INDEX(Steps!$E$5:$E$62,MATCH(B416,Steps!$A$5:$A$62,0)),""))*E416)</f>
        <v/>
      </c>
    </row>
    <row r="417">
      <c r="A417" s="6" t="n"/>
      <c r="B417" s="6" t="n"/>
      <c r="C417" s="3">
        <f>IF(B417="","",IFERROR(INDEX(Steps!$C$5:$C$62,MATCH(B417,Steps!$A$5:$A$62,0)),""))</f>
        <v/>
      </c>
      <c r="D417" s="6" t="n"/>
      <c r="E417" s="8" t="n"/>
      <c r="F417" s="9" t="n"/>
      <c r="G417" s="6" t="n"/>
      <c r="H417" s="11">
        <f>IF(OR(B417="",D417=""),0,N(IFERROR(INDEX(Steps!$E$5:$E$62,MATCH(B417,Steps!$A$5:$A$62,0)),""))*E417)</f>
        <v/>
      </c>
    </row>
    <row r="418">
      <c r="A418" s="6" t="n"/>
      <c r="B418" s="6" t="n"/>
      <c r="C418" s="3">
        <f>IF(B418="","",IFERROR(INDEX(Steps!$C$5:$C$62,MATCH(B418,Steps!$A$5:$A$62,0)),""))</f>
        <v/>
      </c>
      <c r="D418" s="6" t="n"/>
      <c r="E418" s="8" t="n"/>
      <c r="F418" s="9" t="n"/>
      <c r="G418" s="6" t="n"/>
      <c r="H418" s="11">
        <f>IF(OR(B418="",D418=""),0,N(IFERROR(INDEX(Steps!$E$5:$E$62,MATCH(B418,Steps!$A$5:$A$62,0)),""))*E418)</f>
        <v/>
      </c>
    </row>
    <row r="419">
      <c r="A419" s="6" t="n"/>
      <c r="B419" s="6" t="n"/>
      <c r="C419" s="3">
        <f>IF(B419="","",IFERROR(INDEX(Steps!$C$5:$C$62,MATCH(B419,Steps!$A$5:$A$62,0)),""))</f>
        <v/>
      </c>
      <c r="D419" s="6" t="n"/>
      <c r="E419" s="8" t="n"/>
      <c r="F419" s="9" t="n"/>
      <c r="G419" s="6" t="n"/>
      <c r="H419" s="11">
        <f>IF(OR(B419="",D419=""),0,N(IFERROR(INDEX(Steps!$E$5:$E$62,MATCH(B419,Steps!$A$5:$A$62,0)),""))*E419)</f>
        <v/>
      </c>
    </row>
    <row r="420">
      <c r="A420" s="6" t="n"/>
      <c r="B420" s="6" t="n"/>
      <c r="C420" s="3">
        <f>IF(B420="","",IFERROR(INDEX(Steps!$C$5:$C$62,MATCH(B420,Steps!$A$5:$A$62,0)),""))</f>
        <v/>
      </c>
      <c r="D420" s="6" t="n"/>
      <c r="E420" s="8" t="n"/>
      <c r="F420" s="9" t="n"/>
      <c r="G420" s="6" t="n"/>
      <c r="H420" s="11">
        <f>IF(OR(B420="",D420=""),0,N(IFERROR(INDEX(Steps!$E$5:$E$62,MATCH(B420,Steps!$A$5:$A$62,0)),""))*E420)</f>
        <v/>
      </c>
    </row>
    <row r="421">
      <c r="A421" s="6" t="n"/>
      <c r="B421" s="6" t="n"/>
      <c r="C421" s="3">
        <f>IF(B421="","",IFERROR(INDEX(Steps!$C$5:$C$62,MATCH(B421,Steps!$A$5:$A$62,0)),""))</f>
        <v/>
      </c>
      <c r="D421" s="6" t="n"/>
      <c r="E421" s="8" t="n"/>
      <c r="F421" s="9" t="n"/>
      <c r="G421" s="6" t="n"/>
      <c r="H421" s="11">
        <f>IF(OR(B421="",D421=""),0,N(IFERROR(INDEX(Steps!$E$5:$E$62,MATCH(B421,Steps!$A$5:$A$62,0)),""))*E421)</f>
        <v/>
      </c>
    </row>
    <row r="422">
      <c r="A422" s="6" t="n"/>
      <c r="B422" s="6" t="n"/>
      <c r="C422" s="3">
        <f>IF(B422="","",IFERROR(INDEX(Steps!$C$5:$C$62,MATCH(B422,Steps!$A$5:$A$62,0)),""))</f>
        <v/>
      </c>
      <c r="D422" s="6" t="n"/>
      <c r="E422" s="8" t="n"/>
      <c r="F422" s="9" t="n"/>
      <c r="G422" s="6" t="n"/>
      <c r="H422" s="11">
        <f>IF(OR(B422="",D422=""),0,N(IFERROR(INDEX(Steps!$E$5:$E$62,MATCH(B422,Steps!$A$5:$A$62,0)),""))*E422)</f>
        <v/>
      </c>
    </row>
    <row r="423">
      <c r="A423" s="6" t="n"/>
      <c r="B423" s="6" t="n"/>
      <c r="C423" s="3">
        <f>IF(B423="","",IFERROR(INDEX(Steps!$C$5:$C$62,MATCH(B423,Steps!$A$5:$A$62,0)),""))</f>
        <v/>
      </c>
      <c r="D423" s="6" t="n"/>
      <c r="E423" s="8" t="n"/>
      <c r="F423" s="9" t="n"/>
      <c r="G423" s="6" t="n"/>
      <c r="H423" s="11">
        <f>IF(OR(B423="",D423=""),0,N(IFERROR(INDEX(Steps!$E$5:$E$62,MATCH(B423,Steps!$A$5:$A$62,0)),""))*E423)</f>
        <v/>
      </c>
    </row>
    <row r="424">
      <c r="A424" s="6" t="n"/>
      <c r="B424" s="6" t="n"/>
      <c r="C424" s="3">
        <f>IF(B424="","",IFERROR(INDEX(Steps!$C$5:$C$62,MATCH(B424,Steps!$A$5:$A$62,0)),""))</f>
        <v/>
      </c>
      <c r="D424" s="6" t="n"/>
      <c r="E424" s="8" t="n"/>
      <c r="F424" s="9" t="n"/>
      <c r="G424" s="6" t="n"/>
      <c r="H424" s="11">
        <f>IF(OR(B424="",D424=""),0,N(IFERROR(INDEX(Steps!$E$5:$E$62,MATCH(B424,Steps!$A$5:$A$62,0)),""))*E424)</f>
        <v/>
      </c>
    </row>
    <row r="425">
      <c r="A425" s="6" t="n"/>
      <c r="B425" s="6" t="n"/>
      <c r="C425" s="3">
        <f>IF(B425="","",IFERROR(INDEX(Steps!$C$5:$C$62,MATCH(B425,Steps!$A$5:$A$62,0)),""))</f>
        <v/>
      </c>
      <c r="D425" s="6" t="n"/>
      <c r="E425" s="8" t="n"/>
      <c r="F425" s="9" t="n"/>
      <c r="G425" s="6" t="n"/>
      <c r="H425" s="11">
        <f>IF(OR(B425="",D425=""),0,N(IFERROR(INDEX(Steps!$E$5:$E$62,MATCH(B425,Steps!$A$5:$A$62,0)),""))*E425)</f>
        <v/>
      </c>
    </row>
    <row r="426">
      <c r="A426" s="6" t="n"/>
      <c r="B426" s="6" t="n"/>
      <c r="C426" s="3">
        <f>IF(B426="","",IFERROR(INDEX(Steps!$C$5:$C$62,MATCH(B426,Steps!$A$5:$A$62,0)),""))</f>
        <v/>
      </c>
      <c r="D426" s="6" t="n"/>
      <c r="E426" s="8" t="n"/>
      <c r="F426" s="9" t="n"/>
      <c r="G426" s="6" t="n"/>
      <c r="H426" s="11">
        <f>IF(OR(B426="",D426=""),0,N(IFERROR(INDEX(Steps!$E$5:$E$62,MATCH(B426,Steps!$A$5:$A$62,0)),""))*E426)</f>
        <v/>
      </c>
    </row>
    <row r="427">
      <c r="A427" s="6" t="n"/>
      <c r="B427" s="6" t="n"/>
      <c r="C427" s="3">
        <f>IF(B427="","",IFERROR(INDEX(Steps!$C$5:$C$62,MATCH(B427,Steps!$A$5:$A$62,0)),""))</f>
        <v/>
      </c>
      <c r="D427" s="6" t="n"/>
      <c r="E427" s="8" t="n"/>
      <c r="F427" s="9" t="n"/>
      <c r="G427" s="6" t="n"/>
      <c r="H427" s="11">
        <f>IF(OR(B427="",D427=""),0,N(IFERROR(INDEX(Steps!$E$5:$E$62,MATCH(B427,Steps!$A$5:$A$62,0)),""))*E427)</f>
        <v/>
      </c>
    </row>
    <row r="428">
      <c r="A428" s="6" t="n"/>
      <c r="B428" s="6" t="n"/>
      <c r="C428" s="3">
        <f>IF(B428="","",IFERROR(INDEX(Steps!$C$5:$C$62,MATCH(B428,Steps!$A$5:$A$62,0)),""))</f>
        <v/>
      </c>
      <c r="D428" s="6" t="n"/>
      <c r="E428" s="8" t="n"/>
      <c r="F428" s="9" t="n"/>
      <c r="G428" s="6" t="n"/>
      <c r="H428" s="11">
        <f>IF(OR(B428="",D428=""),0,N(IFERROR(INDEX(Steps!$E$5:$E$62,MATCH(B428,Steps!$A$5:$A$62,0)),""))*E428)</f>
        <v/>
      </c>
    </row>
    <row r="429">
      <c r="A429" s="6" t="n"/>
      <c r="B429" s="6" t="n"/>
      <c r="C429" s="3">
        <f>IF(B429="","",IFERROR(INDEX(Steps!$C$5:$C$62,MATCH(B429,Steps!$A$5:$A$62,0)),""))</f>
        <v/>
      </c>
      <c r="D429" s="6" t="n"/>
      <c r="E429" s="8" t="n"/>
      <c r="F429" s="9" t="n"/>
      <c r="G429" s="6" t="n"/>
      <c r="H429" s="11">
        <f>IF(OR(B429="",D429=""),0,N(IFERROR(INDEX(Steps!$E$5:$E$62,MATCH(B429,Steps!$A$5:$A$62,0)),""))*E429)</f>
        <v/>
      </c>
    </row>
    <row r="430">
      <c r="A430" s="6" t="n"/>
      <c r="B430" s="6" t="n"/>
      <c r="C430" s="3">
        <f>IF(B430="","",IFERROR(INDEX(Steps!$C$5:$C$62,MATCH(B430,Steps!$A$5:$A$62,0)),""))</f>
        <v/>
      </c>
      <c r="D430" s="6" t="n"/>
      <c r="E430" s="8" t="n"/>
      <c r="F430" s="9" t="n"/>
      <c r="G430" s="6" t="n"/>
      <c r="H430" s="11">
        <f>IF(OR(B430="",D430=""),0,N(IFERROR(INDEX(Steps!$E$5:$E$62,MATCH(B430,Steps!$A$5:$A$62,0)),""))*E430)</f>
        <v/>
      </c>
    </row>
    <row r="431">
      <c r="A431" s="6" t="n"/>
      <c r="B431" s="6" t="n"/>
      <c r="C431" s="3">
        <f>IF(B431="","",IFERROR(INDEX(Steps!$C$5:$C$62,MATCH(B431,Steps!$A$5:$A$62,0)),""))</f>
        <v/>
      </c>
      <c r="D431" s="6" t="n"/>
      <c r="E431" s="8" t="n"/>
      <c r="F431" s="9" t="n"/>
      <c r="G431" s="6" t="n"/>
      <c r="H431" s="11">
        <f>IF(OR(B431="",D431=""),0,N(IFERROR(INDEX(Steps!$E$5:$E$62,MATCH(B431,Steps!$A$5:$A$62,0)),""))*E431)</f>
        <v/>
      </c>
    </row>
    <row r="432">
      <c r="A432" s="6" t="n"/>
      <c r="B432" s="6" t="n"/>
      <c r="C432" s="3">
        <f>IF(B432="","",IFERROR(INDEX(Steps!$C$5:$C$62,MATCH(B432,Steps!$A$5:$A$62,0)),""))</f>
        <v/>
      </c>
      <c r="D432" s="6" t="n"/>
      <c r="E432" s="8" t="n"/>
      <c r="F432" s="9" t="n"/>
      <c r="G432" s="6" t="n"/>
      <c r="H432" s="11">
        <f>IF(OR(B432="",D432=""),0,N(IFERROR(INDEX(Steps!$E$5:$E$62,MATCH(B432,Steps!$A$5:$A$62,0)),""))*E432)</f>
        <v/>
      </c>
    </row>
    <row r="433">
      <c r="A433" s="6" t="n"/>
      <c r="B433" s="6" t="n"/>
      <c r="C433" s="3">
        <f>IF(B433="","",IFERROR(INDEX(Steps!$C$5:$C$62,MATCH(B433,Steps!$A$5:$A$62,0)),""))</f>
        <v/>
      </c>
      <c r="D433" s="6" t="n"/>
      <c r="E433" s="8" t="n"/>
      <c r="F433" s="9" t="n"/>
      <c r="G433" s="6" t="n"/>
      <c r="H433" s="11">
        <f>IF(OR(B433="",D433=""),0,N(IFERROR(INDEX(Steps!$E$5:$E$62,MATCH(B433,Steps!$A$5:$A$62,0)),""))*E433)</f>
        <v/>
      </c>
    </row>
    <row r="434">
      <c r="A434" s="6" t="n"/>
      <c r="B434" s="6" t="n"/>
      <c r="C434" s="3">
        <f>IF(B434="","",IFERROR(INDEX(Steps!$C$5:$C$62,MATCH(B434,Steps!$A$5:$A$62,0)),""))</f>
        <v/>
      </c>
      <c r="D434" s="6" t="n"/>
      <c r="E434" s="8" t="n"/>
      <c r="F434" s="9" t="n"/>
      <c r="G434" s="6" t="n"/>
      <c r="H434" s="11">
        <f>IF(OR(B434="",D434=""),0,N(IFERROR(INDEX(Steps!$E$5:$E$62,MATCH(B434,Steps!$A$5:$A$62,0)),""))*E434)</f>
        <v/>
      </c>
    </row>
    <row r="435">
      <c r="A435" s="6" t="n"/>
      <c r="B435" s="6" t="n"/>
      <c r="C435" s="3">
        <f>IF(B435="","",IFERROR(INDEX(Steps!$C$5:$C$62,MATCH(B435,Steps!$A$5:$A$62,0)),""))</f>
        <v/>
      </c>
      <c r="D435" s="6" t="n"/>
      <c r="E435" s="8" t="n"/>
      <c r="F435" s="9" t="n"/>
      <c r="G435" s="6" t="n"/>
      <c r="H435" s="11">
        <f>IF(OR(B435="",D435=""),0,N(IFERROR(INDEX(Steps!$E$5:$E$62,MATCH(B435,Steps!$A$5:$A$62,0)),""))*E435)</f>
        <v/>
      </c>
    </row>
    <row r="436">
      <c r="A436" s="6" t="n"/>
      <c r="B436" s="6" t="n"/>
      <c r="C436" s="3">
        <f>IF(B436="","",IFERROR(INDEX(Steps!$C$5:$C$62,MATCH(B436,Steps!$A$5:$A$62,0)),""))</f>
        <v/>
      </c>
      <c r="D436" s="6" t="n"/>
      <c r="E436" s="8" t="n"/>
      <c r="F436" s="9" t="n"/>
      <c r="G436" s="6" t="n"/>
      <c r="H436" s="11">
        <f>IF(OR(B436="",D436=""),0,N(IFERROR(INDEX(Steps!$E$5:$E$62,MATCH(B436,Steps!$A$5:$A$62,0)),""))*E436)</f>
        <v/>
      </c>
    </row>
    <row r="437">
      <c r="A437" s="6" t="n"/>
      <c r="B437" s="6" t="n"/>
      <c r="C437" s="3">
        <f>IF(B437="","",IFERROR(INDEX(Steps!$C$5:$C$62,MATCH(B437,Steps!$A$5:$A$62,0)),""))</f>
        <v/>
      </c>
      <c r="D437" s="6" t="n"/>
      <c r="E437" s="8" t="n"/>
      <c r="F437" s="9" t="n"/>
      <c r="G437" s="6" t="n"/>
      <c r="H437" s="11">
        <f>IF(OR(B437="",D437=""),0,N(IFERROR(INDEX(Steps!$E$5:$E$62,MATCH(B437,Steps!$A$5:$A$62,0)),""))*E437)</f>
        <v/>
      </c>
    </row>
    <row r="438">
      <c r="A438" s="6" t="n"/>
      <c r="B438" s="6" t="n"/>
      <c r="C438" s="3">
        <f>IF(B438="","",IFERROR(INDEX(Steps!$C$5:$C$62,MATCH(B438,Steps!$A$5:$A$62,0)),""))</f>
        <v/>
      </c>
      <c r="D438" s="6" t="n"/>
      <c r="E438" s="8" t="n"/>
      <c r="F438" s="9" t="n"/>
      <c r="G438" s="6" t="n"/>
      <c r="H438" s="11">
        <f>IF(OR(B438="",D438=""),0,N(IFERROR(INDEX(Steps!$E$5:$E$62,MATCH(B438,Steps!$A$5:$A$62,0)),""))*E438)</f>
        <v/>
      </c>
    </row>
    <row r="439">
      <c r="A439" s="6" t="n"/>
      <c r="B439" s="6" t="n"/>
      <c r="C439" s="3">
        <f>IF(B439="","",IFERROR(INDEX(Steps!$C$5:$C$62,MATCH(B439,Steps!$A$5:$A$62,0)),""))</f>
        <v/>
      </c>
      <c r="D439" s="6" t="n"/>
      <c r="E439" s="8" t="n"/>
      <c r="F439" s="9" t="n"/>
      <c r="G439" s="6" t="n"/>
      <c r="H439" s="11">
        <f>IF(OR(B439="",D439=""),0,N(IFERROR(INDEX(Steps!$E$5:$E$62,MATCH(B439,Steps!$A$5:$A$62,0)),""))*E439)</f>
        <v/>
      </c>
    </row>
    <row r="440">
      <c r="A440" s="6" t="n"/>
      <c r="B440" s="6" t="n"/>
      <c r="C440" s="3">
        <f>IF(B440="","",IFERROR(INDEX(Steps!$C$5:$C$62,MATCH(B440,Steps!$A$5:$A$62,0)),""))</f>
        <v/>
      </c>
      <c r="D440" s="6" t="n"/>
      <c r="E440" s="8" t="n"/>
      <c r="F440" s="9" t="n"/>
      <c r="G440" s="6" t="n"/>
      <c r="H440" s="11">
        <f>IF(OR(B440="",D440=""),0,N(IFERROR(INDEX(Steps!$E$5:$E$62,MATCH(B440,Steps!$A$5:$A$62,0)),""))*E440)</f>
        <v/>
      </c>
    </row>
    <row r="441">
      <c r="A441" s="6" t="n"/>
      <c r="B441" s="6" t="n"/>
      <c r="C441" s="3">
        <f>IF(B441="","",IFERROR(INDEX(Steps!$C$5:$C$62,MATCH(B441,Steps!$A$5:$A$62,0)),""))</f>
        <v/>
      </c>
      <c r="D441" s="6" t="n"/>
      <c r="E441" s="8" t="n"/>
      <c r="F441" s="9" t="n"/>
      <c r="G441" s="6" t="n"/>
      <c r="H441" s="11">
        <f>IF(OR(B441="",D441=""),0,N(IFERROR(INDEX(Steps!$E$5:$E$62,MATCH(B441,Steps!$A$5:$A$62,0)),""))*E441)</f>
        <v/>
      </c>
    </row>
    <row r="442">
      <c r="A442" s="6" t="n"/>
      <c r="B442" s="6" t="n"/>
      <c r="C442" s="3">
        <f>IF(B442="","",IFERROR(INDEX(Steps!$C$5:$C$62,MATCH(B442,Steps!$A$5:$A$62,0)),""))</f>
        <v/>
      </c>
      <c r="D442" s="6" t="n"/>
      <c r="E442" s="8" t="n"/>
      <c r="F442" s="9" t="n"/>
      <c r="G442" s="6" t="n"/>
      <c r="H442" s="11">
        <f>IF(OR(B442="",D442=""),0,N(IFERROR(INDEX(Steps!$E$5:$E$62,MATCH(B442,Steps!$A$5:$A$62,0)),""))*E442)</f>
        <v/>
      </c>
    </row>
    <row r="443">
      <c r="A443" s="6" t="n"/>
      <c r="B443" s="6" t="n"/>
      <c r="C443" s="3">
        <f>IF(B443="","",IFERROR(INDEX(Steps!$C$5:$C$62,MATCH(B443,Steps!$A$5:$A$62,0)),""))</f>
        <v/>
      </c>
      <c r="D443" s="6" t="n"/>
      <c r="E443" s="8" t="n"/>
      <c r="F443" s="9" t="n"/>
      <c r="G443" s="6" t="n"/>
      <c r="H443" s="11">
        <f>IF(OR(B443="",D443=""),0,N(IFERROR(INDEX(Steps!$E$5:$E$62,MATCH(B443,Steps!$A$5:$A$62,0)),""))*E443)</f>
        <v/>
      </c>
    </row>
    <row r="444">
      <c r="A444" s="6" t="n"/>
      <c r="B444" s="6" t="n"/>
      <c r="C444" s="3">
        <f>IF(B444="","",IFERROR(INDEX(Steps!$C$5:$C$62,MATCH(B444,Steps!$A$5:$A$62,0)),""))</f>
        <v/>
      </c>
      <c r="D444" s="6" t="n"/>
      <c r="E444" s="8" t="n"/>
      <c r="F444" s="9" t="n"/>
      <c r="G444" s="6" t="n"/>
      <c r="H444" s="11">
        <f>IF(OR(B444="",D444=""),0,N(IFERROR(INDEX(Steps!$E$5:$E$62,MATCH(B444,Steps!$A$5:$A$62,0)),""))*E444)</f>
        <v/>
      </c>
    </row>
    <row r="445">
      <c r="A445" s="6" t="n"/>
      <c r="B445" s="6" t="n"/>
      <c r="C445" s="3">
        <f>IF(B445="","",IFERROR(INDEX(Steps!$C$5:$C$62,MATCH(B445,Steps!$A$5:$A$62,0)),""))</f>
        <v/>
      </c>
      <c r="D445" s="6" t="n"/>
      <c r="E445" s="8" t="n"/>
      <c r="F445" s="9" t="n"/>
      <c r="G445" s="6" t="n"/>
      <c r="H445" s="11">
        <f>IF(OR(B445="",D445=""),0,N(IFERROR(INDEX(Steps!$E$5:$E$62,MATCH(B445,Steps!$A$5:$A$62,0)),""))*E445)</f>
        <v/>
      </c>
    </row>
    <row r="446">
      <c r="A446" s="6" t="n"/>
      <c r="B446" s="6" t="n"/>
      <c r="C446" s="3">
        <f>IF(B446="","",IFERROR(INDEX(Steps!$C$5:$C$62,MATCH(B446,Steps!$A$5:$A$62,0)),""))</f>
        <v/>
      </c>
      <c r="D446" s="6" t="n"/>
      <c r="E446" s="8" t="n"/>
      <c r="F446" s="9" t="n"/>
      <c r="G446" s="6" t="n"/>
      <c r="H446" s="11">
        <f>IF(OR(B446="",D446=""),0,N(IFERROR(INDEX(Steps!$E$5:$E$62,MATCH(B446,Steps!$A$5:$A$62,0)),""))*E446)</f>
        <v/>
      </c>
    </row>
    <row r="447">
      <c r="A447" s="6" t="n"/>
      <c r="B447" s="6" t="n"/>
      <c r="C447" s="3">
        <f>IF(B447="","",IFERROR(INDEX(Steps!$C$5:$C$62,MATCH(B447,Steps!$A$5:$A$62,0)),""))</f>
        <v/>
      </c>
      <c r="D447" s="6" t="n"/>
      <c r="E447" s="8" t="n"/>
      <c r="F447" s="9" t="n"/>
      <c r="G447" s="6" t="n"/>
      <c r="H447" s="11">
        <f>IF(OR(B447="",D447=""),0,N(IFERROR(INDEX(Steps!$E$5:$E$62,MATCH(B447,Steps!$A$5:$A$62,0)),""))*E447)</f>
        <v/>
      </c>
    </row>
    <row r="448">
      <c r="A448" s="6" t="n"/>
      <c r="B448" s="6" t="n"/>
      <c r="C448" s="3">
        <f>IF(B448="","",IFERROR(INDEX(Steps!$C$5:$C$62,MATCH(B448,Steps!$A$5:$A$62,0)),""))</f>
        <v/>
      </c>
      <c r="D448" s="6" t="n"/>
      <c r="E448" s="8" t="n"/>
      <c r="F448" s="9" t="n"/>
      <c r="G448" s="6" t="n"/>
      <c r="H448" s="11">
        <f>IF(OR(B448="",D448=""),0,N(IFERROR(INDEX(Steps!$E$5:$E$62,MATCH(B448,Steps!$A$5:$A$62,0)),""))*E448)</f>
        <v/>
      </c>
    </row>
    <row r="449">
      <c r="A449" s="6" t="n"/>
      <c r="B449" s="6" t="n"/>
      <c r="C449" s="3">
        <f>IF(B449="","",IFERROR(INDEX(Steps!$C$5:$C$62,MATCH(B449,Steps!$A$5:$A$62,0)),""))</f>
        <v/>
      </c>
      <c r="D449" s="6" t="n"/>
      <c r="E449" s="8" t="n"/>
      <c r="F449" s="9" t="n"/>
      <c r="G449" s="6" t="n"/>
      <c r="H449" s="11">
        <f>IF(OR(B449="",D449=""),0,N(IFERROR(INDEX(Steps!$E$5:$E$62,MATCH(B449,Steps!$A$5:$A$62,0)),""))*E449)</f>
        <v/>
      </c>
    </row>
    <row r="450">
      <c r="A450" s="6" t="n"/>
      <c r="B450" s="6" t="n"/>
      <c r="C450" s="3">
        <f>IF(B450="","",IFERROR(INDEX(Steps!$C$5:$C$62,MATCH(B450,Steps!$A$5:$A$62,0)),""))</f>
        <v/>
      </c>
      <c r="D450" s="6" t="n"/>
      <c r="E450" s="8" t="n"/>
      <c r="F450" s="9" t="n"/>
      <c r="G450" s="6" t="n"/>
      <c r="H450" s="11">
        <f>IF(OR(B450="",D450=""),0,N(IFERROR(INDEX(Steps!$E$5:$E$62,MATCH(B450,Steps!$A$5:$A$62,0)),""))*E450)</f>
        <v/>
      </c>
    </row>
    <row r="451">
      <c r="A451" s="6" t="n"/>
      <c r="B451" s="6" t="n"/>
      <c r="C451" s="3">
        <f>IF(B451="","",IFERROR(INDEX(Steps!$C$5:$C$62,MATCH(B451,Steps!$A$5:$A$62,0)),""))</f>
        <v/>
      </c>
      <c r="D451" s="6" t="n"/>
      <c r="E451" s="8" t="n"/>
      <c r="F451" s="9" t="n"/>
      <c r="G451" s="6" t="n"/>
      <c r="H451" s="11">
        <f>IF(OR(B451="",D451=""),0,N(IFERROR(INDEX(Steps!$E$5:$E$62,MATCH(B451,Steps!$A$5:$A$62,0)),""))*E451)</f>
        <v/>
      </c>
    </row>
    <row r="452">
      <c r="A452" s="6" t="n"/>
      <c r="B452" s="6" t="n"/>
      <c r="C452" s="3">
        <f>IF(B452="","",IFERROR(INDEX(Steps!$C$5:$C$62,MATCH(B452,Steps!$A$5:$A$62,0)),""))</f>
        <v/>
      </c>
      <c r="D452" s="6" t="n"/>
      <c r="E452" s="8" t="n"/>
      <c r="F452" s="9" t="n"/>
      <c r="G452" s="6" t="n"/>
      <c r="H452" s="11">
        <f>IF(OR(B452="",D452=""),0,N(IFERROR(INDEX(Steps!$E$5:$E$62,MATCH(B452,Steps!$A$5:$A$62,0)),""))*E452)</f>
        <v/>
      </c>
    </row>
    <row r="453">
      <c r="A453" s="6" t="n"/>
      <c r="B453" s="6" t="n"/>
      <c r="C453" s="3">
        <f>IF(B453="","",IFERROR(INDEX(Steps!$C$5:$C$62,MATCH(B453,Steps!$A$5:$A$62,0)),""))</f>
        <v/>
      </c>
      <c r="D453" s="6" t="n"/>
      <c r="E453" s="8" t="n"/>
      <c r="F453" s="9" t="n"/>
      <c r="G453" s="6" t="n"/>
      <c r="H453" s="11">
        <f>IF(OR(B453="",D453=""),0,N(IFERROR(INDEX(Steps!$E$5:$E$62,MATCH(B453,Steps!$A$5:$A$62,0)),""))*E453)</f>
        <v/>
      </c>
    </row>
    <row r="454">
      <c r="A454" s="6" t="n"/>
      <c r="B454" s="6" t="n"/>
      <c r="C454" s="3">
        <f>IF(B454="","",IFERROR(INDEX(Steps!$C$5:$C$62,MATCH(B454,Steps!$A$5:$A$62,0)),""))</f>
        <v/>
      </c>
      <c r="D454" s="6" t="n"/>
      <c r="E454" s="8" t="n"/>
      <c r="F454" s="9" t="n"/>
      <c r="G454" s="6" t="n"/>
      <c r="H454" s="11">
        <f>IF(OR(B454="",D454=""),0,N(IFERROR(INDEX(Steps!$E$5:$E$62,MATCH(B454,Steps!$A$5:$A$62,0)),""))*E454)</f>
        <v/>
      </c>
    </row>
    <row r="455">
      <c r="A455" s="6" t="n"/>
      <c r="B455" s="6" t="n"/>
      <c r="C455" s="3">
        <f>IF(B455="","",IFERROR(INDEX(Steps!$C$5:$C$62,MATCH(B455,Steps!$A$5:$A$62,0)),""))</f>
        <v/>
      </c>
      <c r="D455" s="6" t="n"/>
      <c r="E455" s="8" t="n"/>
      <c r="F455" s="9" t="n"/>
      <c r="G455" s="6" t="n"/>
      <c r="H455" s="11">
        <f>IF(OR(B455="",D455=""),0,N(IFERROR(INDEX(Steps!$E$5:$E$62,MATCH(B455,Steps!$A$5:$A$62,0)),""))*E455)</f>
        <v/>
      </c>
    </row>
    <row r="456">
      <c r="A456" s="6" t="n"/>
      <c r="B456" s="6" t="n"/>
      <c r="C456" s="3">
        <f>IF(B456="","",IFERROR(INDEX(Steps!$C$5:$C$62,MATCH(B456,Steps!$A$5:$A$62,0)),""))</f>
        <v/>
      </c>
      <c r="D456" s="6" t="n"/>
      <c r="E456" s="8" t="n"/>
      <c r="F456" s="9" t="n"/>
      <c r="G456" s="6" t="n"/>
      <c r="H456" s="11">
        <f>IF(OR(B456="",D456=""),0,N(IFERROR(INDEX(Steps!$E$5:$E$62,MATCH(B456,Steps!$A$5:$A$62,0)),""))*E456)</f>
        <v/>
      </c>
    </row>
    <row r="457">
      <c r="A457" s="6" t="n"/>
      <c r="B457" s="6" t="n"/>
      <c r="C457" s="3">
        <f>IF(B457="","",IFERROR(INDEX(Steps!$C$5:$C$62,MATCH(B457,Steps!$A$5:$A$62,0)),""))</f>
        <v/>
      </c>
      <c r="D457" s="6" t="n"/>
      <c r="E457" s="8" t="n"/>
      <c r="F457" s="9" t="n"/>
      <c r="G457" s="6" t="n"/>
      <c r="H457" s="11">
        <f>IF(OR(B457="",D457=""),0,N(IFERROR(INDEX(Steps!$E$5:$E$62,MATCH(B457,Steps!$A$5:$A$62,0)),""))*E457)</f>
        <v/>
      </c>
    </row>
    <row r="458">
      <c r="A458" s="6" t="n"/>
      <c r="B458" s="6" t="n"/>
      <c r="C458" s="3">
        <f>IF(B458="","",IFERROR(INDEX(Steps!$C$5:$C$62,MATCH(B458,Steps!$A$5:$A$62,0)),""))</f>
        <v/>
      </c>
      <c r="D458" s="6" t="n"/>
      <c r="E458" s="8" t="n"/>
      <c r="F458" s="9" t="n"/>
      <c r="G458" s="6" t="n"/>
      <c r="H458" s="11">
        <f>IF(OR(B458="",D458=""),0,N(IFERROR(INDEX(Steps!$E$5:$E$62,MATCH(B458,Steps!$A$5:$A$62,0)),""))*E458)</f>
        <v/>
      </c>
    </row>
    <row r="459">
      <c r="A459" s="6" t="n"/>
      <c r="B459" s="6" t="n"/>
      <c r="C459" s="3">
        <f>IF(B459="","",IFERROR(INDEX(Steps!$C$5:$C$62,MATCH(B459,Steps!$A$5:$A$62,0)),""))</f>
        <v/>
      </c>
      <c r="D459" s="6" t="n"/>
      <c r="E459" s="8" t="n"/>
      <c r="F459" s="9" t="n"/>
      <c r="G459" s="6" t="n"/>
      <c r="H459" s="11">
        <f>IF(OR(B459="",D459=""),0,N(IFERROR(INDEX(Steps!$E$5:$E$62,MATCH(B459,Steps!$A$5:$A$62,0)),""))*E459)</f>
        <v/>
      </c>
    </row>
    <row r="460">
      <c r="A460" s="6" t="n"/>
      <c r="B460" s="6" t="n"/>
      <c r="C460" s="3">
        <f>IF(B460="","",IFERROR(INDEX(Steps!$C$5:$C$62,MATCH(B460,Steps!$A$5:$A$62,0)),""))</f>
        <v/>
      </c>
      <c r="D460" s="6" t="n"/>
      <c r="E460" s="8" t="n"/>
      <c r="F460" s="9" t="n"/>
      <c r="G460" s="6" t="n"/>
      <c r="H460" s="11">
        <f>IF(OR(B460="",D460=""),0,N(IFERROR(INDEX(Steps!$E$5:$E$62,MATCH(B460,Steps!$A$5:$A$62,0)),""))*E460)</f>
        <v/>
      </c>
    </row>
    <row r="461">
      <c r="A461" s="6" t="n"/>
      <c r="B461" s="6" t="n"/>
      <c r="C461" s="3">
        <f>IF(B461="","",IFERROR(INDEX(Steps!$C$5:$C$62,MATCH(B461,Steps!$A$5:$A$62,0)),""))</f>
        <v/>
      </c>
      <c r="D461" s="6" t="n"/>
      <c r="E461" s="8" t="n"/>
      <c r="F461" s="9" t="n"/>
      <c r="G461" s="6" t="n"/>
      <c r="H461" s="11">
        <f>IF(OR(B461="",D461=""),0,N(IFERROR(INDEX(Steps!$E$5:$E$62,MATCH(B461,Steps!$A$5:$A$62,0)),""))*E461)</f>
        <v/>
      </c>
    </row>
    <row r="462">
      <c r="A462" s="6" t="n"/>
      <c r="B462" s="6" t="n"/>
      <c r="C462" s="3">
        <f>IF(B462="","",IFERROR(INDEX(Steps!$C$5:$C$62,MATCH(B462,Steps!$A$5:$A$62,0)),""))</f>
        <v/>
      </c>
      <c r="D462" s="6" t="n"/>
      <c r="E462" s="8" t="n"/>
      <c r="F462" s="9" t="n"/>
      <c r="G462" s="6" t="n"/>
      <c r="H462" s="11">
        <f>IF(OR(B462="",D462=""),0,N(IFERROR(INDEX(Steps!$E$5:$E$62,MATCH(B462,Steps!$A$5:$A$62,0)),""))*E462)</f>
        <v/>
      </c>
    </row>
    <row r="463">
      <c r="A463" s="6" t="n"/>
      <c r="B463" s="6" t="n"/>
      <c r="C463" s="3">
        <f>IF(B463="","",IFERROR(INDEX(Steps!$C$5:$C$62,MATCH(B463,Steps!$A$5:$A$62,0)),""))</f>
        <v/>
      </c>
      <c r="D463" s="6" t="n"/>
      <c r="E463" s="8" t="n"/>
      <c r="F463" s="9" t="n"/>
      <c r="G463" s="6" t="n"/>
      <c r="H463" s="11">
        <f>IF(OR(B463="",D463=""),0,N(IFERROR(INDEX(Steps!$E$5:$E$62,MATCH(B463,Steps!$A$5:$A$62,0)),""))*E463)</f>
        <v/>
      </c>
    </row>
    <row r="464">
      <c r="A464" s="6" t="n"/>
      <c r="B464" s="6" t="n"/>
      <c r="C464" s="3">
        <f>IF(B464="","",IFERROR(INDEX(Steps!$C$5:$C$62,MATCH(B464,Steps!$A$5:$A$62,0)),""))</f>
        <v/>
      </c>
      <c r="D464" s="6" t="n"/>
      <c r="E464" s="8" t="n"/>
      <c r="F464" s="9" t="n"/>
      <c r="G464" s="6" t="n"/>
      <c r="H464" s="11">
        <f>IF(OR(B464="",D464=""),0,N(IFERROR(INDEX(Steps!$E$5:$E$62,MATCH(B464,Steps!$A$5:$A$62,0)),""))*E464)</f>
        <v/>
      </c>
    </row>
    <row r="465">
      <c r="A465" s="6" t="n"/>
      <c r="B465" s="6" t="n"/>
      <c r="C465" s="3">
        <f>IF(B465="","",IFERROR(INDEX(Steps!$C$5:$C$62,MATCH(B465,Steps!$A$5:$A$62,0)),""))</f>
        <v/>
      </c>
      <c r="D465" s="6" t="n"/>
      <c r="E465" s="8" t="n"/>
      <c r="F465" s="9" t="n"/>
      <c r="G465" s="6" t="n"/>
      <c r="H465" s="11">
        <f>IF(OR(B465="",D465=""),0,N(IFERROR(INDEX(Steps!$E$5:$E$62,MATCH(B465,Steps!$A$5:$A$62,0)),""))*E465)</f>
        <v/>
      </c>
    </row>
    <row r="466">
      <c r="A466" s="6" t="n"/>
      <c r="B466" s="6" t="n"/>
      <c r="C466" s="3">
        <f>IF(B466="","",IFERROR(INDEX(Steps!$C$5:$C$62,MATCH(B466,Steps!$A$5:$A$62,0)),""))</f>
        <v/>
      </c>
      <c r="D466" s="6" t="n"/>
      <c r="E466" s="8" t="n"/>
      <c r="F466" s="9" t="n"/>
      <c r="G466" s="6" t="n"/>
      <c r="H466" s="11">
        <f>IF(OR(B466="",D466=""),0,N(IFERROR(INDEX(Steps!$E$5:$E$62,MATCH(B466,Steps!$A$5:$A$62,0)),""))*E466)</f>
        <v/>
      </c>
    </row>
    <row r="467">
      <c r="A467" s="6" t="n"/>
      <c r="B467" s="6" t="n"/>
      <c r="C467" s="3">
        <f>IF(B467="","",IFERROR(INDEX(Steps!$C$5:$C$62,MATCH(B467,Steps!$A$5:$A$62,0)),""))</f>
        <v/>
      </c>
      <c r="D467" s="6" t="n"/>
      <c r="E467" s="8" t="n"/>
      <c r="F467" s="9" t="n"/>
      <c r="G467" s="6" t="n"/>
      <c r="H467" s="11">
        <f>IF(OR(B467="",D467=""),0,N(IFERROR(INDEX(Steps!$E$5:$E$62,MATCH(B467,Steps!$A$5:$A$62,0)),""))*E467)</f>
        <v/>
      </c>
    </row>
    <row r="468">
      <c r="A468" s="6" t="n"/>
      <c r="B468" s="6" t="n"/>
      <c r="C468" s="3">
        <f>IF(B468="","",IFERROR(INDEX(Steps!$C$5:$C$62,MATCH(B468,Steps!$A$5:$A$62,0)),""))</f>
        <v/>
      </c>
      <c r="D468" s="6" t="n"/>
      <c r="E468" s="8" t="n"/>
      <c r="F468" s="9" t="n"/>
      <c r="G468" s="6" t="n"/>
      <c r="H468" s="11">
        <f>IF(OR(B468="",D468=""),0,N(IFERROR(INDEX(Steps!$E$5:$E$62,MATCH(B468,Steps!$A$5:$A$62,0)),""))*E468)</f>
        <v/>
      </c>
    </row>
    <row r="469">
      <c r="A469" s="6" t="n"/>
      <c r="B469" s="6" t="n"/>
      <c r="C469" s="3">
        <f>IF(B469="","",IFERROR(INDEX(Steps!$C$5:$C$62,MATCH(B469,Steps!$A$5:$A$62,0)),""))</f>
        <v/>
      </c>
      <c r="D469" s="6" t="n"/>
      <c r="E469" s="8" t="n"/>
      <c r="F469" s="9" t="n"/>
      <c r="G469" s="6" t="n"/>
      <c r="H469" s="11">
        <f>IF(OR(B469="",D469=""),0,N(IFERROR(INDEX(Steps!$E$5:$E$62,MATCH(B469,Steps!$A$5:$A$62,0)),""))*E469)</f>
        <v/>
      </c>
    </row>
    <row r="470">
      <c r="A470" s="6" t="n"/>
      <c r="B470" s="6" t="n"/>
      <c r="C470" s="3">
        <f>IF(B470="","",IFERROR(INDEX(Steps!$C$5:$C$62,MATCH(B470,Steps!$A$5:$A$62,0)),""))</f>
        <v/>
      </c>
      <c r="D470" s="6" t="n"/>
      <c r="E470" s="8" t="n"/>
      <c r="F470" s="9" t="n"/>
      <c r="G470" s="6" t="n"/>
      <c r="H470" s="11">
        <f>IF(OR(B470="",D470=""),0,N(IFERROR(INDEX(Steps!$E$5:$E$62,MATCH(B470,Steps!$A$5:$A$62,0)),""))*E470)</f>
        <v/>
      </c>
    </row>
    <row r="471">
      <c r="A471" s="6" t="n"/>
      <c r="B471" s="6" t="n"/>
      <c r="C471" s="3">
        <f>IF(B471="","",IFERROR(INDEX(Steps!$C$5:$C$62,MATCH(B471,Steps!$A$5:$A$62,0)),""))</f>
        <v/>
      </c>
      <c r="D471" s="6" t="n"/>
      <c r="E471" s="8" t="n"/>
      <c r="F471" s="9" t="n"/>
      <c r="G471" s="6" t="n"/>
      <c r="H471" s="11">
        <f>IF(OR(B471="",D471=""),0,N(IFERROR(INDEX(Steps!$E$5:$E$62,MATCH(B471,Steps!$A$5:$A$62,0)),""))*E471)</f>
        <v/>
      </c>
    </row>
    <row r="472">
      <c r="A472" s="6" t="n"/>
      <c r="B472" s="6" t="n"/>
      <c r="C472" s="3">
        <f>IF(B472="","",IFERROR(INDEX(Steps!$C$5:$C$62,MATCH(B472,Steps!$A$5:$A$62,0)),""))</f>
        <v/>
      </c>
      <c r="D472" s="6" t="n"/>
      <c r="E472" s="8" t="n"/>
      <c r="F472" s="9" t="n"/>
      <c r="G472" s="6" t="n"/>
      <c r="H472" s="11">
        <f>IF(OR(B472="",D472=""),0,N(IFERROR(INDEX(Steps!$E$5:$E$62,MATCH(B472,Steps!$A$5:$A$62,0)),""))*E472)</f>
        <v/>
      </c>
    </row>
    <row r="473">
      <c r="A473" s="6" t="n"/>
      <c r="B473" s="6" t="n"/>
      <c r="C473" s="3">
        <f>IF(B473="","",IFERROR(INDEX(Steps!$C$5:$C$62,MATCH(B473,Steps!$A$5:$A$62,0)),""))</f>
        <v/>
      </c>
      <c r="D473" s="6" t="n"/>
      <c r="E473" s="8" t="n"/>
      <c r="F473" s="9" t="n"/>
      <c r="G473" s="6" t="n"/>
      <c r="H473" s="11">
        <f>IF(OR(B473="",D473=""),0,N(IFERROR(INDEX(Steps!$E$5:$E$62,MATCH(B473,Steps!$A$5:$A$62,0)),""))*E473)</f>
        <v/>
      </c>
    </row>
    <row r="474">
      <c r="A474" s="6" t="n"/>
      <c r="B474" s="6" t="n"/>
      <c r="C474" s="3">
        <f>IF(B474="","",IFERROR(INDEX(Steps!$C$5:$C$62,MATCH(B474,Steps!$A$5:$A$62,0)),""))</f>
        <v/>
      </c>
      <c r="D474" s="6" t="n"/>
      <c r="E474" s="8" t="n"/>
      <c r="F474" s="9" t="n"/>
      <c r="G474" s="6" t="n"/>
      <c r="H474" s="11">
        <f>IF(OR(B474="",D474=""),0,N(IFERROR(INDEX(Steps!$E$5:$E$62,MATCH(B474,Steps!$A$5:$A$62,0)),""))*E474)</f>
        <v/>
      </c>
    </row>
    <row r="475">
      <c r="A475" s="6" t="n"/>
      <c r="B475" s="6" t="n"/>
      <c r="C475" s="3">
        <f>IF(B475="","",IFERROR(INDEX(Steps!$C$5:$C$62,MATCH(B475,Steps!$A$5:$A$62,0)),""))</f>
        <v/>
      </c>
      <c r="D475" s="6" t="n"/>
      <c r="E475" s="8" t="n"/>
      <c r="F475" s="9" t="n"/>
      <c r="G475" s="6" t="n"/>
      <c r="H475" s="11">
        <f>IF(OR(B475="",D475=""),0,N(IFERROR(INDEX(Steps!$E$5:$E$62,MATCH(B475,Steps!$A$5:$A$62,0)),""))*E475)</f>
        <v/>
      </c>
    </row>
    <row r="476">
      <c r="A476" s="6" t="n"/>
      <c r="B476" s="6" t="n"/>
      <c r="C476" s="3">
        <f>IF(B476="","",IFERROR(INDEX(Steps!$C$5:$C$62,MATCH(B476,Steps!$A$5:$A$62,0)),""))</f>
        <v/>
      </c>
      <c r="D476" s="6" t="n"/>
      <c r="E476" s="8" t="n"/>
      <c r="F476" s="9" t="n"/>
      <c r="G476" s="6" t="n"/>
      <c r="H476" s="11">
        <f>IF(OR(B476="",D476=""),0,N(IFERROR(INDEX(Steps!$E$5:$E$62,MATCH(B476,Steps!$A$5:$A$62,0)),""))*E476)</f>
        <v/>
      </c>
    </row>
    <row r="477">
      <c r="A477" s="6" t="n"/>
      <c r="B477" s="6" t="n"/>
      <c r="C477" s="3">
        <f>IF(B477="","",IFERROR(INDEX(Steps!$C$5:$C$62,MATCH(B477,Steps!$A$5:$A$62,0)),""))</f>
        <v/>
      </c>
      <c r="D477" s="6" t="n"/>
      <c r="E477" s="8" t="n"/>
      <c r="F477" s="9" t="n"/>
      <c r="G477" s="6" t="n"/>
      <c r="H477" s="11">
        <f>IF(OR(B477="",D477=""),0,N(IFERROR(INDEX(Steps!$E$5:$E$62,MATCH(B477,Steps!$A$5:$A$62,0)),""))*E477)</f>
        <v/>
      </c>
    </row>
    <row r="478">
      <c r="A478" s="6" t="n"/>
      <c r="B478" s="6" t="n"/>
      <c r="C478" s="3">
        <f>IF(B478="","",IFERROR(INDEX(Steps!$C$5:$C$62,MATCH(B478,Steps!$A$5:$A$62,0)),""))</f>
        <v/>
      </c>
      <c r="D478" s="6" t="n"/>
      <c r="E478" s="8" t="n"/>
      <c r="F478" s="9" t="n"/>
      <c r="G478" s="6" t="n"/>
      <c r="H478" s="11">
        <f>IF(OR(B478="",D478=""),0,N(IFERROR(INDEX(Steps!$E$5:$E$62,MATCH(B478,Steps!$A$5:$A$62,0)),""))*E478)</f>
        <v/>
      </c>
    </row>
    <row r="479">
      <c r="A479" s="6" t="n"/>
      <c r="B479" s="6" t="n"/>
      <c r="C479" s="3">
        <f>IF(B479="","",IFERROR(INDEX(Steps!$C$5:$C$62,MATCH(B479,Steps!$A$5:$A$62,0)),""))</f>
        <v/>
      </c>
      <c r="D479" s="6" t="n"/>
      <c r="E479" s="8" t="n"/>
      <c r="F479" s="9" t="n"/>
      <c r="G479" s="6" t="n"/>
      <c r="H479" s="11">
        <f>IF(OR(B479="",D479=""),0,N(IFERROR(INDEX(Steps!$E$5:$E$62,MATCH(B479,Steps!$A$5:$A$62,0)),""))*E479)</f>
        <v/>
      </c>
    </row>
    <row r="480">
      <c r="A480" s="6" t="n"/>
      <c r="B480" s="6" t="n"/>
      <c r="C480" s="3">
        <f>IF(B480="","",IFERROR(INDEX(Steps!$C$5:$C$62,MATCH(B480,Steps!$A$5:$A$62,0)),""))</f>
        <v/>
      </c>
      <c r="D480" s="6" t="n"/>
      <c r="E480" s="8" t="n"/>
      <c r="F480" s="9" t="n"/>
      <c r="G480" s="6" t="n"/>
      <c r="H480" s="11">
        <f>IF(OR(B480="",D480=""),0,N(IFERROR(INDEX(Steps!$E$5:$E$62,MATCH(B480,Steps!$A$5:$A$62,0)),""))*E480)</f>
        <v/>
      </c>
    </row>
    <row r="481">
      <c r="A481" s="6" t="n"/>
      <c r="B481" s="6" t="n"/>
      <c r="C481" s="3">
        <f>IF(B481="","",IFERROR(INDEX(Steps!$C$5:$C$62,MATCH(B481,Steps!$A$5:$A$62,0)),""))</f>
        <v/>
      </c>
      <c r="D481" s="6" t="n"/>
      <c r="E481" s="8" t="n"/>
      <c r="F481" s="9" t="n"/>
      <c r="G481" s="6" t="n"/>
      <c r="H481" s="11">
        <f>IF(OR(B481="",D481=""),0,N(IFERROR(INDEX(Steps!$E$5:$E$62,MATCH(B481,Steps!$A$5:$A$62,0)),""))*E481)</f>
        <v/>
      </c>
    </row>
    <row r="482">
      <c r="A482" s="6" t="n"/>
      <c r="B482" s="6" t="n"/>
      <c r="C482" s="3">
        <f>IF(B482="","",IFERROR(INDEX(Steps!$C$5:$C$62,MATCH(B482,Steps!$A$5:$A$62,0)),""))</f>
        <v/>
      </c>
      <c r="D482" s="6" t="n"/>
      <c r="E482" s="8" t="n"/>
      <c r="F482" s="9" t="n"/>
      <c r="G482" s="6" t="n"/>
      <c r="H482" s="11">
        <f>IF(OR(B482="",D482=""),0,N(IFERROR(INDEX(Steps!$E$5:$E$62,MATCH(B482,Steps!$A$5:$A$62,0)),""))*E482)</f>
        <v/>
      </c>
    </row>
    <row r="483">
      <c r="A483" s="6" t="n"/>
      <c r="B483" s="6" t="n"/>
      <c r="C483" s="3">
        <f>IF(B483="","",IFERROR(INDEX(Steps!$C$5:$C$62,MATCH(B483,Steps!$A$5:$A$62,0)),""))</f>
        <v/>
      </c>
      <c r="D483" s="6" t="n"/>
      <c r="E483" s="8" t="n"/>
      <c r="F483" s="9" t="n"/>
      <c r="G483" s="6" t="n"/>
      <c r="H483" s="11">
        <f>IF(OR(B483="",D483=""),0,N(IFERROR(INDEX(Steps!$E$5:$E$62,MATCH(B483,Steps!$A$5:$A$62,0)),""))*E483)</f>
        <v/>
      </c>
    </row>
    <row r="484">
      <c r="A484" s="6" t="n"/>
      <c r="B484" s="6" t="n"/>
      <c r="C484" s="3">
        <f>IF(B484="","",IFERROR(INDEX(Steps!$C$5:$C$62,MATCH(B484,Steps!$A$5:$A$62,0)),""))</f>
        <v/>
      </c>
      <c r="D484" s="6" t="n"/>
      <c r="E484" s="8" t="n"/>
      <c r="F484" s="9" t="n"/>
      <c r="G484" s="6" t="n"/>
      <c r="H484" s="11">
        <f>IF(OR(B484="",D484=""),0,N(IFERROR(INDEX(Steps!$E$5:$E$62,MATCH(B484,Steps!$A$5:$A$62,0)),""))*E484)</f>
        <v/>
      </c>
    </row>
    <row r="485">
      <c r="A485" s="6" t="n"/>
      <c r="B485" s="6" t="n"/>
      <c r="C485" s="3">
        <f>IF(B485="","",IFERROR(INDEX(Steps!$C$5:$C$62,MATCH(B485,Steps!$A$5:$A$62,0)),""))</f>
        <v/>
      </c>
      <c r="D485" s="6" t="n"/>
      <c r="E485" s="8" t="n"/>
      <c r="F485" s="9" t="n"/>
      <c r="G485" s="6" t="n"/>
      <c r="H485" s="11">
        <f>IF(OR(B485="",D485=""),0,N(IFERROR(INDEX(Steps!$E$5:$E$62,MATCH(B485,Steps!$A$5:$A$62,0)),""))*E485)</f>
        <v/>
      </c>
    </row>
    <row r="486">
      <c r="A486" s="6" t="n"/>
      <c r="B486" s="6" t="n"/>
      <c r="C486" s="3">
        <f>IF(B486="","",IFERROR(INDEX(Steps!$C$5:$C$62,MATCH(B486,Steps!$A$5:$A$62,0)),""))</f>
        <v/>
      </c>
      <c r="D486" s="6" t="n"/>
      <c r="E486" s="8" t="n"/>
      <c r="F486" s="9" t="n"/>
      <c r="G486" s="6" t="n"/>
      <c r="H486" s="11">
        <f>IF(OR(B486="",D486=""),0,N(IFERROR(INDEX(Steps!$E$5:$E$62,MATCH(B486,Steps!$A$5:$A$62,0)),""))*E486)</f>
        <v/>
      </c>
    </row>
    <row r="487">
      <c r="A487" s="6" t="n"/>
      <c r="B487" s="6" t="n"/>
      <c r="C487" s="3">
        <f>IF(B487="","",IFERROR(INDEX(Steps!$C$5:$C$62,MATCH(B487,Steps!$A$5:$A$62,0)),""))</f>
        <v/>
      </c>
      <c r="D487" s="6" t="n"/>
      <c r="E487" s="8" t="n"/>
      <c r="F487" s="9" t="n"/>
      <c r="G487" s="6" t="n"/>
      <c r="H487" s="11">
        <f>IF(OR(B487="",D487=""),0,N(IFERROR(INDEX(Steps!$E$5:$E$62,MATCH(B487,Steps!$A$5:$A$62,0)),""))*E487)</f>
        <v/>
      </c>
    </row>
    <row r="488">
      <c r="A488" s="6" t="n"/>
      <c r="B488" s="6" t="n"/>
      <c r="C488" s="3">
        <f>IF(B488="","",IFERROR(INDEX(Steps!$C$5:$C$62,MATCH(B488,Steps!$A$5:$A$62,0)),""))</f>
        <v/>
      </c>
      <c r="D488" s="6" t="n"/>
      <c r="E488" s="8" t="n"/>
      <c r="F488" s="9" t="n"/>
      <c r="G488" s="6" t="n"/>
      <c r="H488" s="11">
        <f>IF(OR(B488="",D488=""),0,N(IFERROR(INDEX(Steps!$E$5:$E$62,MATCH(B488,Steps!$A$5:$A$62,0)),""))*E488)</f>
        <v/>
      </c>
    </row>
    <row r="489">
      <c r="A489" s="6" t="n"/>
      <c r="B489" s="6" t="n"/>
      <c r="C489" s="3">
        <f>IF(B489="","",IFERROR(INDEX(Steps!$C$5:$C$62,MATCH(B489,Steps!$A$5:$A$62,0)),""))</f>
        <v/>
      </c>
      <c r="D489" s="6" t="n"/>
      <c r="E489" s="8" t="n"/>
      <c r="F489" s="9" t="n"/>
      <c r="G489" s="6" t="n"/>
      <c r="H489" s="11">
        <f>IF(OR(B489="",D489=""),0,N(IFERROR(INDEX(Steps!$E$5:$E$62,MATCH(B489,Steps!$A$5:$A$62,0)),""))*E489)</f>
        <v/>
      </c>
    </row>
    <row r="490">
      <c r="A490" s="6" t="n"/>
      <c r="B490" s="6" t="n"/>
      <c r="C490" s="3">
        <f>IF(B490="","",IFERROR(INDEX(Steps!$C$5:$C$62,MATCH(B490,Steps!$A$5:$A$62,0)),""))</f>
        <v/>
      </c>
      <c r="D490" s="6" t="n"/>
      <c r="E490" s="8" t="n"/>
      <c r="F490" s="9" t="n"/>
      <c r="G490" s="6" t="n"/>
      <c r="H490" s="11">
        <f>IF(OR(B490="",D490=""),0,N(IFERROR(INDEX(Steps!$E$5:$E$62,MATCH(B490,Steps!$A$5:$A$62,0)),""))*E490)</f>
        <v/>
      </c>
    </row>
    <row r="491">
      <c r="A491" s="6" t="n"/>
      <c r="B491" s="6" t="n"/>
      <c r="C491" s="3">
        <f>IF(B491="","",IFERROR(INDEX(Steps!$C$5:$C$62,MATCH(B491,Steps!$A$5:$A$62,0)),""))</f>
        <v/>
      </c>
      <c r="D491" s="6" t="n"/>
      <c r="E491" s="8" t="n"/>
      <c r="F491" s="9" t="n"/>
      <c r="G491" s="6" t="n"/>
      <c r="H491" s="11">
        <f>IF(OR(B491="",D491=""),0,N(IFERROR(INDEX(Steps!$E$5:$E$62,MATCH(B491,Steps!$A$5:$A$62,0)),""))*E491)</f>
        <v/>
      </c>
    </row>
    <row r="492">
      <c r="A492" s="6" t="n"/>
      <c r="B492" s="6" t="n"/>
      <c r="C492" s="3">
        <f>IF(B492="","",IFERROR(INDEX(Steps!$C$5:$C$62,MATCH(B492,Steps!$A$5:$A$62,0)),""))</f>
        <v/>
      </c>
      <c r="D492" s="6" t="n"/>
      <c r="E492" s="8" t="n"/>
      <c r="F492" s="9" t="n"/>
      <c r="G492" s="6" t="n"/>
      <c r="H492" s="11">
        <f>IF(OR(B492="",D492=""),0,N(IFERROR(INDEX(Steps!$E$5:$E$62,MATCH(B492,Steps!$A$5:$A$62,0)),""))*E492)</f>
        <v/>
      </c>
    </row>
    <row r="493">
      <c r="A493" s="6" t="n"/>
      <c r="B493" s="6" t="n"/>
      <c r="C493" s="3">
        <f>IF(B493="","",IFERROR(INDEX(Steps!$C$5:$C$62,MATCH(B493,Steps!$A$5:$A$62,0)),""))</f>
        <v/>
      </c>
      <c r="D493" s="6" t="n"/>
      <c r="E493" s="8" t="n"/>
      <c r="F493" s="9" t="n"/>
      <c r="G493" s="6" t="n"/>
      <c r="H493" s="11">
        <f>IF(OR(B493="",D493=""),0,N(IFERROR(INDEX(Steps!$E$5:$E$62,MATCH(B493,Steps!$A$5:$A$62,0)),""))*E493)</f>
        <v/>
      </c>
    </row>
    <row r="494">
      <c r="A494" s="6" t="n"/>
      <c r="B494" s="6" t="n"/>
      <c r="C494" s="3">
        <f>IF(B494="","",IFERROR(INDEX(Steps!$C$5:$C$62,MATCH(B494,Steps!$A$5:$A$62,0)),""))</f>
        <v/>
      </c>
      <c r="D494" s="6" t="n"/>
      <c r="E494" s="8" t="n"/>
      <c r="F494" s="9" t="n"/>
      <c r="G494" s="6" t="n"/>
      <c r="H494" s="11">
        <f>IF(OR(B494="",D494=""),0,N(IFERROR(INDEX(Steps!$E$5:$E$62,MATCH(B494,Steps!$A$5:$A$62,0)),""))*E494)</f>
        <v/>
      </c>
    </row>
    <row r="495">
      <c r="A495" s="6" t="n"/>
      <c r="B495" s="6" t="n"/>
      <c r="C495" s="3">
        <f>IF(B495="","",IFERROR(INDEX(Steps!$C$5:$C$62,MATCH(B495,Steps!$A$5:$A$62,0)),""))</f>
        <v/>
      </c>
      <c r="D495" s="6" t="n"/>
      <c r="E495" s="8" t="n"/>
      <c r="F495" s="9" t="n"/>
      <c r="G495" s="6" t="n"/>
      <c r="H495" s="11">
        <f>IF(OR(B495="",D495=""),0,N(IFERROR(INDEX(Steps!$E$5:$E$62,MATCH(B495,Steps!$A$5:$A$62,0)),""))*E495)</f>
        <v/>
      </c>
    </row>
    <row r="496">
      <c r="A496" s="6" t="n"/>
      <c r="B496" s="6" t="n"/>
      <c r="C496" s="3">
        <f>IF(B496="","",IFERROR(INDEX(Steps!$C$5:$C$62,MATCH(B496,Steps!$A$5:$A$62,0)),""))</f>
        <v/>
      </c>
      <c r="D496" s="6" t="n"/>
      <c r="E496" s="8" t="n"/>
      <c r="F496" s="9" t="n"/>
      <c r="G496" s="6" t="n"/>
      <c r="H496" s="11">
        <f>IF(OR(B496="",D496=""),0,N(IFERROR(INDEX(Steps!$E$5:$E$62,MATCH(B496,Steps!$A$5:$A$62,0)),""))*E496)</f>
        <v/>
      </c>
    </row>
    <row r="497">
      <c r="A497" s="6" t="n"/>
      <c r="B497" s="6" t="n"/>
      <c r="C497" s="3">
        <f>IF(B497="","",IFERROR(INDEX(Steps!$C$5:$C$62,MATCH(B497,Steps!$A$5:$A$62,0)),""))</f>
        <v/>
      </c>
      <c r="D497" s="6" t="n"/>
      <c r="E497" s="8" t="n"/>
      <c r="F497" s="9" t="n"/>
      <c r="G497" s="6" t="n"/>
      <c r="H497" s="11">
        <f>IF(OR(B497="",D497=""),0,N(IFERROR(INDEX(Steps!$E$5:$E$62,MATCH(B497,Steps!$A$5:$A$62,0)),""))*E497)</f>
        <v/>
      </c>
    </row>
    <row r="498">
      <c r="A498" s="6" t="n"/>
      <c r="B498" s="6" t="n"/>
      <c r="C498" s="3">
        <f>IF(B498="","",IFERROR(INDEX(Steps!$C$5:$C$62,MATCH(B498,Steps!$A$5:$A$62,0)),""))</f>
        <v/>
      </c>
      <c r="D498" s="6" t="n"/>
      <c r="E498" s="8" t="n"/>
      <c r="F498" s="9" t="n"/>
      <c r="G498" s="6" t="n"/>
      <c r="H498" s="11">
        <f>IF(OR(B498="",D498=""),0,N(IFERROR(INDEX(Steps!$E$5:$E$62,MATCH(B498,Steps!$A$5:$A$62,0)),""))*E498)</f>
        <v/>
      </c>
    </row>
    <row r="499">
      <c r="A499" s="6" t="n"/>
      <c r="B499" s="6" t="n"/>
      <c r="C499" s="3">
        <f>IF(B499="","",IFERROR(INDEX(Steps!$C$5:$C$62,MATCH(B499,Steps!$A$5:$A$62,0)),""))</f>
        <v/>
      </c>
      <c r="D499" s="6" t="n"/>
      <c r="E499" s="8" t="n"/>
      <c r="F499" s="9" t="n"/>
      <c r="G499" s="6" t="n"/>
      <c r="H499" s="11">
        <f>IF(OR(B499="",D499=""),0,N(IFERROR(INDEX(Steps!$E$5:$E$62,MATCH(B499,Steps!$A$5:$A$62,0)),""))*E499)</f>
        <v/>
      </c>
    </row>
    <row r="500">
      <c r="A500" s="6" t="n"/>
      <c r="B500" s="6" t="n"/>
      <c r="C500" s="3">
        <f>IF(B500="","",IFERROR(INDEX(Steps!$C$5:$C$62,MATCH(B500,Steps!$A$5:$A$62,0)),""))</f>
        <v/>
      </c>
      <c r="D500" s="6" t="n"/>
      <c r="E500" s="8" t="n"/>
      <c r="F500" s="9" t="n"/>
      <c r="G500" s="6" t="n"/>
      <c r="H500" s="11">
        <f>IF(OR(B500="",D500=""),0,N(IFERROR(INDEX(Steps!$E$5:$E$62,MATCH(B500,Steps!$A$5:$A$62,0)),""))*E500)</f>
        <v/>
      </c>
    </row>
    <row r="501">
      <c r="A501" s="6" t="n"/>
      <c r="B501" s="6" t="n"/>
      <c r="C501" s="3">
        <f>IF(B501="","",IFERROR(INDEX(Steps!$C$5:$C$62,MATCH(B501,Steps!$A$5:$A$62,0)),""))</f>
        <v/>
      </c>
      <c r="D501" s="6" t="n"/>
      <c r="E501" s="8" t="n"/>
      <c r="F501" s="9" t="n"/>
      <c r="G501" s="6" t="n"/>
      <c r="H501" s="11">
        <f>IF(OR(B501="",D501=""),0,N(IFERROR(INDEX(Steps!$E$5:$E$62,MATCH(B501,Steps!$A$5:$A$62,0)),""))*E501)</f>
        <v/>
      </c>
    </row>
    <row r="502">
      <c r="A502" s="6" t="n"/>
      <c r="B502" s="6" t="n"/>
      <c r="C502" s="3">
        <f>IF(B502="","",IFERROR(INDEX(Steps!$C$5:$C$62,MATCH(B502,Steps!$A$5:$A$62,0)),""))</f>
        <v/>
      </c>
      <c r="D502" s="6" t="n"/>
      <c r="E502" s="8" t="n"/>
      <c r="F502" s="9" t="n"/>
      <c r="G502" s="6" t="n"/>
      <c r="H502" s="11">
        <f>IF(OR(B502="",D502=""),0,N(IFERROR(INDEX(Steps!$E$5:$E$62,MATCH(B502,Steps!$A$5:$A$62,0)),""))*E502)</f>
        <v/>
      </c>
    </row>
    <row r="503">
      <c r="A503" s="6" t="n"/>
      <c r="B503" s="6" t="n"/>
      <c r="C503" s="3">
        <f>IF(B503="","",IFERROR(INDEX(Steps!$C$5:$C$62,MATCH(B503,Steps!$A$5:$A$62,0)),""))</f>
        <v/>
      </c>
      <c r="D503" s="6" t="n"/>
      <c r="E503" s="8" t="n"/>
      <c r="F503" s="9" t="n"/>
      <c r="G503" s="6" t="n"/>
      <c r="H503" s="11">
        <f>IF(OR(B503="",D503=""),0,N(IFERROR(INDEX(Steps!$E$5:$E$62,MATCH(B503,Steps!$A$5:$A$62,0)),""))*E503)</f>
        <v/>
      </c>
    </row>
    <row r="504">
      <c r="A504" s="6" t="n"/>
      <c r="B504" s="6" t="n"/>
      <c r="C504" s="3">
        <f>IF(B504="","",IFERROR(INDEX(Steps!$C$5:$C$62,MATCH(B504,Steps!$A$5:$A$62,0)),""))</f>
        <v/>
      </c>
      <c r="D504" s="6" t="n"/>
      <c r="E504" s="8" t="n"/>
      <c r="F504" s="9" t="n"/>
      <c r="G504" s="6" t="n"/>
      <c r="H504" s="11">
        <f>IF(OR(B504="",D504=""),0,N(IFERROR(INDEX(Steps!$E$5:$E$62,MATCH(B504,Steps!$A$5:$A$62,0)),""))*E504)</f>
        <v/>
      </c>
    </row>
  </sheetData>
  <dataValidations count="3">
    <dataValidation sqref="A5:A504" showDropDown="0" showInputMessage="0" showErrorMessage="0" allowBlank="1" type="whole" operator="between">
      <formula1>1</formula1>
      <formula2>8</formula2>
    </dataValidation>
    <dataValidation sqref="B5:B504" showDropDown="0" showInputMessage="0" showErrorMessage="0" allowBlank="1" type="list">
      <formula1>=Steps!$A$5:$A$62</formula1>
    </dataValidation>
    <dataValidation sqref="D5:D504" showDropDown="0" showInputMessage="0" showErrorMessage="0" allowBlank="1" type="list">
      <formula1>=Members!$B$5:$B$16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50" customWidth="1" min="4" max="4"/>
    <col width="22" customWidth="1" min="5" max="5"/>
    <col width="8" customWidth="1" min="6" max="6"/>
    <col width="14" customWidth="1" min="7" max="7"/>
    <col width="12" customWidth="1" min="8" max="8"/>
    <col width="22" customWidth="1" min="9" max="9"/>
    <col width="12" customWidth="1" min="10" max="10"/>
    <col width="12" customWidth="1" min="11" max="11"/>
    <col width="12" customWidth="1" min="12" max="12"/>
    <col width="14" customWidth="1" min="13" max="13"/>
    <col width="30" customWidth="1" min="14" max="14"/>
  </cols>
  <sheetData>
    <row r="1">
      <c r="A1" s="1" t="inlineStr">
        <is>
          <t>Work log</t>
        </is>
      </c>
    </row>
    <row r="2">
      <c r="A2" s="2" t="inlineStr">
        <is>
          <t>One row per member per step finished. Credit counts once a different member signs it off.</t>
        </is>
      </c>
    </row>
    <row r="4">
      <c r="A4" s="5" t="inlineStr">
        <is>
          <t>Date done</t>
        </is>
      </c>
      <c r="B4" s="5" t="inlineStr">
        <is>
          <t>Boat</t>
        </is>
      </c>
      <c r="C4" s="5" t="inlineStr">
        <is>
          <t>Step</t>
        </is>
      </c>
      <c r="D4" s="5" t="inlineStr">
        <is>
          <t>Step</t>
        </is>
      </c>
      <c r="E4" s="5" t="inlineStr">
        <is>
          <t>Member</t>
        </is>
      </c>
      <c r="F4" s="5" t="inlineStr">
        <is>
          <t>Share</t>
        </is>
      </c>
      <c r="G4" s="5" t="inlineStr">
        <is>
          <t>How</t>
        </is>
      </c>
      <c r="H4" s="5" t="inlineStr">
        <is>
          <t>Pro invoice ($)</t>
        </is>
      </c>
      <c r="I4" s="5" t="inlineStr">
        <is>
          <t>Verified by</t>
        </is>
      </c>
      <c r="J4" s="5" t="inlineStr">
        <is>
          <t>Verified on</t>
        </is>
      </c>
      <c r="K4" s="5" t="inlineStr">
        <is>
          <t>Step value ($)</t>
        </is>
      </c>
      <c r="L4" s="5" t="inlineStr">
        <is>
          <t>Credit ($)</t>
        </is>
      </c>
      <c r="M4" s="5" t="inlineStr">
        <is>
          <t>Pro overrun as cash ($)</t>
        </is>
      </c>
      <c r="N4" s="5" t="inlineStr">
        <is>
          <t>Check</t>
        </is>
      </c>
    </row>
    <row r="5">
      <c r="A5" s="9" t="n">
        <v>46396</v>
      </c>
      <c r="B5" s="6" t="n">
        <v>1</v>
      </c>
      <c r="C5" s="6" t="n">
        <v>1</v>
      </c>
      <c r="D5" s="3">
        <f>IF(C5="","",IFERROR(INDEX(Steps!$C$5:$C$62,MATCH(C5,Steps!$A$5:$A$62,0)),""))</f>
        <v/>
      </c>
      <c r="E5" s="6" t="inlineStr">
        <is>
          <t>Alex (example)</t>
        </is>
      </c>
      <c r="F5" s="8" t="n">
        <v>1</v>
      </c>
      <c r="G5" s="6" t="inlineStr">
        <is>
          <t>Did it myself</t>
        </is>
      </c>
      <c r="H5" s="7" t="n"/>
      <c r="I5" s="6" t="inlineStr">
        <is>
          <t>Bea (example)</t>
        </is>
      </c>
      <c r="J5" s="9" t="n"/>
      <c r="K5" s="11">
        <f>IF(C5="","",N(IFERROR(INDEX(Steps!$E$5:$E$62,MATCH(C5,Steps!$A$5:$A$62,0)),"")))</f>
        <v/>
      </c>
      <c r="L5" s="11">
        <f>IF(AND(C5&lt;&gt;"",E5&lt;&gt;"",I5&lt;&gt;"",OR(Settings!$B$10="No",I5&lt;&gt;E5)),K5*F5,0)</f>
        <v/>
      </c>
      <c r="M5" s="11">
        <f>IF(AND(AND(C5&lt;&gt;"",E5&lt;&gt;"",I5&lt;&gt;"",OR(Settings!$B$10="No",I5&lt;&gt;E5)),G5="Paid a pro",Settings!$B$9="Yes"),MAX(0,H5-K5*F5),0)</f>
        <v/>
      </c>
      <c r="N5" s="3">
        <f>IF(C5="","",IF(B5="","Enter the boat number",IF(B5&gt;Settings!$B$6,"Boat number above the boat count",IF(SUMIFS($F$5:$F$1004,$B$5:$B$1004,B5,$C$5:$C$1004,C5)&gt;1.0001,"Shares for this step add up to over 100%",IF(I5="","Waiting for sign-off",IF(AND(Settings!$B$10="Yes",I5=E5),"Needs a different member to sign off","OK"))))))</f>
        <v/>
      </c>
    </row>
    <row r="6">
      <c r="A6" s="9" t="n">
        <v>46403</v>
      </c>
      <c r="B6" s="6" t="n">
        <v>1</v>
      </c>
      <c r="C6" s="6" t="n">
        <v>2</v>
      </c>
      <c r="D6" s="3">
        <f>IF(C6="","",IFERROR(INDEX(Steps!$C$5:$C$62,MATCH(C6,Steps!$A$5:$A$62,0)),""))</f>
        <v/>
      </c>
      <c r="E6" s="6" t="inlineStr">
        <is>
          <t>Bea (example)</t>
        </is>
      </c>
      <c r="F6" s="8" t="n">
        <v>0.5</v>
      </c>
      <c r="G6" s="6" t="inlineStr">
        <is>
          <t>Did it myself</t>
        </is>
      </c>
      <c r="H6" s="7" t="n"/>
      <c r="I6" s="6" t="inlineStr">
        <is>
          <t>Alex (example)</t>
        </is>
      </c>
      <c r="J6" s="9" t="n"/>
      <c r="K6" s="11">
        <f>IF(C6="","",N(IFERROR(INDEX(Steps!$E$5:$E$62,MATCH(C6,Steps!$A$5:$A$62,0)),"")))</f>
        <v/>
      </c>
      <c r="L6" s="11">
        <f>IF(AND(C6&lt;&gt;"",E6&lt;&gt;"",I6&lt;&gt;"",OR(Settings!$B$10="No",I6&lt;&gt;E6)),K6*F6,0)</f>
        <v/>
      </c>
      <c r="M6" s="11">
        <f>IF(AND(AND(C6&lt;&gt;"",E6&lt;&gt;"",I6&lt;&gt;"",OR(Settings!$B$10="No",I6&lt;&gt;E6)),G6="Paid a pro",Settings!$B$9="Yes"),MAX(0,H6-K6*F6),0)</f>
        <v/>
      </c>
      <c r="N6" s="3">
        <f>IF(C6="","",IF(B6="","Enter the boat number",IF(B6&gt;Settings!$B$6,"Boat number above the boat count",IF(SUMIFS($F$5:$F$1004,$B$5:$B$1004,B6,$C$5:$C$1004,C6)&gt;1.0001,"Shares for this step add up to over 100%",IF(I6="","Waiting for sign-off",IF(AND(Settings!$B$10="Yes",I6=E6),"Needs a different member to sign off","OK"))))))</f>
        <v/>
      </c>
    </row>
    <row r="7">
      <c r="A7" s="9" t="n">
        <v>46403</v>
      </c>
      <c r="B7" s="6" t="n">
        <v>1</v>
      </c>
      <c r="C7" s="6" t="n">
        <v>2</v>
      </c>
      <c r="D7" s="3">
        <f>IF(C7="","",IFERROR(INDEX(Steps!$C$5:$C$62,MATCH(C7,Steps!$A$5:$A$62,0)),""))</f>
        <v/>
      </c>
      <c r="E7" s="6" t="inlineStr">
        <is>
          <t>Cruz (example)</t>
        </is>
      </c>
      <c r="F7" s="8" t="n">
        <v>0.5</v>
      </c>
      <c r="G7" s="6" t="inlineStr">
        <is>
          <t>Did it myself</t>
        </is>
      </c>
      <c r="H7" s="7" t="n"/>
      <c r="I7" s="6" t="inlineStr">
        <is>
          <t>Cruz (example)</t>
        </is>
      </c>
      <c r="J7" s="9" t="n"/>
      <c r="K7" s="11">
        <f>IF(C7="","",N(IFERROR(INDEX(Steps!$E$5:$E$62,MATCH(C7,Steps!$A$5:$A$62,0)),"")))</f>
        <v/>
      </c>
      <c r="L7" s="11">
        <f>IF(AND(C7&lt;&gt;"",E7&lt;&gt;"",I7&lt;&gt;"",OR(Settings!$B$10="No",I7&lt;&gt;E7)),K7*F7,0)</f>
        <v/>
      </c>
      <c r="M7" s="11">
        <f>IF(AND(AND(C7&lt;&gt;"",E7&lt;&gt;"",I7&lt;&gt;"",OR(Settings!$B$10="No",I7&lt;&gt;E7)),G7="Paid a pro",Settings!$B$9="Yes"),MAX(0,H7-K7*F7),0)</f>
        <v/>
      </c>
      <c r="N7" s="3">
        <f>IF(C7="","",IF(B7="","Enter the boat number",IF(B7&gt;Settings!$B$6,"Boat number above the boat count",IF(SUMIFS($F$5:$F$1004,$B$5:$B$1004,B7,$C$5:$C$1004,C7)&gt;1.0001,"Shares for this step add up to over 100%",IF(I7="","Waiting for sign-off",IF(AND(Settings!$B$10="Yes",I7=E7),"Needs a different member to sign off","OK"))))))</f>
        <v/>
      </c>
    </row>
    <row r="8">
      <c r="A8" s="9" t="n">
        <v>46438</v>
      </c>
      <c r="B8" s="6" t="n">
        <v>1</v>
      </c>
      <c r="C8" s="6" t="n">
        <v>17</v>
      </c>
      <c r="D8" s="3">
        <f>IF(C8="","",IFERROR(INDEX(Steps!$C$5:$C$62,MATCH(C8,Steps!$A$5:$A$62,0)),""))</f>
        <v/>
      </c>
      <c r="E8" s="6" t="inlineStr">
        <is>
          <t>Dana (example)</t>
        </is>
      </c>
      <c r="F8" s="8" t="n">
        <v>1</v>
      </c>
      <c r="G8" s="6" t="inlineStr">
        <is>
          <t>Paid a pro</t>
        </is>
      </c>
      <c r="H8" s="7" t="n">
        <v>2900</v>
      </c>
      <c r="I8" s="6" t="inlineStr">
        <is>
          <t>Alex (example)</t>
        </is>
      </c>
      <c r="J8" s="9" t="n"/>
      <c r="K8" s="11">
        <f>IF(C8="","",N(IFERROR(INDEX(Steps!$E$5:$E$62,MATCH(C8,Steps!$A$5:$A$62,0)),"")))</f>
        <v/>
      </c>
      <c r="L8" s="11">
        <f>IF(AND(C8&lt;&gt;"",E8&lt;&gt;"",I8&lt;&gt;"",OR(Settings!$B$10="No",I8&lt;&gt;E8)),K8*F8,0)</f>
        <v/>
      </c>
      <c r="M8" s="11">
        <f>IF(AND(AND(C8&lt;&gt;"",E8&lt;&gt;"",I8&lt;&gt;"",OR(Settings!$B$10="No",I8&lt;&gt;E8)),G8="Paid a pro",Settings!$B$9="Yes"),MAX(0,H8-K8*F8),0)</f>
        <v/>
      </c>
      <c r="N8" s="3">
        <f>IF(C8="","",IF(B8="","Enter the boat number",IF(B8&gt;Settings!$B$6,"Boat number above the boat count",IF(SUMIFS($F$5:$F$1004,$B$5:$B$1004,B8,$C$5:$C$1004,C8)&gt;1.0001,"Shares for this step add up to over 100%",IF(I8="","Waiting for sign-off",IF(AND(Settings!$B$10="Yes",I8=E8),"Needs a different member to sign off","OK"))))))</f>
        <v/>
      </c>
    </row>
    <row r="9">
      <c r="A9" s="9" t="n"/>
      <c r="B9" s="6" t="n"/>
      <c r="C9" s="6" t="n"/>
      <c r="D9" s="3">
        <f>IF(C9="","",IFERROR(INDEX(Steps!$C$5:$C$62,MATCH(C9,Steps!$A$5:$A$62,0)),""))</f>
        <v/>
      </c>
      <c r="E9" s="6" t="n"/>
      <c r="F9" s="8" t="n"/>
      <c r="G9" s="6" t="n"/>
      <c r="H9" s="7" t="n"/>
      <c r="I9" s="6" t="n"/>
      <c r="J9" s="9" t="n"/>
      <c r="K9" s="11">
        <f>IF(C9="","",N(IFERROR(INDEX(Steps!$E$5:$E$62,MATCH(C9,Steps!$A$5:$A$62,0)),"")))</f>
        <v/>
      </c>
      <c r="L9" s="11">
        <f>IF(AND(C9&lt;&gt;"",E9&lt;&gt;"",I9&lt;&gt;"",OR(Settings!$B$10="No",I9&lt;&gt;E9)),K9*F9,0)</f>
        <v/>
      </c>
      <c r="M9" s="11">
        <f>IF(AND(AND(C9&lt;&gt;"",E9&lt;&gt;"",I9&lt;&gt;"",OR(Settings!$B$10="No",I9&lt;&gt;E9)),G9="Paid a pro",Settings!$B$9="Yes"),MAX(0,H9-K9*F9),0)</f>
        <v/>
      </c>
      <c r="N9" s="3">
        <f>IF(C9="","",IF(B9="","Enter the boat number",IF(B9&gt;Settings!$B$6,"Boat number above the boat count",IF(SUMIFS($F$5:$F$1004,$B$5:$B$1004,B9,$C$5:$C$1004,C9)&gt;1.0001,"Shares for this step add up to over 100%",IF(I9="","Waiting for sign-off",IF(AND(Settings!$B$10="Yes",I9=E9),"Needs a different member to sign off","OK"))))))</f>
        <v/>
      </c>
    </row>
    <row r="10">
      <c r="A10" s="9" t="n"/>
      <c r="B10" s="6" t="n"/>
      <c r="C10" s="6" t="n"/>
      <c r="D10" s="3">
        <f>IF(C10="","",IFERROR(INDEX(Steps!$C$5:$C$62,MATCH(C10,Steps!$A$5:$A$62,0)),""))</f>
        <v/>
      </c>
      <c r="E10" s="6" t="n"/>
      <c r="F10" s="8" t="n"/>
      <c r="G10" s="6" t="n"/>
      <c r="H10" s="7" t="n"/>
      <c r="I10" s="6" t="n"/>
      <c r="J10" s="9" t="n"/>
      <c r="K10" s="11">
        <f>IF(C10="","",N(IFERROR(INDEX(Steps!$E$5:$E$62,MATCH(C10,Steps!$A$5:$A$62,0)),"")))</f>
        <v/>
      </c>
      <c r="L10" s="11">
        <f>IF(AND(C10&lt;&gt;"",E10&lt;&gt;"",I10&lt;&gt;"",OR(Settings!$B$10="No",I10&lt;&gt;E10)),K10*F10,0)</f>
        <v/>
      </c>
      <c r="M10" s="11">
        <f>IF(AND(AND(C10&lt;&gt;"",E10&lt;&gt;"",I10&lt;&gt;"",OR(Settings!$B$10="No",I10&lt;&gt;E10)),G10="Paid a pro",Settings!$B$9="Yes"),MAX(0,H10-K10*F10),0)</f>
        <v/>
      </c>
      <c r="N10" s="3">
        <f>IF(C10="","",IF(B10="","Enter the boat number",IF(B10&gt;Settings!$B$6,"Boat number above the boat count",IF(SUMIFS($F$5:$F$1004,$B$5:$B$1004,B10,$C$5:$C$1004,C10)&gt;1.0001,"Shares for this step add up to over 100%",IF(I10="","Waiting for sign-off",IF(AND(Settings!$B$10="Yes",I10=E10),"Needs a different member to sign off","OK"))))))</f>
        <v/>
      </c>
    </row>
    <row r="11">
      <c r="A11" s="9" t="n"/>
      <c r="B11" s="6" t="n"/>
      <c r="C11" s="6" t="n"/>
      <c r="D11" s="3">
        <f>IF(C11="","",IFERROR(INDEX(Steps!$C$5:$C$62,MATCH(C11,Steps!$A$5:$A$62,0)),""))</f>
        <v/>
      </c>
      <c r="E11" s="6" t="n"/>
      <c r="F11" s="8" t="n"/>
      <c r="G11" s="6" t="n"/>
      <c r="H11" s="7" t="n"/>
      <c r="I11" s="6" t="n"/>
      <c r="J11" s="9" t="n"/>
      <c r="K11" s="11">
        <f>IF(C11="","",N(IFERROR(INDEX(Steps!$E$5:$E$62,MATCH(C11,Steps!$A$5:$A$62,0)),"")))</f>
        <v/>
      </c>
      <c r="L11" s="11">
        <f>IF(AND(C11&lt;&gt;"",E11&lt;&gt;"",I11&lt;&gt;"",OR(Settings!$B$10="No",I11&lt;&gt;E11)),K11*F11,0)</f>
        <v/>
      </c>
      <c r="M11" s="11">
        <f>IF(AND(AND(C11&lt;&gt;"",E11&lt;&gt;"",I11&lt;&gt;"",OR(Settings!$B$10="No",I11&lt;&gt;E11)),G11="Paid a pro",Settings!$B$9="Yes"),MAX(0,H11-K11*F11),0)</f>
        <v/>
      </c>
      <c r="N11" s="3">
        <f>IF(C11="","",IF(B11="","Enter the boat number",IF(B11&gt;Settings!$B$6,"Boat number above the boat count",IF(SUMIFS($F$5:$F$1004,$B$5:$B$1004,B11,$C$5:$C$1004,C11)&gt;1.0001,"Shares for this step add up to over 100%",IF(I11="","Waiting for sign-off",IF(AND(Settings!$B$10="Yes",I11=E11),"Needs a different member to sign off","OK"))))))</f>
        <v/>
      </c>
    </row>
    <row r="12">
      <c r="A12" s="9" t="n"/>
      <c r="B12" s="6" t="n"/>
      <c r="C12" s="6" t="n"/>
      <c r="D12" s="3">
        <f>IF(C12="","",IFERROR(INDEX(Steps!$C$5:$C$62,MATCH(C12,Steps!$A$5:$A$62,0)),""))</f>
        <v/>
      </c>
      <c r="E12" s="6" t="n"/>
      <c r="F12" s="8" t="n"/>
      <c r="G12" s="6" t="n"/>
      <c r="H12" s="7" t="n"/>
      <c r="I12" s="6" t="n"/>
      <c r="J12" s="9" t="n"/>
      <c r="K12" s="11">
        <f>IF(C12="","",N(IFERROR(INDEX(Steps!$E$5:$E$62,MATCH(C12,Steps!$A$5:$A$62,0)),"")))</f>
        <v/>
      </c>
      <c r="L12" s="11">
        <f>IF(AND(C12&lt;&gt;"",E12&lt;&gt;"",I12&lt;&gt;"",OR(Settings!$B$10="No",I12&lt;&gt;E12)),K12*F12,0)</f>
        <v/>
      </c>
      <c r="M12" s="11">
        <f>IF(AND(AND(C12&lt;&gt;"",E12&lt;&gt;"",I12&lt;&gt;"",OR(Settings!$B$10="No",I12&lt;&gt;E12)),G12="Paid a pro",Settings!$B$9="Yes"),MAX(0,H12-K12*F12),0)</f>
        <v/>
      </c>
      <c r="N12" s="3">
        <f>IF(C12="","",IF(B12="","Enter the boat number",IF(B12&gt;Settings!$B$6,"Boat number above the boat count",IF(SUMIFS($F$5:$F$1004,$B$5:$B$1004,B12,$C$5:$C$1004,C12)&gt;1.0001,"Shares for this step add up to over 100%",IF(I12="","Waiting for sign-off",IF(AND(Settings!$B$10="Yes",I12=E12),"Needs a different member to sign off","OK"))))))</f>
        <v/>
      </c>
    </row>
    <row r="13">
      <c r="A13" s="9" t="n"/>
      <c r="B13" s="6" t="n"/>
      <c r="C13" s="6" t="n"/>
      <c r="D13" s="3">
        <f>IF(C13="","",IFERROR(INDEX(Steps!$C$5:$C$62,MATCH(C13,Steps!$A$5:$A$62,0)),""))</f>
        <v/>
      </c>
      <c r="E13" s="6" t="n"/>
      <c r="F13" s="8" t="n"/>
      <c r="G13" s="6" t="n"/>
      <c r="H13" s="7" t="n"/>
      <c r="I13" s="6" t="n"/>
      <c r="J13" s="9" t="n"/>
      <c r="K13" s="11">
        <f>IF(C13="","",N(IFERROR(INDEX(Steps!$E$5:$E$62,MATCH(C13,Steps!$A$5:$A$62,0)),"")))</f>
        <v/>
      </c>
      <c r="L13" s="11">
        <f>IF(AND(C13&lt;&gt;"",E13&lt;&gt;"",I13&lt;&gt;"",OR(Settings!$B$10="No",I13&lt;&gt;E13)),K13*F13,0)</f>
        <v/>
      </c>
      <c r="M13" s="11">
        <f>IF(AND(AND(C13&lt;&gt;"",E13&lt;&gt;"",I13&lt;&gt;"",OR(Settings!$B$10="No",I13&lt;&gt;E13)),G13="Paid a pro",Settings!$B$9="Yes"),MAX(0,H13-K13*F13),0)</f>
        <v/>
      </c>
      <c r="N13" s="3">
        <f>IF(C13="","",IF(B13="","Enter the boat number",IF(B13&gt;Settings!$B$6,"Boat number above the boat count",IF(SUMIFS($F$5:$F$1004,$B$5:$B$1004,B13,$C$5:$C$1004,C13)&gt;1.0001,"Shares for this step add up to over 100%",IF(I13="","Waiting for sign-off",IF(AND(Settings!$B$10="Yes",I13=E13),"Needs a different member to sign off","OK"))))))</f>
        <v/>
      </c>
    </row>
    <row r="14">
      <c r="A14" s="9" t="n"/>
      <c r="B14" s="6" t="n"/>
      <c r="C14" s="6" t="n"/>
      <c r="D14" s="3">
        <f>IF(C14="","",IFERROR(INDEX(Steps!$C$5:$C$62,MATCH(C14,Steps!$A$5:$A$62,0)),""))</f>
        <v/>
      </c>
      <c r="E14" s="6" t="n"/>
      <c r="F14" s="8" t="n"/>
      <c r="G14" s="6" t="n"/>
      <c r="H14" s="7" t="n"/>
      <c r="I14" s="6" t="n"/>
      <c r="J14" s="9" t="n"/>
      <c r="K14" s="11">
        <f>IF(C14="","",N(IFERROR(INDEX(Steps!$E$5:$E$62,MATCH(C14,Steps!$A$5:$A$62,0)),"")))</f>
        <v/>
      </c>
      <c r="L14" s="11">
        <f>IF(AND(C14&lt;&gt;"",E14&lt;&gt;"",I14&lt;&gt;"",OR(Settings!$B$10="No",I14&lt;&gt;E14)),K14*F14,0)</f>
        <v/>
      </c>
      <c r="M14" s="11">
        <f>IF(AND(AND(C14&lt;&gt;"",E14&lt;&gt;"",I14&lt;&gt;"",OR(Settings!$B$10="No",I14&lt;&gt;E14)),G14="Paid a pro",Settings!$B$9="Yes"),MAX(0,H14-K14*F14),0)</f>
        <v/>
      </c>
      <c r="N14" s="3">
        <f>IF(C14="","",IF(B14="","Enter the boat number",IF(B14&gt;Settings!$B$6,"Boat number above the boat count",IF(SUMIFS($F$5:$F$1004,$B$5:$B$1004,B14,$C$5:$C$1004,C14)&gt;1.0001,"Shares for this step add up to over 100%",IF(I14="","Waiting for sign-off",IF(AND(Settings!$B$10="Yes",I14=E14),"Needs a different member to sign off","OK"))))))</f>
        <v/>
      </c>
    </row>
    <row r="15">
      <c r="A15" s="9" t="n"/>
      <c r="B15" s="6" t="n"/>
      <c r="C15" s="6" t="n"/>
      <c r="D15" s="3">
        <f>IF(C15="","",IFERROR(INDEX(Steps!$C$5:$C$62,MATCH(C15,Steps!$A$5:$A$62,0)),""))</f>
        <v/>
      </c>
      <c r="E15" s="6" t="n"/>
      <c r="F15" s="8" t="n"/>
      <c r="G15" s="6" t="n"/>
      <c r="H15" s="7" t="n"/>
      <c r="I15" s="6" t="n"/>
      <c r="J15" s="9" t="n"/>
      <c r="K15" s="11">
        <f>IF(C15="","",N(IFERROR(INDEX(Steps!$E$5:$E$62,MATCH(C15,Steps!$A$5:$A$62,0)),"")))</f>
        <v/>
      </c>
      <c r="L15" s="11">
        <f>IF(AND(C15&lt;&gt;"",E15&lt;&gt;"",I15&lt;&gt;"",OR(Settings!$B$10="No",I15&lt;&gt;E15)),K15*F15,0)</f>
        <v/>
      </c>
      <c r="M15" s="11">
        <f>IF(AND(AND(C15&lt;&gt;"",E15&lt;&gt;"",I15&lt;&gt;"",OR(Settings!$B$10="No",I15&lt;&gt;E15)),G15="Paid a pro",Settings!$B$9="Yes"),MAX(0,H15-K15*F15),0)</f>
        <v/>
      </c>
      <c r="N15" s="3">
        <f>IF(C15="","",IF(B15="","Enter the boat number",IF(B15&gt;Settings!$B$6,"Boat number above the boat count",IF(SUMIFS($F$5:$F$1004,$B$5:$B$1004,B15,$C$5:$C$1004,C15)&gt;1.0001,"Shares for this step add up to over 100%",IF(I15="","Waiting for sign-off",IF(AND(Settings!$B$10="Yes",I15=E15),"Needs a different member to sign off","OK"))))))</f>
        <v/>
      </c>
    </row>
    <row r="16">
      <c r="A16" s="9" t="n"/>
      <c r="B16" s="6" t="n"/>
      <c r="C16" s="6" t="n"/>
      <c r="D16" s="3">
        <f>IF(C16="","",IFERROR(INDEX(Steps!$C$5:$C$62,MATCH(C16,Steps!$A$5:$A$62,0)),""))</f>
        <v/>
      </c>
      <c r="E16" s="6" t="n"/>
      <c r="F16" s="8" t="n"/>
      <c r="G16" s="6" t="n"/>
      <c r="H16" s="7" t="n"/>
      <c r="I16" s="6" t="n"/>
      <c r="J16" s="9" t="n"/>
      <c r="K16" s="11">
        <f>IF(C16="","",N(IFERROR(INDEX(Steps!$E$5:$E$62,MATCH(C16,Steps!$A$5:$A$62,0)),"")))</f>
        <v/>
      </c>
      <c r="L16" s="11">
        <f>IF(AND(C16&lt;&gt;"",E16&lt;&gt;"",I16&lt;&gt;"",OR(Settings!$B$10="No",I16&lt;&gt;E16)),K16*F16,0)</f>
        <v/>
      </c>
      <c r="M16" s="11">
        <f>IF(AND(AND(C16&lt;&gt;"",E16&lt;&gt;"",I16&lt;&gt;"",OR(Settings!$B$10="No",I16&lt;&gt;E16)),G16="Paid a pro",Settings!$B$9="Yes"),MAX(0,H16-K16*F16),0)</f>
        <v/>
      </c>
      <c r="N16" s="3">
        <f>IF(C16="","",IF(B16="","Enter the boat number",IF(B16&gt;Settings!$B$6,"Boat number above the boat count",IF(SUMIFS($F$5:$F$1004,$B$5:$B$1004,B16,$C$5:$C$1004,C16)&gt;1.0001,"Shares for this step add up to over 100%",IF(I16="","Waiting for sign-off",IF(AND(Settings!$B$10="Yes",I16=E16),"Needs a different member to sign off","OK"))))))</f>
        <v/>
      </c>
    </row>
    <row r="17">
      <c r="A17" s="9" t="n"/>
      <c r="B17" s="6" t="n"/>
      <c r="C17" s="6" t="n"/>
      <c r="D17" s="3">
        <f>IF(C17="","",IFERROR(INDEX(Steps!$C$5:$C$62,MATCH(C17,Steps!$A$5:$A$62,0)),""))</f>
        <v/>
      </c>
      <c r="E17" s="6" t="n"/>
      <c r="F17" s="8" t="n"/>
      <c r="G17" s="6" t="n"/>
      <c r="H17" s="7" t="n"/>
      <c r="I17" s="6" t="n"/>
      <c r="J17" s="9" t="n"/>
      <c r="K17" s="11">
        <f>IF(C17="","",N(IFERROR(INDEX(Steps!$E$5:$E$62,MATCH(C17,Steps!$A$5:$A$62,0)),"")))</f>
        <v/>
      </c>
      <c r="L17" s="11">
        <f>IF(AND(C17&lt;&gt;"",E17&lt;&gt;"",I17&lt;&gt;"",OR(Settings!$B$10="No",I17&lt;&gt;E17)),K17*F17,0)</f>
        <v/>
      </c>
      <c r="M17" s="11">
        <f>IF(AND(AND(C17&lt;&gt;"",E17&lt;&gt;"",I17&lt;&gt;"",OR(Settings!$B$10="No",I17&lt;&gt;E17)),G17="Paid a pro",Settings!$B$9="Yes"),MAX(0,H17-K17*F17),0)</f>
        <v/>
      </c>
      <c r="N17" s="3">
        <f>IF(C17="","",IF(B17="","Enter the boat number",IF(B17&gt;Settings!$B$6,"Boat number above the boat count",IF(SUMIFS($F$5:$F$1004,$B$5:$B$1004,B17,$C$5:$C$1004,C17)&gt;1.0001,"Shares for this step add up to over 100%",IF(I17="","Waiting for sign-off",IF(AND(Settings!$B$10="Yes",I17=E17),"Needs a different member to sign off","OK"))))))</f>
        <v/>
      </c>
    </row>
    <row r="18">
      <c r="A18" s="9" t="n"/>
      <c r="B18" s="6" t="n"/>
      <c r="C18" s="6" t="n"/>
      <c r="D18" s="3">
        <f>IF(C18="","",IFERROR(INDEX(Steps!$C$5:$C$62,MATCH(C18,Steps!$A$5:$A$62,0)),""))</f>
        <v/>
      </c>
      <c r="E18" s="6" t="n"/>
      <c r="F18" s="8" t="n"/>
      <c r="G18" s="6" t="n"/>
      <c r="H18" s="7" t="n"/>
      <c r="I18" s="6" t="n"/>
      <c r="J18" s="9" t="n"/>
      <c r="K18" s="11">
        <f>IF(C18="","",N(IFERROR(INDEX(Steps!$E$5:$E$62,MATCH(C18,Steps!$A$5:$A$62,0)),"")))</f>
        <v/>
      </c>
      <c r="L18" s="11">
        <f>IF(AND(C18&lt;&gt;"",E18&lt;&gt;"",I18&lt;&gt;"",OR(Settings!$B$10="No",I18&lt;&gt;E18)),K18*F18,0)</f>
        <v/>
      </c>
      <c r="M18" s="11">
        <f>IF(AND(AND(C18&lt;&gt;"",E18&lt;&gt;"",I18&lt;&gt;"",OR(Settings!$B$10="No",I18&lt;&gt;E18)),G18="Paid a pro",Settings!$B$9="Yes"),MAX(0,H18-K18*F18),0)</f>
        <v/>
      </c>
      <c r="N18" s="3">
        <f>IF(C18="","",IF(B18="","Enter the boat number",IF(B18&gt;Settings!$B$6,"Boat number above the boat count",IF(SUMIFS($F$5:$F$1004,$B$5:$B$1004,B18,$C$5:$C$1004,C18)&gt;1.0001,"Shares for this step add up to over 100%",IF(I18="","Waiting for sign-off",IF(AND(Settings!$B$10="Yes",I18=E18),"Needs a different member to sign off","OK"))))))</f>
        <v/>
      </c>
    </row>
    <row r="19">
      <c r="A19" s="9" t="n"/>
      <c r="B19" s="6" t="n"/>
      <c r="C19" s="6" t="n"/>
      <c r="D19" s="3">
        <f>IF(C19="","",IFERROR(INDEX(Steps!$C$5:$C$62,MATCH(C19,Steps!$A$5:$A$62,0)),""))</f>
        <v/>
      </c>
      <c r="E19" s="6" t="n"/>
      <c r="F19" s="8" t="n"/>
      <c r="G19" s="6" t="n"/>
      <c r="H19" s="7" t="n"/>
      <c r="I19" s="6" t="n"/>
      <c r="J19" s="9" t="n"/>
      <c r="K19" s="11">
        <f>IF(C19="","",N(IFERROR(INDEX(Steps!$E$5:$E$62,MATCH(C19,Steps!$A$5:$A$62,0)),"")))</f>
        <v/>
      </c>
      <c r="L19" s="11">
        <f>IF(AND(C19&lt;&gt;"",E19&lt;&gt;"",I19&lt;&gt;"",OR(Settings!$B$10="No",I19&lt;&gt;E19)),K19*F19,0)</f>
        <v/>
      </c>
      <c r="M19" s="11">
        <f>IF(AND(AND(C19&lt;&gt;"",E19&lt;&gt;"",I19&lt;&gt;"",OR(Settings!$B$10="No",I19&lt;&gt;E19)),G19="Paid a pro",Settings!$B$9="Yes"),MAX(0,H19-K19*F19),0)</f>
        <v/>
      </c>
      <c r="N19" s="3">
        <f>IF(C19="","",IF(B19="","Enter the boat number",IF(B19&gt;Settings!$B$6,"Boat number above the boat count",IF(SUMIFS($F$5:$F$1004,$B$5:$B$1004,B19,$C$5:$C$1004,C19)&gt;1.0001,"Shares for this step add up to over 100%",IF(I19="","Waiting for sign-off",IF(AND(Settings!$B$10="Yes",I19=E19),"Needs a different member to sign off","OK"))))))</f>
        <v/>
      </c>
    </row>
    <row r="20">
      <c r="A20" s="9" t="n"/>
      <c r="B20" s="6" t="n"/>
      <c r="C20" s="6" t="n"/>
      <c r="D20" s="3">
        <f>IF(C20="","",IFERROR(INDEX(Steps!$C$5:$C$62,MATCH(C20,Steps!$A$5:$A$62,0)),""))</f>
        <v/>
      </c>
      <c r="E20" s="6" t="n"/>
      <c r="F20" s="8" t="n"/>
      <c r="G20" s="6" t="n"/>
      <c r="H20" s="7" t="n"/>
      <c r="I20" s="6" t="n"/>
      <c r="J20" s="9" t="n"/>
      <c r="K20" s="11">
        <f>IF(C20="","",N(IFERROR(INDEX(Steps!$E$5:$E$62,MATCH(C20,Steps!$A$5:$A$62,0)),"")))</f>
        <v/>
      </c>
      <c r="L20" s="11">
        <f>IF(AND(C20&lt;&gt;"",E20&lt;&gt;"",I20&lt;&gt;"",OR(Settings!$B$10="No",I20&lt;&gt;E20)),K20*F20,0)</f>
        <v/>
      </c>
      <c r="M20" s="11">
        <f>IF(AND(AND(C20&lt;&gt;"",E20&lt;&gt;"",I20&lt;&gt;"",OR(Settings!$B$10="No",I20&lt;&gt;E20)),G20="Paid a pro",Settings!$B$9="Yes"),MAX(0,H20-K20*F20),0)</f>
        <v/>
      </c>
      <c r="N20" s="3">
        <f>IF(C20="","",IF(B20="","Enter the boat number",IF(B20&gt;Settings!$B$6,"Boat number above the boat count",IF(SUMIFS($F$5:$F$1004,$B$5:$B$1004,B20,$C$5:$C$1004,C20)&gt;1.0001,"Shares for this step add up to over 100%",IF(I20="","Waiting for sign-off",IF(AND(Settings!$B$10="Yes",I20=E20),"Needs a different member to sign off","OK"))))))</f>
        <v/>
      </c>
    </row>
    <row r="21">
      <c r="A21" s="9" t="n"/>
      <c r="B21" s="6" t="n"/>
      <c r="C21" s="6" t="n"/>
      <c r="D21" s="3">
        <f>IF(C21="","",IFERROR(INDEX(Steps!$C$5:$C$62,MATCH(C21,Steps!$A$5:$A$62,0)),""))</f>
        <v/>
      </c>
      <c r="E21" s="6" t="n"/>
      <c r="F21" s="8" t="n"/>
      <c r="G21" s="6" t="n"/>
      <c r="H21" s="7" t="n"/>
      <c r="I21" s="6" t="n"/>
      <c r="J21" s="9" t="n"/>
      <c r="K21" s="11">
        <f>IF(C21="","",N(IFERROR(INDEX(Steps!$E$5:$E$62,MATCH(C21,Steps!$A$5:$A$62,0)),"")))</f>
        <v/>
      </c>
      <c r="L21" s="11">
        <f>IF(AND(C21&lt;&gt;"",E21&lt;&gt;"",I21&lt;&gt;"",OR(Settings!$B$10="No",I21&lt;&gt;E21)),K21*F21,0)</f>
        <v/>
      </c>
      <c r="M21" s="11">
        <f>IF(AND(AND(C21&lt;&gt;"",E21&lt;&gt;"",I21&lt;&gt;"",OR(Settings!$B$10="No",I21&lt;&gt;E21)),G21="Paid a pro",Settings!$B$9="Yes"),MAX(0,H21-K21*F21),0)</f>
        <v/>
      </c>
      <c r="N21" s="3">
        <f>IF(C21="","",IF(B21="","Enter the boat number",IF(B21&gt;Settings!$B$6,"Boat number above the boat count",IF(SUMIFS($F$5:$F$1004,$B$5:$B$1004,B21,$C$5:$C$1004,C21)&gt;1.0001,"Shares for this step add up to over 100%",IF(I21="","Waiting for sign-off",IF(AND(Settings!$B$10="Yes",I21=E21),"Needs a different member to sign off","OK"))))))</f>
        <v/>
      </c>
    </row>
    <row r="22">
      <c r="A22" s="9" t="n"/>
      <c r="B22" s="6" t="n"/>
      <c r="C22" s="6" t="n"/>
      <c r="D22" s="3">
        <f>IF(C22="","",IFERROR(INDEX(Steps!$C$5:$C$62,MATCH(C22,Steps!$A$5:$A$62,0)),""))</f>
        <v/>
      </c>
      <c r="E22" s="6" t="n"/>
      <c r="F22" s="8" t="n"/>
      <c r="G22" s="6" t="n"/>
      <c r="H22" s="7" t="n"/>
      <c r="I22" s="6" t="n"/>
      <c r="J22" s="9" t="n"/>
      <c r="K22" s="11">
        <f>IF(C22="","",N(IFERROR(INDEX(Steps!$E$5:$E$62,MATCH(C22,Steps!$A$5:$A$62,0)),"")))</f>
        <v/>
      </c>
      <c r="L22" s="11">
        <f>IF(AND(C22&lt;&gt;"",E22&lt;&gt;"",I22&lt;&gt;"",OR(Settings!$B$10="No",I22&lt;&gt;E22)),K22*F22,0)</f>
        <v/>
      </c>
      <c r="M22" s="11">
        <f>IF(AND(AND(C22&lt;&gt;"",E22&lt;&gt;"",I22&lt;&gt;"",OR(Settings!$B$10="No",I22&lt;&gt;E22)),G22="Paid a pro",Settings!$B$9="Yes"),MAX(0,H22-K22*F22),0)</f>
        <v/>
      </c>
      <c r="N22" s="3">
        <f>IF(C22="","",IF(B22="","Enter the boat number",IF(B22&gt;Settings!$B$6,"Boat number above the boat count",IF(SUMIFS($F$5:$F$1004,$B$5:$B$1004,B22,$C$5:$C$1004,C22)&gt;1.0001,"Shares for this step add up to over 100%",IF(I22="","Waiting for sign-off",IF(AND(Settings!$B$10="Yes",I22=E22),"Needs a different member to sign off","OK"))))))</f>
        <v/>
      </c>
    </row>
    <row r="23">
      <c r="A23" s="9" t="n"/>
      <c r="B23" s="6" t="n"/>
      <c r="C23" s="6" t="n"/>
      <c r="D23" s="3">
        <f>IF(C23="","",IFERROR(INDEX(Steps!$C$5:$C$62,MATCH(C23,Steps!$A$5:$A$62,0)),""))</f>
        <v/>
      </c>
      <c r="E23" s="6" t="n"/>
      <c r="F23" s="8" t="n"/>
      <c r="G23" s="6" t="n"/>
      <c r="H23" s="7" t="n"/>
      <c r="I23" s="6" t="n"/>
      <c r="J23" s="9" t="n"/>
      <c r="K23" s="11">
        <f>IF(C23="","",N(IFERROR(INDEX(Steps!$E$5:$E$62,MATCH(C23,Steps!$A$5:$A$62,0)),"")))</f>
        <v/>
      </c>
      <c r="L23" s="11">
        <f>IF(AND(C23&lt;&gt;"",E23&lt;&gt;"",I23&lt;&gt;"",OR(Settings!$B$10="No",I23&lt;&gt;E23)),K23*F23,0)</f>
        <v/>
      </c>
      <c r="M23" s="11">
        <f>IF(AND(AND(C23&lt;&gt;"",E23&lt;&gt;"",I23&lt;&gt;"",OR(Settings!$B$10="No",I23&lt;&gt;E23)),G23="Paid a pro",Settings!$B$9="Yes"),MAX(0,H23-K23*F23),0)</f>
        <v/>
      </c>
      <c r="N23" s="3">
        <f>IF(C23="","",IF(B23="","Enter the boat number",IF(B23&gt;Settings!$B$6,"Boat number above the boat count",IF(SUMIFS($F$5:$F$1004,$B$5:$B$1004,B23,$C$5:$C$1004,C23)&gt;1.0001,"Shares for this step add up to over 100%",IF(I23="","Waiting for sign-off",IF(AND(Settings!$B$10="Yes",I23=E23),"Needs a different member to sign off","OK"))))))</f>
        <v/>
      </c>
    </row>
    <row r="24">
      <c r="A24" s="9" t="n"/>
      <c r="B24" s="6" t="n"/>
      <c r="C24" s="6" t="n"/>
      <c r="D24" s="3">
        <f>IF(C24="","",IFERROR(INDEX(Steps!$C$5:$C$62,MATCH(C24,Steps!$A$5:$A$62,0)),""))</f>
        <v/>
      </c>
      <c r="E24" s="6" t="n"/>
      <c r="F24" s="8" t="n"/>
      <c r="G24" s="6" t="n"/>
      <c r="H24" s="7" t="n"/>
      <c r="I24" s="6" t="n"/>
      <c r="J24" s="9" t="n"/>
      <c r="K24" s="11">
        <f>IF(C24="","",N(IFERROR(INDEX(Steps!$E$5:$E$62,MATCH(C24,Steps!$A$5:$A$62,0)),"")))</f>
        <v/>
      </c>
      <c r="L24" s="11">
        <f>IF(AND(C24&lt;&gt;"",E24&lt;&gt;"",I24&lt;&gt;"",OR(Settings!$B$10="No",I24&lt;&gt;E24)),K24*F24,0)</f>
        <v/>
      </c>
      <c r="M24" s="11">
        <f>IF(AND(AND(C24&lt;&gt;"",E24&lt;&gt;"",I24&lt;&gt;"",OR(Settings!$B$10="No",I24&lt;&gt;E24)),G24="Paid a pro",Settings!$B$9="Yes"),MAX(0,H24-K24*F24),0)</f>
        <v/>
      </c>
      <c r="N24" s="3">
        <f>IF(C24="","",IF(B24="","Enter the boat number",IF(B24&gt;Settings!$B$6,"Boat number above the boat count",IF(SUMIFS($F$5:$F$1004,$B$5:$B$1004,B24,$C$5:$C$1004,C24)&gt;1.0001,"Shares for this step add up to over 100%",IF(I24="","Waiting for sign-off",IF(AND(Settings!$B$10="Yes",I24=E24),"Needs a different member to sign off","OK"))))))</f>
        <v/>
      </c>
    </row>
    <row r="25">
      <c r="A25" s="9" t="n"/>
      <c r="B25" s="6" t="n"/>
      <c r="C25" s="6" t="n"/>
      <c r="D25" s="3">
        <f>IF(C25="","",IFERROR(INDEX(Steps!$C$5:$C$62,MATCH(C25,Steps!$A$5:$A$62,0)),""))</f>
        <v/>
      </c>
      <c r="E25" s="6" t="n"/>
      <c r="F25" s="8" t="n"/>
      <c r="G25" s="6" t="n"/>
      <c r="H25" s="7" t="n"/>
      <c r="I25" s="6" t="n"/>
      <c r="J25" s="9" t="n"/>
      <c r="K25" s="11">
        <f>IF(C25="","",N(IFERROR(INDEX(Steps!$E$5:$E$62,MATCH(C25,Steps!$A$5:$A$62,0)),"")))</f>
        <v/>
      </c>
      <c r="L25" s="11">
        <f>IF(AND(C25&lt;&gt;"",E25&lt;&gt;"",I25&lt;&gt;"",OR(Settings!$B$10="No",I25&lt;&gt;E25)),K25*F25,0)</f>
        <v/>
      </c>
      <c r="M25" s="11">
        <f>IF(AND(AND(C25&lt;&gt;"",E25&lt;&gt;"",I25&lt;&gt;"",OR(Settings!$B$10="No",I25&lt;&gt;E25)),G25="Paid a pro",Settings!$B$9="Yes"),MAX(0,H25-K25*F25),0)</f>
        <v/>
      </c>
      <c r="N25" s="3">
        <f>IF(C25="","",IF(B25="","Enter the boat number",IF(B25&gt;Settings!$B$6,"Boat number above the boat count",IF(SUMIFS($F$5:$F$1004,$B$5:$B$1004,B25,$C$5:$C$1004,C25)&gt;1.0001,"Shares for this step add up to over 100%",IF(I25="","Waiting for sign-off",IF(AND(Settings!$B$10="Yes",I25=E25),"Needs a different member to sign off","OK"))))))</f>
        <v/>
      </c>
    </row>
    <row r="26">
      <c r="A26" s="9" t="n"/>
      <c r="B26" s="6" t="n"/>
      <c r="C26" s="6" t="n"/>
      <c r="D26" s="3">
        <f>IF(C26="","",IFERROR(INDEX(Steps!$C$5:$C$62,MATCH(C26,Steps!$A$5:$A$62,0)),""))</f>
        <v/>
      </c>
      <c r="E26" s="6" t="n"/>
      <c r="F26" s="8" t="n"/>
      <c r="G26" s="6" t="n"/>
      <c r="H26" s="7" t="n"/>
      <c r="I26" s="6" t="n"/>
      <c r="J26" s="9" t="n"/>
      <c r="K26" s="11">
        <f>IF(C26="","",N(IFERROR(INDEX(Steps!$E$5:$E$62,MATCH(C26,Steps!$A$5:$A$62,0)),"")))</f>
        <v/>
      </c>
      <c r="L26" s="11">
        <f>IF(AND(C26&lt;&gt;"",E26&lt;&gt;"",I26&lt;&gt;"",OR(Settings!$B$10="No",I26&lt;&gt;E26)),K26*F26,0)</f>
        <v/>
      </c>
      <c r="M26" s="11">
        <f>IF(AND(AND(C26&lt;&gt;"",E26&lt;&gt;"",I26&lt;&gt;"",OR(Settings!$B$10="No",I26&lt;&gt;E26)),G26="Paid a pro",Settings!$B$9="Yes"),MAX(0,H26-K26*F26),0)</f>
        <v/>
      </c>
      <c r="N26" s="3">
        <f>IF(C26="","",IF(B26="","Enter the boat number",IF(B26&gt;Settings!$B$6,"Boat number above the boat count",IF(SUMIFS($F$5:$F$1004,$B$5:$B$1004,B26,$C$5:$C$1004,C26)&gt;1.0001,"Shares for this step add up to over 100%",IF(I26="","Waiting for sign-off",IF(AND(Settings!$B$10="Yes",I26=E26),"Needs a different member to sign off","OK"))))))</f>
        <v/>
      </c>
    </row>
    <row r="27">
      <c r="A27" s="9" t="n"/>
      <c r="B27" s="6" t="n"/>
      <c r="C27" s="6" t="n"/>
      <c r="D27" s="3">
        <f>IF(C27="","",IFERROR(INDEX(Steps!$C$5:$C$62,MATCH(C27,Steps!$A$5:$A$62,0)),""))</f>
        <v/>
      </c>
      <c r="E27" s="6" t="n"/>
      <c r="F27" s="8" t="n"/>
      <c r="G27" s="6" t="n"/>
      <c r="H27" s="7" t="n"/>
      <c r="I27" s="6" t="n"/>
      <c r="J27" s="9" t="n"/>
      <c r="K27" s="11">
        <f>IF(C27="","",N(IFERROR(INDEX(Steps!$E$5:$E$62,MATCH(C27,Steps!$A$5:$A$62,0)),"")))</f>
        <v/>
      </c>
      <c r="L27" s="11">
        <f>IF(AND(C27&lt;&gt;"",E27&lt;&gt;"",I27&lt;&gt;"",OR(Settings!$B$10="No",I27&lt;&gt;E27)),K27*F27,0)</f>
        <v/>
      </c>
      <c r="M27" s="11">
        <f>IF(AND(AND(C27&lt;&gt;"",E27&lt;&gt;"",I27&lt;&gt;"",OR(Settings!$B$10="No",I27&lt;&gt;E27)),G27="Paid a pro",Settings!$B$9="Yes"),MAX(0,H27-K27*F27),0)</f>
        <v/>
      </c>
      <c r="N27" s="3">
        <f>IF(C27="","",IF(B27="","Enter the boat number",IF(B27&gt;Settings!$B$6,"Boat number above the boat count",IF(SUMIFS($F$5:$F$1004,$B$5:$B$1004,B27,$C$5:$C$1004,C27)&gt;1.0001,"Shares for this step add up to over 100%",IF(I27="","Waiting for sign-off",IF(AND(Settings!$B$10="Yes",I27=E27),"Needs a different member to sign off","OK"))))))</f>
        <v/>
      </c>
    </row>
    <row r="28">
      <c r="A28" s="9" t="n"/>
      <c r="B28" s="6" t="n"/>
      <c r="C28" s="6" t="n"/>
      <c r="D28" s="3">
        <f>IF(C28="","",IFERROR(INDEX(Steps!$C$5:$C$62,MATCH(C28,Steps!$A$5:$A$62,0)),""))</f>
        <v/>
      </c>
      <c r="E28" s="6" t="n"/>
      <c r="F28" s="8" t="n"/>
      <c r="G28" s="6" t="n"/>
      <c r="H28" s="7" t="n"/>
      <c r="I28" s="6" t="n"/>
      <c r="J28" s="9" t="n"/>
      <c r="K28" s="11">
        <f>IF(C28="","",N(IFERROR(INDEX(Steps!$E$5:$E$62,MATCH(C28,Steps!$A$5:$A$62,0)),"")))</f>
        <v/>
      </c>
      <c r="L28" s="11">
        <f>IF(AND(C28&lt;&gt;"",E28&lt;&gt;"",I28&lt;&gt;"",OR(Settings!$B$10="No",I28&lt;&gt;E28)),K28*F28,0)</f>
        <v/>
      </c>
      <c r="M28" s="11">
        <f>IF(AND(AND(C28&lt;&gt;"",E28&lt;&gt;"",I28&lt;&gt;"",OR(Settings!$B$10="No",I28&lt;&gt;E28)),G28="Paid a pro",Settings!$B$9="Yes"),MAX(0,H28-K28*F28),0)</f>
        <v/>
      </c>
      <c r="N28" s="3">
        <f>IF(C28="","",IF(B28="","Enter the boat number",IF(B28&gt;Settings!$B$6,"Boat number above the boat count",IF(SUMIFS($F$5:$F$1004,$B$5:$B$1004,B28,$C$5:$C$1004,C28)&gt;1.0001,"Shares for this step add up to over 100%",IF(I28="","Waiting for sign-off",IF(AND(Settings!$B$10="Yes",I28=E28),"Needs a different member to sign off","OK"))))))</f>
        <v/>
      </c>
    </row>
    <row r="29">
      <c r="A29" s="9" t="n"/>
      <c r="B29" s="6" t="n"/>
      <c r="C29" s="6" t="n"/>
      <c r="D29" s="3">
        <f>IF(C29="","",IFERROR(INDEX(Steps!$C$5:$C$62,MATCH(C29,Steps!$A$5:$A$62,0)),""))</f>
        <v/>
      </c>
      <c r="E29" s="6" t="n"/>
      <c r="F29" s="8" t="n"/>
      <c r="G29" s="6" t="n"/>
      <c r="H29" s="7" t="n"/>
      <c r="I29" s="6" t="n"/>
      <c r="J29" s="9" t="n"/>
      <c r="K29" s="11">
        <f>IF(C29="","",N(IFERROR(INDEX(Steps!$E$5:$E$62,MATCH(C29,Steps!$A$5:$A$62,0)),"")))</f>
        <v/>
      </c>
      <c r="L29" s="11">
        <f>IF(AND(C29&lt;&gt;"",E29&lt;&gt;"",I29&lt;&gt;"",OR(Settings!$B$10="No",I29&lt;&gt;E29)),K29*F29,0)</f>
        <v/>
      </c>
      <c r="M29" s="11">
        <f>IF(AND(AND(C29&lt;&gt;"",E29&lt;&gt;"",I29&lt;&gt;"",OR(Settings!$B$10="No",I29&lt;&gt;E29)),G29="Paid a pro",Settings!$B$9="Yes"),MAX(0,H29-K29*F29),0)</f>
        <v/>
      </c>
      <c r="N29" s="3">
        <f>IF(C29="","",IF(B29="","Enter the boat number",IF(B29&gt;Settings!$B$6,"Boat number above the boat count",IF(SUMIFS($F$5:$F$1004,$B$5:$B$1004,B29,$C$5:$C$1004,C29)&gt;1.0001,"Shares for this step add up to over 100%",IF(I29="","Waiting for sign-off",IF(AND(Settings!$B$10="Yes",I29=E29),"Needs a different member to sign off","OK"))))))</f>
        <v/>
      </c>
    </row>
    <row r="30">
      <c r="A30" s="9" t="n"/>
      <c r="B30" s="6" t="n"/>
      <c r="C30" s="6" t="n"/>
      <c r="D30" s="3">
        <f>IF(C30="","",IFERROR(INDEX(Steps!$C$5:$C$62,MATCH(C30,Steps!$A$5:$A$62,0)),""))</f>
        <v/>
      </c>
      <c r="E30" s="6" t="n"/>
      <c r="F30" s="8" t="n"/>
      <c r="G30" s="6" t="n"/>
      <c r="H30" s="7" t="n"/>
      <c r="I30" s="6" t="n"/>
      <c r="J30" s="9" t="n"/>
      <c r="K30" s="11">
        <f>IF(C30="","",N(IFERROR(INDEX(Steps!$E$5:$E$62,MATCH(C30,Steps!$A$5:$A$62,0)),"")))</f>
        <v/>
      </c>
      <c r="L30" s="11">
        <f>IF(AND(C30&lt;&gt;"",E30&lt;&gt;"",I30&lt;&gt;"",OR(Settings!$B$10="No",I30&lt;&gt;E30)),K30*F30,0)</f>
        <v/>
      </c>
      <c r="M30" s="11">
        <f>IF(AND(AND(C30&lt;&gt;"",E30&lt;&gt;"",I30&lt;&gt;"",OR(Settings!$B$10="No",I30&lt;&gt;E30)),G30="Paid a pro",Settings!$B$9="Yes"),MAX(0,H30-K30*F30),0)</f>
        <v/>
      </c>
      <c r="N30" s="3">
        <f>IF(C30="","",IF(B30="","Enter the boat number",IF(B30&gt;Settings!$B$6,"Boat number above the boat count",IF(SUMIFS($F$5:$F$1004,$B$5:$B$1004,B30,$C$5:$C$1004,C30)&gt;1.0001,"Shares for this step add up to over 100%",IF(I30="","Waiting for sign-off",IF(AND(Settings!$B$10="Yes",I30=E30),"Needs a different member to sign off","OK"))))))</f>
        <v/>
      </c>
    </row>
    <row r="31">
      <c r="A31" s="9" t="n"/>
      <c r="B31" s="6" t="n"/>
      <c r="C31" s="6" t="n"/>
      <c r="D31" s="3">
        <f>IF(C31="","",IFERROR(INDEX(Steps!$C$5:$C$62,MATCH(C31,Steps!$A$5:$A$62,0)),""))</f>
        <v/>
      </c>
      <c r="E31" s="6" t="n"/>
      <c r="F31" s="8" t="n"/>
      <c r="G31" s="6" t="n"/>
      <c r="H31" s="7" t="n"/>
      <c r="I31" s="6" t="n"/>
      <c r="J31" s="9" t="n"/>
      <c r="K31" s="11">
        <f>IF(C31="","",N(IFERROR(INDEX(Steps!$E$5:$E$62,MATCH(C31,Steps!$A$5:$A$62,0)),"")))</f>
        <v/>
      </c>
      <c r="L31" s="11">
        <f>IF(AND(C31&lt;&gt;"",E31&lt;&gt;"",I31&lt;&gt;"",OR(Settings!$B$10="No",I31&lt;&gt;E31)),K31*F31,0)</f>
        <v/>
      </c>
      <c r="M31" s="11">
        <f>IF(AND(AND(C31&lt;&gt;"",E31&lt;&gt;"",I31&lt;&gt;"",OR(Settings!$B$10="No",I31&lt;&gt;E31)),G31="Paid a pro",Settings!$B$9="Yes"),MAX(0,H31-K31*F31),0)</f>
        <v/>
      </c>
      <c r="N31" s="3">
        <f>IF(C31="","",IF(B31="","Enter the boat number",IF(B31&gt;Settings!$B$6,"Boat number above the boat count",IF(SUMIFS($F$5:$F$1004,$B$5:$B$1004,B31,$C$5:$C$1004,C31)&gt;1.0001,"Shares for this step add up to over 100%",IF(I31="","Waiting for sign-off",IF(AND(Settings!$B$10="Yes",I31=E31),"Needs a different member to sign off","OK"))))))</f>
        <v/>
      </c>
    </row>
    <row r="32">
      <c r="A32" s="9" t="n"/>
      <c r="B32" s="6" t="n"/>
      <c r="C32" s="6" t="n"/>
      <c r="D32" s="3">
        <f>IF(C32="","",IFERROR(INDEX(Steps!$C$5:$C$62,MATCH(C32,Steps!$A$5:$A$62,0)),""))</f>
        <v/>
      </c>
      <c r="E32" s="6" t="n"/>
      <c r="F32" s="8" t="n"/>
      <c r="G32" s="6" t="n"/>
      <c r="H32" s="7" t="n"/>
      <c r="I32" s="6" t="n"/>
      <c r="J32" s="9" t="n"/>
      <c r="K32" s="11">
        <f>IF(C32="","",N(IFERROR(INDEX(Steps!$E$5:$E$62,MATCH(C32,Steps!$A$5:$A$62,0)),"")))</f>
        <v/>
      </c>
      <c r="L32" s="11">
        <f>IF(AND(C32&lt;&gt;"",E32&lt;&gt;"",I32&lt;&gt;"",OR(Settings!$B$10="No",I32&lt;&gt;E32)),K32*F32,0)</f>
        <v/>
      </c>
      <c r="M32" s="11">
        <f>IF(AND(AND(C32&lt;&gt;"",E32&lt;&gt;"",I32&lt;&gt;"",OR(Settings!$B$10="No",I32&lt;&gt;E32)),G32="Paid a pro",Settings!$B$9="Yes"),MAX(0,H32-K32*F32),0)</f>
        <v/>
      </c>
      <c r="N32" s="3">
        <f>IF(C32="","",IF(B32="","Enter the boat number",IF(B32&gt;Settings!$B$6,"Boat number above the boat count",IF(SUMIFS($F$5:$F$1004,$B$5:$B$1004,B32,$C$5:$C$1004,C32)&gt;1.0001,"Shares for this step add up to over 100%",IF(I32="","Waiting for sign-off",IF(AND(Settings!$B$10="Yes",I32=E32),"Needs a different member to sign off","OK"))))))</f>
        <v/>
      </c>
    </row>
    <row r="33">
      <c r="A33" s="9" t="n"/>
      <c r="B33" s="6" t="n"/>
      <c r="C33" s="6" t="n"/>
      <c r="D33" s="3">
        <f>IF(C33="","",IFERROR(INDEX(Steps!$C$5:$C$62,MATCH(C33,Steps!$A$5:$A$62,0)),""))</f>
        <v/>
      </c>
      <c r="E33" s="6" t="n"/>
      <c r="F33" s="8" t="n"/>
      <c r="G33" s="6" t="n"/>
      <c r="H33" s="7" t="n"/>
      <c r="I33" s="6" t="n"/>
      <c r="J33" s="9" t="n"/>
      <c r="K33" s="11">
        <f>IF(C33="","",N(IFERROR(INDEX(Steps!$E$5:$E$62,MATCH(C33,Steps!$A$5:$A$62,0)),"")))</f>
        <v/>
      </c>
      <c r="L33" s="11">
        <f>IF(AND(C33&lt;&gt;"",E33&lt;&gt;"",I33&lt;&gt;"",OR(Settings!$B$10="No",I33&lt;&gt;E33)),K33*F33,0)</f>
        <v/>
      </c>
      <c r="M33" s="11">
        <f>IF(AND(AND(C33&lt;&gt;"",E33&lt;&gt;"",I33&lt;&gt;"",OR(Settings!$B$10="No",I33&lt;&gt;E33)),G33="Paid a pro",Settings!$B$9="Yes"),MAX(0,H33-K33*F33),0)</f>
        <v/>
      </c>
      <c r="N33" s="3">
        <f>IF(C33="","",IF(B33="","Enter the boat number",IF(B33&gt;Settings!$B$6,"Boat number above the boat count",IF(SUMIFS($F$5:$F$1004,$B$5:$B$1004,B33,$C$5:$C$1004,C33)&gt;1.0001,"Shares for this step add up to over 100%",IF(I33="","Waiting for sign-off",IF(AND(Settings!$B$10="Yes",I33=E33),"Needs a different member to sign off","OK"))))))</f>
        <v/>
      </c>
    </row>
    <row r="34">
      <c r="A34" s="9" t="n"/>
      <c r="B34" s="6" t="n"/>
      <c r="C34" s="6" t="n"/>
      <c r="D34" s="3">
        <f>IF(C34="","",IFERROR(INDEX(Steps!$C$5:$C$62,MATCH(C34,Steps!$A$5:$A$62,0)),""))</f>
        <v/>
      </c>
      <c r="E34" s="6" t="n"/>
      <c r="F34" s="8" t="n"/>
      <c r="G34" s="6" t="n"/>
      <c r="H34" s="7" t="n"/>
      <c r="I34" s="6" t="n"/>
      <c r="J34" s="9" t="n"/>
      <c r="K34" s="11">
        <f>IF(C34="","",N(IFERROR(INDEX(Steps!$E$5:$E$62,MATCH(C34,Steps!$A$5:$A$62,0)),"")))</f>
        <v/>
      </c>
      <c r="L34" s="11">
        <f>IF(AND(C34&lt;&gt;"",E34&lt;&gt;"",I34&lt;&gt;"",OR(Settings!$B$10="No",I34&lt;&gt;E34)),K34*F34,0)</f>
        <v/>
      </c>
      <c r="M34" s="11">
        <f>IF(AND(AND(C34&lt;&gt;"",E34&lt;&gt;"",I34&lt;&gt;"",OR(Settings!$B$10="No",I34&lt;&gt;E34)),G34="Paid a pro",Settings!$B$9="Yes"),MAX(0,H34-K34*F34),0)</f>
        <v/>
      </c>
      <c r="N34" s="3">
        <f>IF(C34="","",IF(B34="","Enter the boat number",IF(B34&gt;Settings!$B$6,"Boat number above the boat count",IF(SUMIFS($F$5:$F$1004,$B$5:$B$1004,B34,$C$5:$C$1004,C34)&gt;1.0001,"Shares for this step add up to over 100%",IF(I34="","Waiting for sign-off",IF(AND(Settings!$B$10="Yes",I34=E34),"Needs a different member to sign off","OK"))))))</f>
        <v/>
      </c>
    </row>
    <row r="35">
      <c r="A35" s="9" t="n"/>
      <c r="B35" s="6" t="n"/>
      <c r="C35" s="6" t="n"/>
      <c r="D35" s="3">
        <f>IF(C35="","",IFERROR(INDEX(Steps!$C$5:$C$62,MATCH(C35,Steps!$A$5:$A$62,0)),""))</f>
        <v/>
      </c>
      <c r="E35" s="6" t="n"/>
      <c r="F35" s="8" t="n"/>
      <c r="G35" s="6" t="n"/>
      <c r="H35" s="7" t="n"/>
      <c r="I35" s="6" t="n"/>
      <c r="J35" s="9" t="n"/>
      <c r="K35" s="11">
        <f>IF(C35="","",N(IFERROR(INDEX(Steps!$E$5:$E$62,MATCH(C35,Steps!$A$5:$A$62,0)),"")))</f>
        <v/>
      </c>
      <c r="L35" s="11">
        <f>IF(AND(C35&lt;&gt;"",E35&lt;&gt;"",I35&lt;&gt;"",OR(Settings!$B$10="No",I35&lt;&gt;E35)),K35*F35,0)</f>
        <v/>
      </c>
      <c r="M35" s="11">
        <f>IF(AND(AND(C35&lt;&gt;"",E35&lt;&gt;"",I35&lt;&gt;"",OR(Settings!$B$10="No",I35&lt;&gt;E35)),G35="Paid a pro",Settings!$B$9="Yes"),MAX(0,H35-K35*F35),0)</f>
        <v/>
      </c>
      <c r="N35" s="3">
        <f>IF(C35="","",IF(B35="","Enter the boat number",IF(B35&gt;Settings!$B$6,"Boat number above the boat count",IF(SUMIFS($F$5:$F$1004,$B$5:$B$1004,B35,$C$5:$C$1004,C35)&gt;1.0001,"Shares for this step add up to over 100%",IF(I35="","Waiting for sign-off",IF(AND(Settings!$B$10="Yes",I35=E35),"Needs a different member to sign off","OK"))))))</f>
        <v/>
      </c>
    </row>
    <row r="36">
      <c r="A36" s="9" t="n"/>
      <c r="B36" s="6" t="n"/>
      <c r="C36" s="6" t="n"/>
      <c r="D36" s="3">
        <f>IF(C36="","",IFERROR(INDEX(Steps!$C$5:$C$62,MATCH(C36,Steps!$A$5:$A$62,0)),""))</f>
        <v/>
      </c>
      <c r="E36" s="6" t="n"/>
      <c r="F36" s="8" t="n"/>
      <c r="G36" s="6" t="n"/>
      <c r="H36" s="7" t="n"/>
      <c r="I36" s="6" t="n"/>
      <c r="J36" s="9" t="n"/>
      <c r="K36" s="11">
        <f>IF(C36="","",N(IFERROR(INDEX(Steps!$E$5:$E$62,MATCH(C36,Steps!$A$5:$A$62,0)),"")))</f>
        <v/>
      </c>
      <c r="L36" s="11">
        <f>IF(AND(C36&lt;&gt;"",E36&lt;&gt;"",I36&lt;&gt;"",OR(Settings!$B$10="No",I36&lt;&gt;E36)),K36*F36,0)</f>
        <v/>
      </c>
      <c r="M36" s="11">
        <f>IF(AND(AND(C36&lt;&gt;"",E36&lt;&gt;"",I36&lt;&gt;"",OR(Settings!$B$10="No",I36&lt;&gt;E36)),G36="Paid a pro",Settings!$B$9="Yes"),MAX(0,H36-K36*F36),0)</f>
        <v/>
      </c>
      <c r="N36" s="3">
        <f>IF(C36="","",IF(B36="","Enter the boat number",IF(B36&gt;Settings!$B$6,"Boat number above the boat count",IF(SUMIFS($F$5:$F$1004,$B$5:$B$1004,B36,$C$5:$C$1004,C36)&gt;1.0001,"Shares for this step add up to over 100%",IF(I36="","Waiting for sign-off",IF(AND(Settings!$B$10="Yes",I36=E36),"Needs a different member to sign off","OK"))))))</f>
        <v/>
      </c>
    </row>
    <row r="37">
      <c r="A37" s="9" t="n"/>
      <c r="B37" s="6" t="n"/>
      <c r="C37" s="6" t="n"/>
      <c r="D37" s="3">
        <f>IF(C37="","",IFERROR(INDEX(Steps!$C$5:$C$62,MATCH(C37,Steps!$A$5:$A$62,0)),""))</f>
        <v/>
      </c>
      <c r="E37" s="6" t="n"/>
      <c r="F37" s="8" t="n"/>
      <c r="G37" s="6" t="n"/>
      <c r="H37" s="7" t="n"/>
      <c r="I37" s="6" t="n"/>
      <c r="J37" s="9" t="n"/>
      <c r="K37" s="11">
        <f>IF(C37="","",N(IFERROR(INDEX(Steps!$E$5:$E$62,MATCH(C37,Steps!$A$5:$A$62,0)),"")))</f>
        <v/>
      </c>
      <c r="L37" s="11">
        <f>IF(AND(C37&lt;&gt;"",E37&lt;&gt;"",I37&lt;&gt;"",OR(Settings!$B$10="No",I37&lt;&gt;E37)),K37*F37,0)</f>
        <v/>
      </c>
      <c r="M37" s="11">
        <f>IF(AND(AND(C37&lt;&gt;"",E37&lt;&gt;"",I37&lt;&gt;"",OR(Settings!$B$10="No",I37&lt;&gt;E37)),G37="Paid a pro",Settings!$B$9="Yes"),MAX(0,H37-K37*F37),0)</f>
        <v/>
      </c>
      <c r="N37" s="3">
        <f>IF(C37="","",IF(B37="","Enter the boat number",IF(B37&gt;Settings!$B$6,"Boat number above the boat count",IF(SUMIFS($F$5:$F$1004,$B$5:$B$1004,B37,$C$5:$C$1004,C37)&gt;1.0001,"Shares for this step add up to over 100%",IF(I37="","Waiting for sign-off",IF(AND(Settings!$B$10="Yes",I37=E37),"Needs a different member to sign off","OK"))))))</f>
        <v/>
      </c>
    </row>
    <row r="38">
      <c r="A38" s="9" t="n"/>
      <c r="B38" s="6" t="n"/>
      <c r="C38" s="6" t="n"/>
      <c r="D38" s="3">
        <f>IF(C38="","",IFERROR(INDEX(Steps!$C$5:$C$62,MATCH(C38,Steps!$A$5:$A$62,0)),""))</f>
        <v/>
      </c>
      <c r="E38" s="6" t="n"/>
      <c r="F38" s="8" t="n"/>
      <c r="G38" s="6" t="n"/>
      <c r="H38" s="7" t="n"/>
      <c r="I38" s="6" t="n"/>
      <c r="J38" s="9" t="n"/>
      <c r="K38" s="11">
        <f>IF(C38="","",N(IFERROR(INDEX(Steps!$E$5:$E$62,MATCH(C38,Steps!$A$5:$A$62,0)),"")))</f>
        <v/>
      </c>
      <c r="L38" s="11">
        <f>IF(AND(C38&lt;&gt;"",E38&lt;&gt;"",I38&lt;&gt;"",OR(Settings!$B$10="No",I38&lt;&gt;E38)),K38*F38,0)</f>
        <v/>
      </c>
      <c r="M38" s="11">
        <f>IF(AND(AND(C38&lt;&gt;"",E38&lt;&gt;"",I38&lt;&gt;"",OR(Settings!$B$10="No",I38&lt;&gt;E38)),G38="Paid a pro",Settings!$B$9="Yes"),MAX(0,H38-K38*F38),0)</f>
        <v/>
      </c>
      <c r="N38" s="3">
        <f>IF(C38="","",IF(B38="","Enter the boat number",IF(B38&gt;Settings!$B$6,"Boat number above the boat count",IF(SUMIFS($F$5:$F$1004,$B$5:$B$1004,B38,$C$5:$C$1004,C38)&gt;1.0001,"Shares for this step add up to over 100%",IF(I38="","Waiting for sign-off",IF(AND(Settings!$B$10="Yes",I38=E38),"Needs a different member to sign off","OK"))))))</f>
        <v/>
      </c>
    </row>
    <row r="39">
      <c r="A39" s="9" t="n"/>
      <c r="B39" s="6" t="n"/>
      <c r="C39" s="6" t="n"/>
      <c r="D39" s="3">
        <f>IF(C39="","",IFERROR(INDEX(Steps!$C$5:$C$62,MATCH(C39,Steps!$A$5:$A$62,0)),""))</f>
        <v/>
      </c>
      <c r="E39" s="6" t="n"/>
      <c r="F39" s="8" t="n"/>
      <c r="G39" s="6" t="n"/>
      <c r="H39" s="7" t="n"/>
      <c r="I39" s="6" t="n"/>
      <c r="J39" s="9" t="n"/>
      <c r="K39" s="11">
        <f>IF(C39="","",N(IFERROR(INDEX(Steps!$E$5:$E$62,MATCH(C39,Steps!$A$5:$A$62,0)),"")))</f>
        <v/>
      </c>
      <c r="L39" s="11">
        <f>IF(AND(C39&lt;&gt;"",E39&lt;&gt;"",I39&lt;&gt;"",OR(Settings!$B$10="No",I39&lt;&gt;E39)),K39*F39,0)</f>
        <v/>
      </c>
      <c r="M39" s="11">
        <f>IF(AND(AND(C39&lt;&gt;"",E39&lt;&gt;"",I39&lt;&gt;"",OR(Settings!$B$10="No",I39&lt;&gt;E39)),G39="Paid a pro",Settings!$B$9="Yes"),MAX(0,H39-K39*F39),0)</f>
        <v/>
      </c>
      <c r="N39" s="3">
        <f>IF(C39="","",IF(B39="","Enter the boat number",IF(B39&gt;Settings!$B$6,"Boat number above the boat count",IF(SUMIFS($F$5:$F$1004,$B$5:$B$1004,B39,$C$5:$C$1004,C39)&gt;1.0001,"Shares for this step add up to over 100%",IF(I39="","Waiting for sign-off",IF(AND(Settings!$B$10="Yes",I39=E39),"Needs a different member to sign off","OK"))))))</f>
        <v/>
      </c>
    </row>
    <row r="40">
      <c r="A40" s="9" t="n"/>
      <c r="B40" s="6" t="n"/>
      <c r="C40" s="6" t="n"/>
      <c r="D40" s="3">
        <f>IF(C40="","",IFERROR(INDEX(Steps!$C$5:$C$62,MATCH(C40,Steps!$A$5:$A$62,0)),""))</f>
        <v/>
      </c>
      <c r="E40" s="6" t="n"/>
      <c r="F40" s="8" t="n"/>
      <c r="G40" s="6" t="n"/>
      <c r="H40" s="7" t="n"/>
      <c r="I40" s="6" t="n"/>
      <c r="J40" s="9" t="n"/>
      <c r="K40" s="11">
        <f>IF(C40="","",N(IFERROR(INDEX(Steps!$E$5:$E$62,MATCH(C40,Steps!$A$5:$A$62,0)),"")))</f>
        <v/>
      </c>
      <c r="L40" s="11">
        <f>IF(AND(C40&lt;&gt;"",E40&lt;&gt;"",I40&lt;&gt;"",OR(Settings!$B$10="No",I40&lt;&gt;E40)),K40*F40,0)</f>
        <v/>
      </c>
      <c r="M40" s="11">
        <f>IF(AND(AND(C40&lt;&gt;"",E40&lt;&gt;"",I40&lt;&gt;"",OR(Settings!$B$10="No",I40&lt;&gt;E40)),G40="Paid a pro",Settings!$B$9="Yes"),MAX(0,H40-K40*F40),0)</f>
        <v/>
      </c>
      <c r="N40" s="3">
        <f>IF(C40="","",IF(B40="","Enter the boat number",IF(B40&gt;Settings!$B$6,"Boat number above the boat count",IF(SUMIFS($F$5:$F$1004,$B$5:$B$1004,B40,$C$5:$C$1004,C40)&gt;1.0001,"Shares for this step add up to over 100%",IF(I40="","Waiting for sign-off",IF(AND(Settings!$B$10="Yes",I40=E40),"Needs a different member to sign off","OK"))))))</f>
        <v/>
      </c>
    </row>
    <row r="41">
      <c r="A41" s="9" t="n"/>
      <c r="B41" s="6" t="n"/>
      <c r="C41" s="6" t="n"/>
      <c r="D41" s="3">
        <f>IF(C41="","",IFERROR(INDEX(Steps!$C$5:$C$62,MATCH(C41,Steps!$A$5:$A$62,0)),""))</f>
        <v/>
      </c>
      <c r="E41" s="6" t="n"/>
      <c r="F41" s="8" t="n"/>
      <c r="G41" s="6" t="n"/>
      <c r="H41" s="7" t="n"/>
      <c r="I41" s="6" t="n"/>
      <c r="J41" s="9" t="n"/>
      <c r="K41" s="11">
        <f>IF(C41="","",N(IFERROR(INDEX(Steps!$E$5:$E$62,MATCH(C41,Steps!$A$5:$A$62,0)),"")))</f>
        <v/>
      </c>
      <c r="L41" s="11">
        <f>IF(AND(C41&lt;&gt;"",E41&lt;&gt;"",I41&lt;&gt;"",OR(Settings!$B$10="No",I41&lt;&gt;E41)),K41*F41,0)</f>
        <v/>
      </c>
      <c r="M41" s="11">
        <f>IF(AND(AND(C41&lt;&gt;"",E41&lt;&gt;"",I41&lt;&gt;"",OR(Settings!$B$10="No",I41&lt;&gt;E41)),G41="Paid a pro",Settings!$B$9="Yes"),MAX(0,H41-K41*F41),0)</f>
        <v/>
      </c>
      <c r="N41" s="3">
        <f>IF(C41="","",IF(B41="","Enter the boat number",IF(B41&gt;Settings!$B$6,"Boat number above the boat count",IF(SUMIFS($F$5:$F$1004,$B$5:$B$1004,B41,$C$5:$C$1004,C41)&gt;1.0001,"Shares for this step add up to over 100%",IF(I41="","Waiting for sign-off",IF(AND(Settings!$B$10="Yes",I41=E41),"Needs a different member to sign off","OK"))))))</f>
        <v/>
      </c>
    </row>
    <row r="42">
      <c r="A42" s="9" t="n"/>
      <c r="B42" s="6" t="n"/>
      <c r="C42" s="6" t="n"/>
      <c r="D42" s="3">
        <f>IF(C42="","",IFERROR(INDEX(Steps!$C$5:$C$62,MATCH(C42,Steps!$A$5:$A$62,0)),""))</f>
        <v/>
      </c>
      <c r="E42" s="6" t="n"/>
      <c r="F42" s="8" t="n"/>
      <c r="G42" s="6" t="n"/>
      <c r="H42" s="7" t="n"/>
      <c r="I42" s="6" t="n"/>
      <c r="J42" s="9" t="n"/>
      <c r="K42" s="11">
        <f>IF(C42="","",N(IFERROR(INDEX(Steps!$E$5:$E$62,MATCH(C42,Steps!$A$5:$A$62,0)),"")))</f>
        <v/>
      </c>
      <c r="L42" s="11">
        <f>IF(AND(C42&lt;&gt;"",E42&lt;&gt;"",I42&lt;&gt;"",OR(Settings!$B$10="No",I42&lt;&gt;E42)),K42*F42,0)</f>
        <v/>
      </c>
      <c r="M42" s="11">
        <f>IF(AND(AND(C42&lt;&gt;"",E42&lt;&gt;"",I42&lt;&gt;"",OR(Settings!$B$10="No",I42&lt;&gt;E42)),G42="Paid a pro",Settings!$B$9="Yes"),MAX(0,H42-K42*F42),0)</f>
        <v/>
      </c>
      <c r="N42" s="3">
        <f>IF(C42="","",IF(B42="","Enter the boat number",IF(B42&gt;Settings!$B$6,"Boat number above the boat count",IF(SUMIFS($F$5:$F$1004,$B$5:$B$1004,B42,$C$5:$C$1004,C42)&gt;1.0001,"Shares for this step add up to over 100%",IF(I42="","Waiting for sign-off",IF(AND(Settings!$B$10="Yes",I42=E42),"Needs a different member to sign off","OK"))))))</f>
        <v/>
      </c>
    </row>
    <row r="43">
      <c r="A43" s="9" t="n"/>
      <c r="B43" s="6" t="n"/>
      <c r="C43" s="6" t="n"/>
      <c r="D43" s="3">
        <f>IF(C43="","",IFERROR(INDEX(Steps!$C$5:$C$62,MATCH(C43,Steps!$A$5:$A$62,0)),""))</f>
        <v/>
      </c>
      <c r="E43" s="6" t="n"/>
      <c r="F43" s="8" t="n"/>
      <c r="G43" s="6" t="n"/>
      <c r="H43" s="7" t="n"/>
      <c r="I43" s="6" t="n"/>
      <c r="J43" s="9" t="n"/>
      <c r="K43" s="11">
        <f>IF(C43="","",N(IFERROR(INDEX(Steps!$E$5:$E$62,MATCH(C43,Steps!$A$5:$A$62,0)),"")))</f>
        <v/>
      </c>
      <c r="L43" s="11">
        <f>IF(AND(C43&lt;&gt;"",E43&lt;&gt;"",I43&lt;&gt;"",OR(Settings!$B$10="No",I43&lt;&gt;E43)),K43*F43,0)</f>
        <v/>
      </c>
      <c r="M43" s="11">
        <f>IF(AND(AND(C43&lt;&gt;"",E43&lt;&gt;"",I43&lt;&gt;"",OR(Settings!$B$10="No",I43&lt;&gt;E43)),G43="Paid a pro",Settings!$B$9="Yes"),MAX(0,H43-K43*F43),0)</f>
        <v/>
      </c>
      <c r="N43" s="3">
        <f>IF(C43="","",IF(B43="","Enter the boat number",IF(B43&gt;Settings!$B$6,"Boat number above the boat count",IF(SUMIFS($F$5:$F$1004,$B$5:$B$1004,B43,$C$5:$C$1004,C43)&gt;1.0001,"Shares for this step add up to over 100%",IF(I43="","Waiting for sign-off",IF(AND(Settings!$B$10="Yes",I43=E43),"Needs a different member to sign off","OK"))))))</f>
        <v/>
      </c>
    </row>
    <row r="44">
      <c r="A44" s="9" t="n"/>
      <c r="B44" s="6" t="n"/>
      <c r="C44" s="6" t="n"/>
      <c r="D44" s="3">
        <f>IF(C44="","",IFERROR(INDEX(Steps!$C$5:$C$62,MATCH(C44,Steps!$A$5:$A$62,0)),""))</f>
        <v/>
      </c>
      <c r="E44" s="6" t="n"/>
      <c r="F44" s="8" t="n"/>
      <c r="G44" s="6" t="n"/>
      <c r="H44" s="7" t="n"/>
      <c r="I44" s="6" t="n"/>
      <c r="J44" s="9" t="n"/>
      <c r="K44" s="11">
        <f>IF(C44="","",N(IFERROR(INDEX(Steps!$E$5:$E$62,MATCH(C44,Steps!$A$5:$A$62,0)),"")))</f>
        <v/>
      </c>
      <c r="L44" s="11">
        <f>IF(AND(C44&lt;&gt;"",E44&lt;&gt;"",I44&lt;&gt;"",OR(Settings!$B$10="No",I44&lt;&gt;E44)),K44*F44,0)</f>
        <v/>
      </c>
      <c r="M44" s="11">
        <f>IF(AND(AND(C44&lt;&gt;"",E44&lt;&gt;"",I44&lt;&gt;"",OR(Settings!$B$10="No",I44&lt;&gt;E44)),G44="Paid a pro",Settings!$B$9="Yes"),MAX(0,H44-K44*F44),0)</f>
        <v/>
      </c>
      <c r="N44" s="3">
        <f>IF(C44="","",IF(B44="","Enter the boat number",IF(B44&gt;Settings!$B$6,"Boat number above the boat count",IF(SUMIFS($F$5:$F$1004,$B$5:$B$1004,B44,$C$5:$C$1004,C44)&gt;1.0001,"Shares for this step add up to over 100%",IF(I44="","Waiting for sign-off",IF(AND(Settings!$B$10="Yes",I44=E44),"Needs a different member to sign off","OK"))))))</f>
        <v/>
      </c>
    </row>
    <row r="45">
      <c r="A45" s="9" t="n"/>
      <c r="B45" s="6" t="n"/>
      <c r="C45" s="6" t="n"/>
      <c r="D45" s="3">
        <f>IF(C45="","",IFERROR(INDEX(Steps!$C$5:$C$62,MATCH(C45,Steps!$A$5:$A$62,0)),""))</f>
        <v/>
      </c>
      <c r="E45" s="6" t="n"/>
      <c r="F45" s="8" t="n"/>
      <c r="G45" s="6" t="n"/>
      <c r="H45" s="7" t="n"/>
      <c r="I45" s="6" t="n"/>
      <c r="J45" s="9" t="n"/>
      <c r="K45" s="11">
        <f>IF(C45="","",N(IFERROR(INDEX(Steps!$E$5:$E$62,MATCH(C45,Steps!$A$5:$A$62,0)),"")))</f>
        <v/>
      </c>
      <c r="L45" s="11">
        <f>IF(AND(C45&lt;&gt;"",E45&lt;&gt;"",I45&lt;&gt;"",OR(Settings!$B$10="No",I45&lt;&gt;E45)),K45*F45,0)</f>
        <v/>
      </c>
      <c r="M45" s="11">
        <f>IF(AND(AND(C45&lt;&gt;"",E45&lt;&gt;"",I45&lt;&gt;"",OR(Settings!$B$10="No",I45&lt;&gt;E45)),G45="Paid a pro",Settings!$B$9="Yes"),MAX(0,H45-K45*F45),0)</f>
        <v/>
      </c>
      <c r="N45" s="3">
        <f>IF(C45="","",IF(B45="","Enter the boat number",IF(B45&gt;Settings!$B$6,"Boat number above the boat count",IF(SUMIFS($F$5:$F$1004,$B$5:$B$1004,B45,$C$5:$C$1004,C45)&gt;1.0001,"Shares for this step add up to over 100%",IF(I45="","Waiting for sign-off",IF(AND(Settings!$B$10="Yes",I45=E45),"Needs a different member to sign off","OK"))))))</f>
        <v/>
      </c>
    </row>
    <row r="46">
      <c r="A46" s="9" t="n"/>
      <c r="B46" s="6" t="n"/>
      <c r="C46" s="6" t="n"/>
      <c r="D46" s="3">
        <f>IF(C46="","",IFERROR(INDEX(Steps!$C$5:$C$62,MATCH(C46,Steps!$A$5:$A$62,0)),""))</f>
        <v/>
      </c>
      <c r="E46" s="6" t="n"/>
      <c r="F46" s="8" t="n"/>
      <c r="G46" s="6" t="n"/>
      <c r="H46" s="7" t="n"/>
      <c r="I46" s="6" t="n"/>
      <c r="J46" s="9" t="n"/>
      <c r="K46" s="11">
        <f>IF(C46="","",N(IFERROR(INDEX(Steps!$E$5:$E$62,MATCH(C46,Steps!$A$5:$A$62,0)),"")))</f>
        <v/>
      </c>
      <c r="L46" s="11">
        <f>IF(AND(C46&lt;&gt;"",E46&lt;&gt;"",I46&lt;&gt;"",OR(Settings!$B$10="No",I46&lt;&gt;E46)),K46*F46,0)</f>
        <v/>
      </c>
      <c r="M46" s="11">
        <f>IF(AND(AND(C46&lt;&gt;"",E46&lt;&gt;"",I46&lt;&gt;"",OR(Settings!$B$10="No",I46&lt;&gt;E46)),G46="Paid a pro",Settings!$B$9="Yes"),MAX(0,H46-K46*F46),0)</f>
        <v/>
      </c>
      <c r="N46" s="3">
        <f>IF(C46="","",IF(B46="","Enter the boat number",IF(B46&gt;Settings!$B$6,"Boat number above the boat count",IF(SUMIFS($F$5:$F$1004,$B$5:$B$1004,B46,$C$5:$C$1004,C46)&gt;1.0001,"Shares for this step add up to over 100%",IF(I46="","Waiting for sign-off",IF(AND(Settings!$B$10="Yes",I46=E46),"Needs a different member to sign off","OK"))))))</f>
        <v/>
      </c>
    </row>
    <row r="47">
      <c r="A47" s="9" t="n"/>
      <c r="B47" s="6" t="n"/>
      <c r="C47" s="6" t="n"/>
      <c r="D47" s="3">
        <f>IF(C47="","",IFERROR(INDEX(Steps!$C$5:$C$62,MATCH(C47,Steps!$A$5:$A$62,0)),""))</f>
        <v/>
      </c>
      <c r="E47" s="6" t="n"/>
      <c r="F47" s="8" t="n"/>
      <c r="G47" s="6" t="n"/>
      <c r="H47" s="7" t="n"/>
      <c r="I47" s="6" t="n"/>
      <c r="J47" s="9" t="n"/>
      <c r="K47" s="11">
        <f>IF(C47="","",N(IFERROR(INDEX(Steps!$E$5:$E$62,MATCH(C47,Steps!$A$5:$A$62,0)),"")))</f>
        <v/>
      </c>
      <c r="L47" s="11">
        <f>IF(AND(C47&lt;&gt;"",E47&lt;&gt;"",I47&lt;&gt;"",OR(Settings!$B$10="No",I47&lt;&gt;E47)),K47*F47,0)</f>
        <v/>
      </c>
      <c r="M47" s="11">
        <f>IF(AND(AND(C47&lt;&gt;"",E47&lt;&gt;"",I47&lt;&gt;"",OR(Settings!$B$10="No",I47&lt;&gt;E47)),G47="Paid a pro",Settings!$B$9="Yes"),MAX(0,H47-K47*F47),0)</f>
        <v/>
      </c>
      <c r="N47" s="3">
        <f>IF(C47="","",IF(B47="","Enter the boat number",IF(B47&gt;Settings!$B$6,"Boat number above the boat count",IF(SUMIFS($F$5:$F$1004,$B$5:$B$1004,B47,$C$5:$C$1004,C47)&gt;1.0001,"Shares for this step add up to over 100%",IF(I47="","Waiting for sign-off",IF(AND(Settings!$B$10="Yes",I47=E47),"Needs a different member to sign off","OK"))))))</f>
        <v/>
      </c>
    </row>
    <row r="48">
      <c r="A48" s="9" t="n"/>
      <c r="B48" s="6" t="n"/>
      <c r="C48" s="6" t="n"/>
      <c r="D48" s="3">
        <f>IF(C48="","",IFERROR(INDEX(Steps!$C$5:$C$62,MATCH(C48,Steps!$A$5:$A$62,0)),""))</f>
        <v/>
      </c>
      <c r="E48" s="6" t="n"/>
      <c r="F48" s="8" t="n"/>
      <c r="G48" s="6" t="n"/>
      <c r="H48" s="7" t="n"/>
      <c r="I48" s="6" t="n"/>
      <c r="J48" s="9" t="n"/>
      <c r="K48" s="11">
        <f>IF(C48="","",N(IFERROR(INDEX(Steps!$E$5:$E$62,MATCH(C48,Steps!$A$5:$A$62,0)),"")))</f>
        <v/>
      </c>
      <c r="L48" s="11">
        <f>IF(AND(C48&lt;&gt;"",E48&lt;&gt;"",I48&lt;&gt;"",OR(Settings!$B$10="No",I48&lt;&gt;E48)),K48*F48,0)</f>
        <v/>
      </c>
      <c r="M48" s="11">
        <f>IF(AND(AND(C48&lt;&gt;"",E48&lt;&gt;"",I48&lt;&gt;"",OR(Settings!$B$10="No",I48&lt;&gt;E48)),G48="Paid a pro",Settings!$B$9="Yes"),MAX(0,H48-K48*F48),0)</f>
        <v/>
      </c>
      <c r="N48" s="3">
        <f>IF(C48="","",IF(B48="","Enter the boat number",IF(B48&gt;Settings!$B$6,"Boat number above the boat count",IF(SUMIFS($F$5:$F$1004,$B$5:$B$1004,B48,$C$5:$C$1004,C48)&gt;1.0001,"Shares for this step add up to over 100%",IF(I48="","Waiting for sign-off",IF(AND(Settings!$B$10="Yes",I48=E48),"Needs a different member to sign off","OK"))))))</f>
        <v/>
      </c>
    </row>
    <row r="49">
      <c r="A49" s="9" t="n"/>
      <c r="B49" s="6" t="n"/>
      <c r="C49" s="6" t="n"/>
      <c r="D49" s="3">
        <f>IF(C49="","",IFERROR(INDEX(Steps!$C$5:$C$62,MATCH(C49,Steps!$A$5:$A$62,0)),""))</f>
        <v/>
      </c>
      <c r="E49" s="6" t="n"/>
      <c r="F49" s="8" t="n"/>
      <c r="G49" s="6" t="n"/>
      <c r="H49" s="7" t="n"/>
      <c r="I49" s="6" t="n"/>
      <c r="J49" s="9" t="n"/>
      <c r="K49" s="11">
        <f>IF(C49="","",N(IFERROR(INDEX(Steps!$E$5:$E$62,MATCH(C49,Steps!$A$5:$A$62,0)),"")))</f>
        <v/>
      </c>
      <c r="L49" s="11">
        <f>IF(AND(C49&lt;&gt;"",E49&lt;&gt;"",I49&lt;&gt;"",OR(Settings!$B$10="No",I49&lt;&gt;E49)),K49*F49,0)</f>
        <v/>
      </c>
      <c r="M49" s="11">
        <f>IF(AND(AND(C49&lt;&gt;"",E49&lt;&gt;"",I49&lt;&gt;"",OR(Settings!$B$10="No",I49&lt;&gt;E49)),G49="Paid a pro",Settings!$B$9="Yes"),MAX(0,H49-K49*F49),0)</f>
        <v/>
      </c>
      <c r="N49" s="3">
        <f>IF(C49="","",IF(B49="","Enter the boat number",IF(B49&gt;Settings!$B$6,"Boat number above the boat count",IF(SUMIFS($F$5:$F$1004,$B$5:$B$1004,B49,$C$5:$C$1004,C49)&gt;1.0001,"Shares for this step add up to over 100%",IF(I49="","Waiting for sign-off",IF(AND(Settings!$B$10="Yes",I49=E49),"Needs a different member to sign off","OK"))))))</f>
        <v/>
      </c>
    </row>
    <row r="50">
      <c r="A50" s="9" t="n"/>
      <c r="B50" s="6" t="n"/>
      <c r="C50" s="6" t="n"/>
      <c r="D50" s="3">
        <f>IF(C50="","",IFERROR(INDEX(Steps!$C$5:$C$62,MATCH(C50,Steps!$A$5:$A$62,0)),""))</f>
        <v/>
      </c>
      <c r="E50" s="6" t="n"/>
      <c r="F50" s="8" t="n"/>
      <c r="G50" s="6" t="n"/>
      <c r="H50" s="7" t="n"/>
      <c r="I50" s="6" t="n"/>
      <c r="J50" s="9" t="n"/>
      <c r="K50" s="11">
        <f>IF(C50="","",N(IFERROR(INDEX(Steps!$E$5:$E$62,MATCH(C50,Steps!$A$5:$A$62,0)),"")))</f>
        <v/>
      </c>
      <c r="L50" s="11">
        <f>IF(AND(C50&lt;&gt;"",E50&lt;&gt;"",I50&lt;&gt;"",OR(Settings!$B$10="No",I50&lt;&gt;E50)),K50*F50,0)</f>
        <v/>
      </c>
      <c r="M50" s="11">
        <f>IF(AND(AND(C50&lt;&gt;"",E50&lt;&gt;"",I50&lt;&gt;"",OR(Settings!$B$10="No",I50&lt;&gt;E50)),G50="Paid a pro",Settings!$B$9="Yes"),MAX(0,H50-K50*F50),0)</f>
        <v/>
      </c>
      <c r="N50" s="3">
        <f>IF(C50="","",IF(B50="","Enter the boat number",IF(B50&gt;Settings!$B$6,"Boat number above the boat count",IF(SUMIFS($F$5:$F$1004,$B$5:$B$1004,B50,$C$5:$C$1004,C50)&gt;1.0001,"Shares for this step add up to over 100%",IF(I50="","Waiting for sign-off",IF(AND(Settings!$B$10="Yes",I50=E50),"Needs a different member to sign off","OK"))))))</f>
        <v/>
      </c>
    </row>
    <row r="51">
      <c r="A51" s="9" t="n"/>
      <c r="B51" s="6" t="n"/>
      <c r="C51" s="6" t="n"/>
      <c r="D51" s="3">
        <f>IF(C51="","",IFERROR(INDEX(Steps!$C$5:$C$62,MATCH(C51,Steps!$A$5:$A$62,0)),""))</f>
        <v/>
      </c>
      <c r="E51" s="6" t="n"/>
      <c r="F51" s="8" t="n"/>
      <c r="G51" s="6" t="n"/>
      <c r="H51" s="7" t="n"/>
      <c r="I51" s="6" t="n"/>
      <c r="J51" s="9" t="n"/>
      <c r="K51" s="11">
        <f>IF(C51="","",N(IFERROR(INDEX(Steps!$E$5:$E$62,MATCH(C51,Steps!$A$5:$A$62,0)),"")))</f>
        <v/>
      </c>
      <c r="L51" s="11">
        <f>IF(AND(C51&lt;&gt;"",E51&lt;&gt;"",I51&lt;&gt;"",OR(Settings!$B$10="No",I51&lt;&gt;E51)),K51*F51,0)</f>
        <v/>
      </c>
      <c r="M51" s="11">
        <f>IF(AND(AND(C51&lt;&gt;"",E51&lt;&gt;"",I51&lt;&gt;"",OR(Settings!$B$10="No",I51&lt;&gt;E51)),G51="Paid a pro",Settings!$B$9="Yes"),MAX(0,H51-K51*F51),0)</f>
        <v/>
      </c>
      <c r="N51" s="3">
        <f>IF(C51="","",IF(B51="","Enter the boat number",IF(B51&gt;Settings!$B$6,"Boat number above the boat count",IF(SUMIFS($F$5:$F$1004,$B$5:$B$1004,B51,$C$5:$C$1004,C51)&gt;1.0001,"Shares for this step add up to over 100%",IF(I51="","Waiting for sign-off",IF(AND(Settings!$B$10="Yes",I51=E51),"Needs a different member to sign off","OK"))))))</f>
        <v/>
      </c>
    </row>
    <row r="52">
      <c r="A52" s="9" t="n"/>
      <c r="B52" s="6" t="n"/>
      <c r="C52" s="6" t="n"/>
      <c r="D52" s="3">
        <f>IF(C52="","",IFERROR(INDEX(Steps!$C$5:$C$62,MATCH(C52,Steps!$A$5:$A$62,0)),""))</f>
        <v/>
      </c>
      <c r="E52" s="6" t="n"/>
      <c r="F52" s="8" t="n"/>
      <c r="G52" s="6" t="n"/>
      <c r="H52" s="7" t="n"/>
      <c r="I52" s="6" t="n"/>
      <c r="J52" s="9" t="n"/>
      <c r="K52" s="11">
        <f>IF(C52="","",N(IFERROR(INDEX(Steps!$E$5:$E$62,MATCH(C52,Steps!$A$5:$A$62,0)),"")))</f>
        <v/>
      </c>
      <c r="L52" s="11">
        <f>IF(AND(C52&lt;&gt;"",E52&lt;&gt;"",I52&lt;&gt;"",OR(Settings!$B$10="No",I52&lt;&gt;E52)),K52*F52,0)</f>
        <v/>
      </c>
      <c r="M52" s="11">
        <f>IF(AND(AND(C52&lt;&gt;"",E52&lt;&gt;"",I52&lt;&gt;"",OR(Settings!$B$10="No",I52&lt;&gt;E52)),G52="Paid a pro",Settings!$B$9="Yes"),MAX(0,H52-K52*F52),0)</f>
        <v/>
      </c>
      <c r="N52" s="3">
        <f>IF(C52="","",IF(B52="","Enter the boat number",IF(B52&gt;Settings!$B$6,"Boat number above the boat count",IF(SUMIFS($F$5:$F$1004,$B$5:$B$1004,B52,$C$5:$C$1004,C52)&gt;1.0001,"Shares for this step add up to over 100%",IF(I52="","Waiting for sign-off",IF(AND(Settings!$B$10="Yes",I52=E52),"Needs a different member to sign off","OK"))))))</f>
        <v/>
      </c>
    </row>
    <row r="53">
      <c r="A53" s="9" t="n"/>
      <c r="B53" s="6" t="n"/>
      <c r="C53" s="6" t="n"/>
      <c r="D53" s="3">
        <f>IF(C53="","",IFERROR(INDEX(Steps!$C$5:$C$62,MATCH(C53,Steps!$A$5:$A$62,0)),""))</f>
        <v/>
      </c>
      <c r="E53" s="6" t="n"/>
      <c r="F53" s="8" t="n"/>
      <c r="G53" s="6" t="n"/>
      <c r="H53" s="7" t="n"/>
      <c r="I53" s="6" t="n"/>
      <c r="J53" s="9" t="n"/>
      <c r="K53" s="11">
        <f>IF(C53="","",N(IFERROR(INDEX(Steps!$E$5:$E$62,MATCH(C53,Steps!$A$5:$A$62,0)),"")))</f>
        <v/>
      </c>
      <c r="L53" s="11">
        <f>IF(AND(C53&lt;&gt;"",E53&lt;&gt;"",I53&lt;&gt;"",OR(Settings!$B$10="No",I53&lt;&gt;E53)),K53*F53,0)</f>
        <v/>
      </c>
      <c r="M53" s="11">
        <f>IF(AND(AND(C53&lt;&gt;"",E53&lt;&gt;"",I53&lt;&gt;"",OR(Settings!$B$10="No",I53&lt;&gt;E53)),G53="Paid a pro",Settings!$B$9="Yes"),MAX(0,H53-K53*F53),0)</f>
        <v/>
      </c>
      <c r="N53" s="3">
        <f>IF(C53="","",IF(B53="","Enter the boat number",IF(B53&gt;Settings!$B$6,"Boat number above the boat count",IF(SUMIFS($F$5:$F$1004,$B$5:$B$1004,B53,$C$5:$C$1004,C53)&gt;1.0001,"Shares for this step add up to over 100%",IF(I53="","Waiting for sign-off",IF(AND(Settings!$B$10="Yes",I53=E53),"Needs a different member to sign off","OK"))))))</f>
        <v/>
      </c>
    </row>
    <row r="54">
      <c r="A54" s="9" t="n"/>
      <c r="B54" s="6" t="n"/>
      <c r="C54" s="6" t="n"/>
      <c r="D54" s="3">
        <f>IF(C54="","",IFERROR(INDEX(Steps!$C$5:$C$62,MATCH(C54,Steps!$A$5:$A$62,0)),""))</f>
        <v/>
      </c>
      <c r="E54" s="6" t="n"/>
      <c r="F54" s="8" t="n"/>
      <c r="G54" s="6" t="n"/>
      <c r="H54" s="7" t="n"/>
      <c r="I54" s="6" t="n"/>
      <c r="J54" s="9" t="n"/>
      <c r="K54" s="11">
        <f>IF(C54="","",N(IFERROR(INDEX(Steps!$E$5:$E$62,MATCH(C54,Steps!$A$5:$A$62,0)),"")))</f>
        <v/>
      </c>
      <c r="L54" s="11">
        <f>IF(AND(C54&lt;&gt;"",E54&lt;&gt;"",I54&lt;&gt;"",OR(Settings!$B$10="No",I54&lt;&gt;E54)),K54*F54,0)</f>
        <v/>
      </c>
      <c r="M54" s="11">
        <f>IF(AND(AND(C54&lt;&gt;"",E54&lt;&gt;"",I54&lt;&gt;"",OR(Settings!$B$10="No",I54&lt;&gt;E54)),G54="Paid a pro",Settings!$B$9="Yes"),MAX(0,H54-K54*F54),0)</f>
        <v/>
      </c>
      <c r="N54" s="3">
        <f>IF(C54="","",IF(B54="","Enter the boat number",IF(B54&gt;Settings!$B$6,"Boat number above the boat count",IF(SUMIFS($F$5:$F$1004,$B$5:$B$1004,B54,$C$5:$C$1004,C54)&gt;1.0001,"Shares for this step add up to over 100%",IF(I54="","Waiting for sign-off",IF(AND(Settings!$B$10="Yes",I54=E54),"Needs a different member to sign off","OK"))))))</f>
        <v/>
      </c>
    </row>
    <row r="55">
      <c r="A55" s="9" t="n"/>
      <c r="B55" s="6" t="n"/>
      <c r="C55" s="6" t="n"/>
      <c r="D55" s="3">
        <f>IF(C55="","",IFERROR(INDEX(Steps!$C$5:$C$62,MATCH(C55,Steps!$A$5:$A$62,0)),""))</f>
        <v/>
      </c>
      <c r="E55" s="6" t="n"/>
      <c r="F55" s="8" t="n"/>
      <c r="G55" s="6" t="n"/>
      <c r="H55" s="7" t="n"/>
      <c r="I55" s="6" t="n"/>
      <c r="J55" s="9" t="n"/>
      <c r="K55" s="11">
        <f>IF(C55="","",N(IFERROR(INDEX(Steps!$E$5:$E$62,MATCH(C55,Steps!$A$5:$A$62,0)),"")))</f>
        <v/>
      </c>
      <c r="L55" s="11">
        <f>IF(AND(C55&lt;&gt;"",E55&lt;&gt;"",I55&lt;&gt;"",OR(Settings!$B$10="No",I55&lt;&gt;E55)),K55*F55,0)</f>
        <v/>
      </c>
      <c r="M55" s="11">
        <f>IF(AND(AND(C55&lt;&gt;"",E55&lt;&gt;"",I55&lt;&gt;"",OR(Settings!$B$10="No",I55&lt;&gt;E55)),G55="Paid a pro",Settings!$B$9="Yes"),MAX(0,H55-K55*F55),0)</f>
        <v/>
      </c>
      <c r="N55" s="3">
        <f>IF(C55="","",IF(B55="","Enter the boat number",IF(B55&gt;Settings!$B$6,"Boat number above the boat count",IF(SUMIFS($F$5:$F$1004,$B$5:$B$1004,B55,$C$5:$C$1004,C55)&gt;1.0001,"Shares for this step add up to over 100%",IF(I55="","Waiting for sign-off",IF(AND(Settings!$B$10="Yes",I55=E55),"Needs a different member to sign off","OK"))))))</f>
        <v/>
      </c>
    </row>
    <row r="56">
      <c r="A56" s="9" t="n"/>
      <c r="B56" s="6" t="n"/>
      <c r="C56" s="6" t="n"/>
      <c r="D56" s="3">
        <f>IF(C56="","",IFERROR(INDEX(Steps!$C$5:$C$62,MATCH(C56,Steps!$A$5:$A$62,0)),""))</f>
        <v/>
      </c>
      <c r="E56" s="6" t="n"/>
      <c r="F56" s="8" t="n"/>
      <c r="G56" s="6" t="n"/>
      <c r="H56" s="7" t="n"/>
      <c r="I56" s="6" t="n"/>
      <c r="J56" s="9" t="n"/>
      <c r="K56" s="11">
        <f>IF(C56="","",N(IFERROR(INDEX(Steps!$E$5:$E$62,MATCH(C56,Steps!$A$5:$A$62,0)),"")))</f>
        <v/>
      </c>
      <c r="L56" s="11">
        <f>IF(AND(C56&lt;&gt;"",E56&lt;&gt;"",I56&lt;&gt;"",OR(Settings!$B$10="No",I56&lt;&gt;E56)),K56*F56,0)</f>
        <v/>
      </c>
      <c r="M56" s="11">
        <f>IF(AND(AND(C56&lt;&gt;"",E56&lt;&gt;"",I56&lt;&gt;"",OR(Settings!$B$10="No",I56&lt;&gt;E56)),G56="Paid a pro",Settings!$B$9="Yes"),MAX(0,H56-K56*F56),0)</f>
        <v/>
      </c>
      <c r="N56" s="3">
        <f>IF(C56="","",IF(B56="","Enter the boat number",IF(B56&gt;Settings!$B$6,"Boat number above the boat count",IF(SUMIFS($F$5:$F$1004,$B$5:$B$1004,B56,$C$5:$C$1004,C56)&gt;1.0001,"Shares for this step add up to over 100%",IF(I56="","Waiting for sign-off",IF(AND(Settings!$B$10="Yes",I56=E56),"Needs a different member to sign off","OK"))))))</f>
        <v/>
      </c>
    </row>
    <row r="57">
      <c r="A57" s="9" t="n"/>
      <c r="B57" s="6" t="n"/>
      <c r="C57" s="6" t="n"/>
      <c r="D57" s="3">
        <f>IF(C57="","",IFERROR(INDEX(Steps!$C$5:$C$62,MATCH(C57,Steps!$A$5:$A$62,0)),""))</f>
        <v/>
      </c>
      <c r="E57" s="6" t="n"/>
      <c r="F57" s="8" t="n"/>
      <c r="G57" s="6" t="n"/>
      <c r="H57" s="7" t="n"/>
      <c r="I57" s="6" t="n"/>
      <c r="J57" s="9" t="n"/>
      <c r="K57" s="11">
        <f>IF(C57="","",N(IFERROR(INDEX(Steps!$E$5:$E$62,MATCH(C57,Steps!$A$5:$A$62,0)),"")))</f>
        <v/>
      </c>
      <c r="L57" s="11">
        <f>IF(AND(C57&lt;&gt;"",E57&lt;&gt;"",I57&lt;&gt;"",OR(Settings!$B$10="No",I57&lt;&gt;E57)),K57*F57,0)</f>
        <v/>
      </c>
      <c r="M57" s="11">
        <f>IF(AND(AND(C57&lt;&gt;"",E57&lt;&gt;"",I57&lt;&gt;"",OR(Settings!$B$10="No",I57&lt;&gt;E57)),G57="Paid a pro",Settings!$B$9="Yes"),MAX(0,H57-K57*F57),0)</f>
        <v/>
      </c>
      <c r="N57" s="3">
        <f>IF(C57="","",IF(B57="","Enter the boat number",IF(B57&gt;Settings!$B$6,"Boat number above the boat count",IF(SUMIFS($F$5:$F$1004,$B$5:$B$1004,B57,$C$5:$C$1004,C57)&gt;1.0001,"Shares for this step add up to over 100%",IF(I57="","Waiting for sign-off",IF(AND(Settings!$B$10="Yes",I57=E57),"Needs a different member to sign off","OK"))))))</f>
        <v/>
      </c>
    </row>
    <row r="58">
      <c r="A58" s="9" t="n"/>
      <c r="B58" s="6" t="n"/>
      <c r="C58" s="6" t="n"/>
      <c r="D58" s="3">
        <f>IF(C58="","",IFERROR(INDEX(Steps!$C$5:$C$62,MATCH(C58,Steps!$A$5:$A$62,0)),""))</f>
        <v/>
      </c>
      <c r="E58" s="6" t="n"/>
      <c r="F58" s="8" t="n"/>
      <c r="G58" s="6" t="n"/>
      <c r="H58" s="7" t="n"/>
      <c r="I58" s="6" t="n"/>
      <c r="J58" s="9" t="n"/>
      <c r="K58" s="11">
        <f>IF(C58="","",N(IFERROR(INDEX(Steps!$E$5:$E$62,MATCH(C58,Steps!$A$5:$A$62,0)),"")))</f>
        <v/>
      </c>
      <c r="L58" s="11">
        <f>IF(AND(C58&lt;&gt;"",E58&lt;&gt;"",I58&lt;&gt;"",OR(Settings!$B$10="No",I58&lt;&gt;E58)),K58*F58,0)</f>
        <v/>
      </c>
      <c r="M58" s="11">
        <f>IF(AND(AND(C58&lt;&gt;"",E58&lt;&gt;"",I58&lt;&gt;"",OR(Settings!$B$10="No",I58&lt;&gt;E58)),G58="Paid a pro",Settings!$B$9="Yes"),MAX(0,H58-K58*F58),0)</f>
        <v/>
      </c>
      <c r="N58" s="3">
        <f>IF(C58="","",IF(B58="","Enter the boat number",IF(B58&gt;Settings!$B$6,"Boat number above the boat count",IF(SUMIFS($F$5:$F$1004,$B$5:$B$1004,B58,$C$5:$C$1004,C58)&gt;1.0001,"Shares for this step add up to over 100%",IF(I58="","Waiting for sign-off",IF(AND(Settings!$B$10="Yes",I58=E58),"Needs a different member to sign off","OK"))))))</f>
        <v/>
      </c>
    </row>
    <row r="59">
      <c r="A59" s="9" t="n"/>
      <c r="B59" s="6" t="n"/>
      <c r="C59" s="6" t="n"/>
      <c r="D59" s="3">
        <f>IF(C59="","",IFERROR(INDEX(Steps!$C$5:$C$62,MATCH(C59,Steps!$A$5:$A$62,0)),""))</f>
        <v/>
      </c>
      <c r="E59" s="6" t="n"/>
      <c r="F59" s="8" t="n"/>
      <c r="G59" s="6" t="n"/>
      <c r="H59" s="7" t="n"/>
      <c r="I59" s="6" t="n"/>
      <c r="J59" s="9" t="n"/>
      <c r="K59" s="11">
        <f>IF(C59="","",N(IFERROR(INDEX(Steps!$E$5:$E$62,MATCH(C59,Steps!$A$5:$A$62,0)),"")))</f>
        <v/>
      </c>
      <c r="L59" s="11">
        <f>IF(AND(C59&lt;&gt;"",E59&lt;&gt;"",I59&lt;&gt;"",OR(Settings!$B$10="No",I59&lt;&gt;E59)),K59*F59,0)</f>
        <v/>
      </c>
      <c r="M59" s="11">
        <f>IF(AND(AND(C59&lt;&gt;"",E59&lt;&gt;"",I59&lt;&gt;"",OR(Settings!$B$10="No",I59&lt;&gt;E59)),G59="Paid a pro",Settings!$B$9="Yes"),MAX(0,H59-K59*F59),0)</f>
        <v/>
      </c>
      <c r="N59" s="3">
        <f>IF(C59="","",IF(B59="","Enter the boat number",IF(B59&gt;Settings!$B$6,"Boat number above the boat count",IF(SUMIFS($F$5:$F$1004,$B$5:$B$1004,B59,$C$5:$C$1004,C59)&gt;1.0001,"Shares for this step add up to over 100%",IF(I59="","Waiting for sign-off",IF(AND(Settings!$B$10="Yes",I59=E59),"Needs a different member to sign off","OK"))))))</f>
        <v/>
      </c>
    </row>
    <row r="60">
      <c r="A60" s="9" t="n"/>
      <c r="B60" s="6" t="n"/>
      <c r="C60" s="6" t="n"/>
      <c r="D60" s="3">
        <f>IF(C60="","",IFERROR(INDEX(Steps!$C$5:$C$62,MATCH(C60,Steps!$A$5:$A$62,0)),""))</f>
        <v/>
      </c>
      <c r="E60" s="6" t="n"/>
      <c r="F60" s="8" t="n"/>
      <c r="G60" s="6" t="n"/>
      <c r="H60" s="7" t="n"/>
      <c r="I60" s="6" t="n"/>
      <c r="J60" s="9" t="n"/>
      <c r="K60" s="11">
        <f>IF(C60="","",N(IFERROR(INDEX(Steps!$E$5:$E$62,MATCH(C60,Steps!$A$5:$A$62,0)),"")))</f>
        <v/>
      </c>
      <c r="L60" s="11">
        <f>IF(AND(C60&lt;&gt;"",E60&lt;&gt;"",I60&lt;&gt;"",OR(Settings!$B$10="No",I60&lt;&gt;E60)),K60*F60,0)</f>
        <v/>
      </c>
      <c r="M60" s="11">
        <f>IF(AND(AND(C60&lt;&gt;"",E60&lt;&gt;"",I60&lt;&gt;"",OR(Settings!$B$10="No",I60&lt;&gt;E60)),G60="Paid a pro",Settings!$B$9="Yes"),MAX(0,H60-K60*F60),0)</f>
        <v/>
      </c>
      <c r="N60" s="3">
        <f>IF(C60="","",IF(B60="","Enter the boat number",IF(B60&gt;Settings!$B$6,"Boat number above the boat count",IF(SUMIFS($F$5:$F$1004,$B$5:$B$1004,B60,$C$5:$C$1004,C60)&gt;1.0001,"Shares for this step add up to over 100%",IF(I60="","Waiting for sign-off",IF(AND(Settings!$B$10="Yes",I60=E60),"Needs a different member to sign off","OK"))))))</f>
        <v/>
      </c>
    </row>
    <row r="61">
      <c r="A61" s="9" t="n"/>
      <c r="B61" s="6" t="n"/>
      <c r="C61" s="6" t="n"/>
      <c r="D61" s="3">
        <f>IF(C61="","",IFERROR(INDEX(Steps!$C$5:$C$62,MATCH(C61,Steps!$A$5:$A$62,0)),""))</f>
        <v/>
      </c>
      <c r="E61" s="6" t="n"/>
      <c r="F61" s="8" t="n"/>
      <c r="G61" s="6" t="n"/>
      <c r="H61" s="7" t="n"/>
      <c r="I61" s="6" t="n"/>
      <c r="J61" s="9" t="n"/>
      <c r="K61" s="11">
        <f>IF(C61="","",N(IFERROR(INDEX(Steps!$E$5:$E$62,MATCH(C61,Steps!$A$5:$A$62,0)),"")))</f>
        <v/>
      </c>
      <c r="L61" s="11">
        <f>IF(AND(C61&lt;&gt;"",E61&lt;&gt;"",I61&lt;&gt;"",OR(Settings!$B$10="No",I61&lt;&gt;E61)),K61*F61,0)</f>
        <v/>
      </c>
      <c r="M61" s="11">
        <f>IF(AND(AND(C61&lt;&gt;"",E61&lt;&gt;"",I61&lt;&gt;"",OR(Settings!$B$10="No",I61&lt;&gt;E61)),G61="Paid a pro",Settings!$B$9="Yes"),MAX(0,H61-K61*F61),0)</f>
        <v/>
      </c>
      <c r="N61" s="3">
        <f>IF(C61="","",IF(B61="","Enter the boat number",IF(B61&gt;Settings!$B$6,"Boat number above the boat count",IF(SUMIFS($F$5:$F$1004,$B$5:$B$1004,B61,$C$5:$C$1004,C61)&gt;1.0001,"Shares for this step add up to over 100%",IF(I61="","Waiting for sign-off",IF(AND(Settings!$B$10="Yes",I61=E61),"Needs a different member to sign off","OK"))))))</f>
        <v/>
      </c>
    </row>
    <row r="62">
      <c r="A62" s="9" t="n"/>
      <c r="B62" s="6" t="n"/>
      <c r="C62" s="6" t="n"/>
      <c r="D62" s="3">
        <f>IF(C62="","",IFERROR(INDEX(Steps!$C$5:$C$62,MATCH(C62,Steps!$A$5:$A$62,0)),""))</f>
        <v/>
      </c>
      <c r="E62" s="6" t="n"/>
      <c r="F62" s="8" t="n"/>
      <c r="G62" s="6" t="n"/>
      <c r="H62" s="7" t="n"/>
      <c r="I62" s="6" t="n"/>
      <c r="J62" s="9" t="n"/>
      <c r="K62" s="11">
        <f>IF(C62="","",N(IFERROR(INDEX(Steps!$E$5:$E$62,MATCH(C62,Steps!$A$5:$A$62,0)),"")))</f>
        <v/>
      </c>
      <c r="L62" s="11">
        <f>IF(AND(C62&lt;&gt;"",E62&lt;&gt;"",I62&lt;&gt;"",OR(Settings!$B$10="No",I62&lt;&gt;E62)),K62*F62,0)</f>
        <v/>
      </c>
      <c r="M62" s="11">
        <f>IF(AND(AND(C62&lt;&gt;"",E62&lt;&gt;"",I62&lt;&gt;"",OR(Settings!$B$10="No",I62&lt;&gt;E62)),G62="Paid a pro",Settings!$B$9="Yes"),MAX(0,H62-K62*F62),0)</f>
        <v/>
      </c>
      <c r="N62" s="3">
        <f>IF(C62="","",IF(B62="","Enter the boat number",IF(B62&gt;Settings!$B$6,"Boat number above the boat count",IF(SUMIFS($F$5:$F$1004,$B$5:$B$1004,B62,$C$5:$C$1004,C62)&gt;1.0001,"Shares for this step add up to over 100%",IF(I62="","Waiting for sign-off",IF(AND(Settings!$B$10="Yes",I62=E62),"Needs a different member to sign off","OK"))))))</f>
        <v/>
      </c>
    </row>
    <row r="63">
      <c r="A63" s="9" t="n"/>
      <c r="B63" s="6" t="n"/>
      <c r="C63" s="6" t="n"/>
      <c r="D63" s="3">
        <f>IF(C63="","",IFERROR(INDEX(Steps!$C$5:$C$62,MATCH(C63,Steps!$A$5:$A$62,0)),""))</f>
        <v/>
      </c>
      <c r="E63" s="6" t="n"/>
      <c r="F63" s="8" t="n"/>
      <c r="G63" s="6" t="n"/>
      <c r="H63" s="7" t="n"/>
      <c r="I63" s="6" t="n"/>
      <c r="J63" s="9" t="n"/>
      <c r="K63" s="11">
        <f>IF(C63="","",N(IFERROR(INDEX(Steps!$E$5:$E$62,MATCH(C63,Steps!$A$5:$A$62,0)),"")))</f>
        <v/>
      </c>
      <c r="L63" s="11">
        <f>IF(AND(C63&lt;&gt;"",E63&lt;&gt;"",I63&lt;&gt;"",OR(Settings!$B$10="No",I63&lt;&gt;E63)),K63*F63,0)</f>
        <v/>
      </c>
      <c r="M63" s="11">
        <f>IF(AND(AND(C63&lt;&gt;"",E63&lt;&gt;"",I63&lt;&gt;"",OR(Settings!$B$10="No",I63&lt;&gt;E63)),G63="Paid a pro",Settings!$B$9="Yes"),MAX(0,H63-K63*F63),0)</f>
        <v/>
      </c>
      <c r="N63" s="3">
        <f>IF(C63="","",IF(B63="","Enter the boat number",IF(B63&gt;Settings!$B$6,"Boat number above the boat count",IF(SUMIFS($F$5:$F$1004,$B$5:$B$1004,B63,$C$5:$C$1004,C63)&gt;1.0001,"Shares for this step add up to over 100%",IF(I63="","Waiting for sign-off",IF(AND(Settings!$B$10="Yes",I63=E63),"Needs a different member to sign off","OK"))))))</f>
        <v/>
      </c>
    </row>
    <row r="64">
      <c r="A64" s="9" t="n"/>
      <c r="B64" s="6" t="n"/>
      <c r="C64" s="6" t="n"/>
      <c r="D64" s="3">
        <f>IF(C64="","",IFERROR(INDEX(Steps!$C$5:$C$62,MATCH(C64,Steps!$A$5:$A$62,0)),""))</f>
        <v/>
      </c>
      <c r="E64" s="6" t="n"/>
      <c r="F64" s="8" t="n"/>
      <c r="G64" s="6" t="n"/>
      <c r="H64" s="7" t="n"/>
      <c r="I64" s="6" t="n"/>
      <c r="J64" s="9" t="n"/>
      <c r="K64" s="11">
        <f>IF(C64="","",N(IFERROR(INDEX(Steps!$E$5:$E$62,MATCH(C64,Steps!$A$5:$A$62,0)),"")))</f>
        <v/>
      </c>
      <c r="L64" s="11">
        <f>IF(AND(C64&lt;&gt;"",E64&lt;&gt;"",I64&lt;&gt;"",OR(Settings!$B$10="No",I64&lt;&gt;E64)),K64*F64,0)</f>
        <v/>
      </c>
      <c r="M64" s="11">
        <f>IF(AND(AND(C64&lt;&gt;"",E64&lt;&gt;"",I64&lt;&gt;"",OR(Settings!$B$10="No",I64&lt;&gt;E64)),G64="Paid a pro",Settings!$B$9="Yes"),MAX(0,H64-K64*F64),0)</f>
        <v/>
      </c>
      <c r="N64" s="3">
        <f>IF(C64="","",IF(B64="","Enter the boat number",IF(B64&gt;Settings!$B$6,"Boat number above the boat count",IF(SUMIFS($F$5:$F$1004,$B$5:$B$1004,B64,$C$5:$C$1004,C64)&gt;1.0001,"Shares for this step add up to over 100%",IF(I64="","Waiting for sign-off",IF(AND(Settings!$B$10="Yes",I64=E64),"Needs a different member to sign off","OK"))))))</f>
        <v/>
      </c>
    </row>
    <row r="65">
      <c r="A65" s="9" t="n"/>
      <c r="B65" s="6" t="n"/>
      <c r="C65" s="6" t="n"/>
      <c r="D65" s="3">
        <f>IF(C65="","",IFERROR(INDEX(Steps!$C$5:$C$62,MATCH(C65,Steps!$A$5:$A$62,0)),""))</f>
        <v/>
      </c>
      <c r="E65" s="6" t="n"/>
      <c r="F65" s="8" t="n"/>
      <c r="G65" s="6" t="n"/>
      <c r="H65" s="7" t="n"/>
      <c r="I65" s="6" t="n"/>
      <c r="J65" s="9" t="n"/>
      <c r="K65" s="11">
        <f>IF(C65="","",N(IFERROR(INDEX(Steps!$E$5:$E$62,MATCH(C65,Steps!$A$5:$A$62,0)),"")))</f>
        <v/>
      </c>
      <c r="L65" s="11">
        <f>IF(AND(C65&lt;&gt;"",E65&lt;&gt;"",I65&lt;&gt;"",OR(Settings!$B$10="No",I65&lt;&gt;E65)),K65*F65,0)</f>
        <v/>
      </c>
      <c r="M65" s="11">
        <f>IF(AND(AND(C65&lt;&gt;"",E65&lt;&gt;"",I65&lt;&gt;"",OR(Settings!$B$10="No",I65&lt;&gt;E65)),G65="Paid a pro",Settings!$B$9="Yes"),MAX(0,H65-K65*F65),0)</f>
        <v/>
      </c>
      <c r="N65" s="3">
        <f>IF(C65="","",IF(B65="","Enter the boat number",IF(B65&gt;Settings!$B$6,"Boat number above the boat count",IF(SUMIFS($F$5:$F$1004,$B$5:$B$1004,B65,$C$5:$C$1004,C65)&gt;1.0001,"Shares for this step add up to over 100%",IF(I65="","Waiting for sign-off",IF(AND(Settings!$B$10="Yes",I65=E65),"Needs a different member to sign off","OK"))))))</f>
        <v/>
      </c>
    </row>
    <row r="66">
      <c r="A66" s="9" t="n"/>
      <c r="B66" s="6" t="n"/>
      <c r="C66" s="6" t="n"/>
      <c r="D66" s="3">
        <f>IF(C66="","",IFERROR(INDEX(Steps!$C$5:$C$62,MATCH(C66,Steps!$A$5:$A$62,0)),""))</f>
        <v/>
      </c>
      <c r="E66" s="6" t="n"/>
      <c r="F66" s="8" t="n"/>
      <c r="G66" s="6" t="n"/>
      <c r="H66" s="7" t="n"/>
      <c r="I66" s="6" t="n"/>
      <c r="J66" s="9" t="n"/>
      <c r="K66" s="11">
        <f>IF(C66="","",N(IFERROR(INDEX(Steps!$E$5:$E$62,MATCH(C66,Steps!$A$5:$A$62,0)),"")))</f>
        <v/>
      </c>
      <c r="L66" s="11">
        <f>IF(AND(C66&lt;&gt;"",E66&lt;&gt;"",I66&lt;&gt;"",OR(Settings!$B$10="No",I66&lt;&gt;E66)),K66*F66,0)</f>
        <v/>
      </c>
      <c r="M66" s="11">
        <f>IF(AND(AND(C66&lt;&gt;"",E66&lt;&gt;"",I66&lt;&gt;"",OR(Settings!$B$10="No",I66&lt;&gt;E66)),G66="Paid a pro",Settings!$B$9="Yes"),MAX(0,H66-K66*F66),0)</f>
        <v/>
      </c>
      <c r="N66" s="3">
        <f>IF(C66="","",IF(B66="","Enter the boat number",IF(B66&gt;Settings!$B$6,"Boat number above the boat count",IF(SUMIFS($F$5:$F$1004,$B$5:$B$1004,B66,$C$5:$C$1004,C66)&gt;1.0001,"Shares for this step add up to over 100%",IF(I66="","Waiting for sign-off",IF(AND(Settings!$B$10="Yes",I66=E66),"Needs a different member to sign off","OK"))))))</f>
        <v/>
      </c>
    </row>
    <row r="67">
      <c r="A67" s="9" t="n"/>
      <c r="B67" s="6" t="n"/>
      <c r="C67" s="6" t="n"/>
      <c r="D67" s="3">
        <f>IF(C67="","",IFERROR(INDEX(Steps!$C$5:$C$62,MATCH(C67,Steps!$A$5:$A$62,0)),""))</f>
        <v/>
      </c>
      <c r="E67" s="6" t="n"/>
      <c r="F67" s="8" t="n"/>
      <c r="G67" s="6" t="n"/>
      <c r="H67" s="7" t="n"/>
      <c r="I67" s="6" t="n"/>
      <c r="J67" s="9" t="n"/>
      <c r="K67" s="11">
        <f>IF(C67="","",N(IFERROR(INDEX(Steps!$E$5:$E$62,MATCH(C67,Steps!$A$5:$A$62,0)),"")))</f>
        <v/>
      </c>
      <c r="L67" s="11">
        <f>IF(AND(C67&lt;&gt;"",E67&lt;&gt;"",I67&lt;&gt;"",OR(Settings!$B$10="No",I67&lt;&gt;E67)),K67*F67,0)</f>
        <v/>
      </c>
      <c r="M67" s="11">
        <f>IF(AND(AND(C67&lt;&gt;"",E67&lt;&gt;"",I67&lt;&gt;"",OR(Settings!$B$10="No",I67&lt;&gt;E67)),G67="Paid a pro",Settings!$B$9="Yes"),MAX(0,H67-K67*F67),0)</f>
        <v/>
      </c>
      <c r="N67" s="3">
        <f>IF(C67="","",IF(B67="","Enter the boat number",IF(B67&gt;Settings!$B$6,"Boat number above the boat count",IF(SUMIFS($F$5:$F$1004,$B$5:$B$1004,B67,$C$5:$C$1004,C67)&gt;1.0001,"Shares for this step add up to over 100%",IF(I67="","Waiting for sign-off",IF(AND(Settings!$B$10="Yes",I67=E67),"Needs a different member to sign off","OK"))))))</f>
        <v/>
      </c>
    </row>
    <row r="68">
      <c r="A68" s="9" t="n"/>
      <c r="B68" s="6" t="n"/>
      <c r="C68" s="6" t="n"/>
      <c r="D68" s="3">
        <f>IF(C68="","",IFERROR(INDEX(Steps!$C$5:$C$62,MATCH(C68,Steps!$A$5:$A$62,0)),""))</f>
        <v/>
      </c>
      <c r="E68" s="6" t="n"/>
      <c r="F68" s="8" t="n"/>
      <c r="G68" s="6" t="n"/>
      <c r="H68" s="7" t="n"/>
      <c r="I68" s="6" t="n"/>
      <c r="J68" s="9" t="n"/>
      <c r="K68" s="11">
        <f>IF(C68="","",N(IFERROR(INDEX(Steps!$E$5:$E$62,MATCH(C68,Steps!$A$5:$A$62,0)),"")))</f>
        <v/>
      </c>
      <c r="L68" s="11">
        <f>IF(AND(C68&lt;&gt;"",E68&lt;&gt;"",I68&lt;&gt;"",OR(Settings!$B$10="No",I68&lt;&gt;E68)),K68*F68,0)</f>
        <v/>
      </c>
      <c r="M68" s="11">
        <f>IF(AND(AND(C68&lt;&gt;"",E68&lt;&gt;"",I68&lt;&gt;"",OR(Settings!$B$10="No",I68&lt;&gt;E68)),G68="Paid a pro",Settings!$B$9="Yes"),MAX(0,H68-K68*F68),0)</f>
        <v/>
      </c>
      <c r="N68" s="3">
        <f>IF(C68="","",IF(B68="","Enter the boat number",IF(B68&gt;Settings!$B$6,"Boat number above the boat count",IF(SUMIFS($F$5:$F$1004,$B$5:$B$1004,B68,$C$5:$C$1004,C68)&gt;1.0001,"Shares for this step add up to over 100%",IF(I68="","Waiting for sign-off",IF(AND(Settings!$B$10="Yes",I68=E68),"Needs a different member to sign off","OK"))))))</f>
        <v/>
      </c>
    </row>
    <row r="69">
      <c r="A69" s="9" t="n"/>
      <c r="B69" s="6" t="n"/>
      <c r="C69" s="6" t="n"/>
      <c r="D69" s="3">
        <f>IF(C69="","",IFERROR(INDEX(Steps!$C$5:$C$62,MATCH(C69,Steps!$A$5:$A$62,0)),""))</f>
        <v/>
      </c>
      <c r="E69" s="6" t="n"/>
      <c r="F69" s="8" t="n"/>
      <c r="G69" s="6" t="n"/>
      <c r="H69" s="7" t="n"/>
      <c r="I69" s="6" t="n"/>
      <c r="J69" s="9" t="n"/>
      <c r="K69" s="11">
        <f>IF(C69="","",N(IFERROR(INDEX(Steps!$E$5:$E$62,MATCH(C69,Steps!$A$5:$A$62,0)),"")))</f>
        <v/>
      </c>
      <c r="L69" s="11">
        <f>IF(AND(C69&lt;&gt;"",E69&lt;&gt;"",I69&lt;&gt;"",OR(Settings!$B$10="No",I69&lt;&gt;E69)),K69*F69,0)</f>
        <v/>
      </c>
      <c r="M69" s="11">
        <f>IF(AND(AND(C69&lt;&gt;"",E69&lt;&gt;"",I69&lt;&gt;"",OR(Settings!$B$10="No",I69&lt;&gt;E69)),G69="Paid a pro",Settings!$B$9="Yes"),MAX(0,H69-K69*F69),0)</f>
        <v/>
      </c>
      <c r="N69" s="3">
        <f>IF(C69="","",IF(B69="","Enter the boat number",IF(B69&gt;Settings!$B$6,"Boat number above the boat count",IF(SUMIFS($F$5:$F$1004,$B$5:$B$1004,B69,$C$5:$C$1004,C69)&gt;1.0001,"Shares for this step add up to over 100%",IF(I69="","Waiting for sign-off",IF(AND(Settings!$B$10="Yes",I69=E69),"Needs a different member to sign off","OK"))))))</f>
        <v/>
      </c>
    </row>
    <row r="70">
      <c r="A70" s="9" t="n"/>
      <c r="B70" s="6" t="n"/>
      <c r="C70" s="6" t="n"/>
      <c r="D70" s="3">
        <f>IF(C70="","",IFERROR(INDEX(Steps!$C$5:$C$62,MATCH(C70,Steps!$A$5:$A$62,0)),""))</f>
        <v/>
      </c>
      <c r="E70" s="6" t="n"/>
      <c r="F70" s="8" t="n"/>
      <c r="G70" s="6" t="n"/>
      <c r="H70" s="7" t="n"/>
      <c r="I70" s="6" t="n"/>
      <c r="J70" s="9" t="n"/>
      <c r="K70" s="11">
        <f>IF(C70="","",N(IFERROR(INDEX(Steps!$E$5:$E$62,MATCH(C70,Steps!$A$5:$A$62,0)),"")))</f>
        <v/>
      </c>
      <c r="L70" s="11">
        <f>IF(AND(C70&lt;&gt;"",E70&lt;&gt;"",I70&lt;&gt;"",OR(Settings!$B$10="No",I70&lt;&gt;E70)),K70*F70,0)</f>
        <v/>
      </c>
      <c r="M70" s="11">
        <f>IF(AND(AND(C70&lt;&gt;"",E70&lt;&gt;"",I70&lt;&gt;"",OR(Settings!$B$10="No",I70&lt;&gt;E70)),G70="Paid a pro",Settings!$B$9="Yes"),MAX(0,H70-K70*F70),0)</f>
        <v/>
      </c>
      <c r="N70" s="3">
        <f>IF(C70="","",IF(B70="","Enter the boat number",IF(B70&gt;Settings!$B$6,"Boat number above the boat count",IF(SUMIFS($F$5:$F$1004,$B$5:$B$1004,B70,$C$5:$C$1004,C70)&gt;1.0001,"Shares for this step add up to over 100%",IF(I70="","Waiting for sign-off",IF(AND(Settings!$B$10="Yes",I70=E70),"Needs a different member to sign off","OK"))))))</f>
        <v/>
      </c>
    </row>
    <row r="71">
      <c r="A71" s="9" t="n"/>
      <c r="B71" s="6" t="n"/>
      <c r="C71" s="6" t="n"/>
      <c r="D71" s="3">
        <f>IF(C71="","",IFERROR(INDEX(Steps!$C$5:$C$62,MATCH(C71,Steps!$A$5:$A$62,0)),""))</f>
        <v/>
      </c>
      <c r="E71" s="6" t="n"/>
      <c r="F71" s="8" t="n"/>
      <c r="G71" s="6" t="n"/>
      <c r="H71" s="7" t="n"/>
      <c r="I71" s="6" t="n"/>
      <c r="J71" s="9" t="n"/>
      <c r="K71" s="11">
        <f>IF(C71="","",N(IFERROR(INDEX(Steps!$E$5:$E$62,MATCH(C71,Steps!$A$5:$A$62,0)),"")))</f>
        <v/>
      </c>
      <c r="L71" s="11">
        <f>IF(AND(C71&lt;&gt;"",E71&lt;&gt;"",I71&lt;&gt;"",OR(Settings!$B$10="No",I71&lt;&gt;E71)),K71*F71,0)</f>
        <v/>
      </c>
      <c r="M71" s="11">
        <f>IF(AND(AND(C71&lt;&gt;"",E71&lt;&gt;"",I71&lt;&gt;"",OR(Settings!$B$10="No",I71&lt;&gt;E71)),G71="Paid a pro",Settings!$B$9="Yes"),MAX(0,H71-K71*F71),0)</f>
        <v/>
      </c>
      <c r="N71" s="3">
        <f>IF(C71="","",IF(B71="","Enter the boat number",IF(B71&gt;Settings!$B$6,"Boat number above the boat count",IF(SUMIFS($F$5:$F$1004,$B$5:$B$1004,B71,$C$5:$C$1004,C71)&gt;1.0001,"Shares for this step add up to over 100%",IF(I71="","Waiting for sign-off",IF(AND(Settings!$B$10="Yes",I71=E71),"Needs a different member to sign off","OK"))))))</f>
        <v/>
      </c>
    </row>
    <row r="72">
      <c r="A72" s="9" t="n"/>
      <c r="B72" s="6" t="n"/>
      <c r="C72" s="6" t="n"/>
      <c r="D72" s="3">
        <f>IF(C72="","",IFERROR(INDEX(Steps!$C$5:$C$62,MATCH(C72,Steps!$A$5:$A$62,0)),""))</f>
        <v/>
      </c>
      <c r="E72" s="6" t="n"/>
      <c r="F72" s="8" t="n"/>
      <c r="G72" s="6" t="n"/>
      <c r="H72" s="7" t="n"/>
      <c r="I72" s="6" t="n"/>
      <c r="J72" s="9" t="n"/>
      <c r="K72" s="11">
        <f>IF(C72="","",N(IFERROR(INDEX(Steps!$E$5:$E$62,MATCH(C72,Steps!$A$5:$A$62,0)),"")))</f>
        <v/>
      </c>
      <c r="L72" s="11">
        <f>IF(AND(C72&lt;&gt;"",E72&lt;&gt;"",I72&lt;&gt;"",OR(Settings!$B$10="No",I72&lt;&gt;E72)),K72*F72,0)</f>
        <v/>
      </c>
      <c r="M72" s="11">
        <f>IF(AND(AND(C72&lt;&gt;"",E72&lt;&gt;"",I72&lt;&gt;"",OR(Settings!$B$10="No",I72&lt;&gt;E72)),G72="Paid a pro",Settings!$B$9="Yes"),MAX(0,H72-K72*F72),0)</f>
        <v/>
      </c>
      <c r="N72" s="3">
        <f>IF(C72="","",IF(B72="","Enter the boat number",IF(B72&gt;Settings!$B$6,"Boat number above the boat count",IF(SUMIFS($F$5:$F$1004,$B$5:$B$1004,B72,$C$5:$C$1004,C72)&gt;1.0001,"Shares for this step add up to over 100%",IF(I72="","Waiting for sign-off",IF(AND(Settings!$B$10="Yes",I72=E72),"Needs a different member to sign off","OK"))))))</f>
        <v/>
      </c>
    </row>
    <row r="73">
      <c r="A73" s="9" t="n"/>
      <c r="B73" s="6" t="n"/>
      <c r="C73" s="6" t="n"/>
      <c r="D73" s="3">
        <f>IF(C73="","",IFERROR(INDEX(Steps!$C$5:$C$62,MATCH(C73,Steps!$A$5:$A$62,0)),""))</f>
        <v/>
      </c>
      <c r="E73" s="6" t="n"/>
      <c r="F73" s="8" t="n"/>
      <c r="G73" s="6" t="n"/>
      <c r="H73" s="7" t="n"/>
      <c r="I73" s="6" t="n"/>
      <c r="J73" s="9" t="n"/>
      <c r="K73" s="11">
        <f>IF(C73="","",N(IFERROR(INDEX(Steps!$E$5:$E$62,MATCH(C73,Steps!$A$5:$A$62,0)),"")))</f>
        <v/>
      </c>
      <c r="L73" s="11">
        <f>IF(AND(C73&lt;&gt;"",E73&lt;&gt;"",I73&lt;&gt;"",OR(Settings!$B$10="No",I73&lt;&gt;E73)),K73*F73,0)</f>
        <v/>
      </c>
      <c r="M73" s="11">
        <f>IF(AND(AND(C73&lt;&gt;"",E73&lt;&gt;"",I73&lt;&gt;"",OR(Settings!$B$10="No",I73&lt;&gt;E73)),G73="Paid a pro",Settings!$B$9="Yes"),MAX(0,H73-K73*F73),0)</f>
        <v/>
      </c>
      <c r="N73" s="3">
        <f>IF(C73="","",IF(B73="","Enter the boat number",IF(B73&gt;Settings!$B$6,"Boat number above the boat count",IF(SUMIFS($F$5:$F$1004,$B$5:$B$1004,B73,$C$5:$C$1004,C73)&gt;1.0001,"Shares for this step add up to over 100%",IF(I73="","Waiting for sign-off",IF(AND(Settings!$B$10="Yes",I73=E73),"Needs a different member to sign off","OK"))))))</f>
        <v/>
      </c>
    </row>
    <row r="74">
      <c r="A74" s="9" t="n"/>
      <c r="B74" s="6" t="n"/>
      <c r="C74" s="6" t="n"/>
      <c r="D74" s="3">
        <f>IF(C74="","",IFERROR(INDEX(Steps!$C$5:$C$62,MATCH(C74,Steps!$A$5:$A$62,0)),""))</f>
        <v/>
      </c>
      <c r="E74" s="6" t="n"/>
      <c r="F74" s="8" t="n"/>
      <c r="G74" s="6" t="n"/>
      <c r="H74" s="7" t="n"/>
      <c r="I74" s="6" t="n"/>
      <c r="J74" s="9" t="n"/>
      <c r="K74" s="11">
        <f>IF(C74="","",N(IFERROR(INDEX(Steps!$E$5:$E$62,MATCH(C74,Steps!$A$5:$A$62,0)),"")))</f>
        <v/>
      </c>
      <c r="L74" s="11">
        <f>IF(AND(C74&lt;&gt;"",E74&lt;&gt;"",I74&lt;&gt;"",OR(Settings!$B$10="No",I74&lt;&gt;E74)),K74*F74,0)</f>
        <v/>
      </c>
      <c r="M74" s="11">
        <f>IF(AND(AND(C74&lt;&gt;"",E74&lt;&gt;"",I74&lt;&gt;"",OR(Settings!$B$10="No",I74&lt;&gt;E74)),G74="Paid a pro",Settings!$B$9="Yes"),MAX(0,H74-K74*F74),0)</f>
        <v/>
      </c>
      <c r="N74" s="3">
        <f>IF(C74="","",IF(B74="","Enter the boat number",IF(B74&gt;Settings!$B$6,"Boat number above the boat count",IF(SUMIFS($F$5:$F$1004,$B$5:$B$1004,B74,$C$5:$C$1004,C74)&gt;1.0001,"Shares for this step add up to over 100%",IF(I74="","Waiting for sign-off",IF(AND(Settings!$B$10="Yes",I74=E74),"Needs a different member to sign off","OK"))))))</f>
        <v/>
      </c>
    </row>
    <row r="75">
      <c r="A75" s="9" t="n"/>
      <c r="B75" s="6" t="n"/>
      <c r="C75" s="6" t="n"/>
      <c r="D75" s="3">
        <f>IF(C75="","",IFERROR(INDEX(Steps!$C$5:$C$62,MATCH(C75,Steps!$A$5:$A$62,0)),""))</f>
        <v/>
      </c>
      <c r="E75" s="6" t="n"/>
      <c r="F75" s="8" t="n"/>
      <c r="G75" s="6" t="n"/>
      <c r="H75" s="7" t="n"/>
      <c r="I75" s="6" t="n"/>
      <c r="J75" s="9" t="n"/>
      <c r="K75" s="11">
        <f>IF(C75="","",N(IFERROR(INDEX(Steps!$E$5:$E$62,MATCH(C75,Steps!$A$5:$A$62,0)),"")))</f>
        <v/>
      </c>
      <c r="L75" s="11">
        <f>IF(AND(C75&lt;&gt;"",E75&lt;&gt;"",I75&lt;&gt;"",OR(Settings!$B$10="No",I75&lt;&gt;E75)),K75*F75,0)</f>
        <v/>
      </c>
      <c r="M75" s="11">
        <f>IF(AND(AND(C75&lt;&gt;"",E75&lt;&gt;"",I75&lt;&gt;"",OR(Settings!$B$10="No",I75&lt;&gt;E75)),G75="Paid a pro",Settings!$B$9="Yes"),MAX(0,H75-K75*F75),0)</f>
        <v/>
      </c>
      <c r="N75" s="3">
        <f>IF(C75="","",IF(B75="","Enter the boat number",IF(B75&gt;Settings!$B$6,"Boat number above the boat count",IF(SUMIFS($F$5:$F$1004,$B$5:$B$1004,B75,$C$5:$C$1004,C75)&gt;1.0001,"Shares for this step add up to over 100%",IF(I75="","Waiting for sign-off",IF(AND(Settings!$B$10="Yes",I75=E75),"Needs a different member to sign off","OK"))))))</f>
        <v/>
      </c>
    </row>
    <row r="76">
      <c r="A76" s="9" t="n"/>
      <c r="B76" s="6" t="n"/>
      <c r="C76" s="6" t="n"/>
      <c r="D76" s="3">
        <f>IF(C76="","",IFERROR(INDEX(Steps!$C$5:$C$62,MATCH(C76,Steps!$A$5:$A$62,0)),""))</f>
        <v/>
      </c>
      <c r="E76" s="6" t="n"/>
      <c r="F76" s="8" t="n"/>
      <c r="G76" s="6" t="n"/>
      <c r="H76" s="7" t="n"/>
      <c r="I76" s="6" t="n"/>
      <c r="J76" s="9" t="n"/>
      <c r="K76" s="11">
        <f>IF(C76="","",N(IFERROR(INDEX(Steps!$E$5:$E$62,MATCH(C76,Steps!$A$5:$A$62,0)),"")))</f>
        <v/>
      </c>
      <c r="L76" s="11">
        <f>IF(AND(C76&lt;&gt;"",E76&lt;&gt;"",I76&lt;&gt;"",OR(Settings!$B$10="No",I76&lt;&gt;E76)),K76*F76,0)</f>
        <v/>
      </c>
      <c r="M76" s="11">
        <f>IF(AND(AND(C76&lt;&gt;"",E76&lt;&gt;"",I76&lt;&gt;"",OR(Settings!$B$10="No",I76&lt;&gt;E76)),G76="Paid a pro",Settings!$B$9="Yes"),MAX(0,H76-K76*F76),0)</f>
        <v/>
      </c>
      <c r="N76" s="3">
        <f>IF(C76="","",IF(B76="","Enter the boat number",IF(B76&gt;Settings!$B$6,"Boat number above the boat count",IF(SUMIFS($F$5:$F$1004,$B$5:$B$1004,B76,$C$5:$C$1004,C76)&gt;1.0001,"Shares for this step add up to over 100%",IF(I76="","Waiting for sign-off",IF(AND(Settings!$B$10="Yes",I76=E76),"Needs a different member to sign off","OK"))))))</f>
        <v/>
      </c>
    </row>
    <row r="77">
      <c r="A77" s="9" t="n"/>
      <c r="B77" s="6" t="n"/>
      <c r="C77" s="6" t="n"/>
      <c r="D77" s="3">
        <f>IF(C77="","",IFERROR(INDEX(Steps!$C$5:$C$62,MATCH(C77,Steps!$A$5:$A$62,0)),""))</f>
        <v/>
      </c>
      <c r="E77" s="6" t="n"/>
      <c r="F77" s="8" t="n"/>
      <c r="G77" s="6" t="n"/>
      <c r="H77" s="7" t="n"/>
      <c r="I77" s="6" t="n"/>
      <c r="J77" s="9" t="n"/>
      <c r="K77" s="11">
        <f>IF(C77="","",N(IFERROR(INDEX(Steps!$E$5:$E$62,MATCH(C77,Steps!$A$5:$A$62,0)),"")))</f>
        <v/>
      </c>
      <c r="L77" s="11">
        <f>IF(AND(C77&lt;&gt;"",E77&lt;&gt;"",I77&lt;&gt;"",OR(Settings!$B$10="No",I77&lt;&gt;E77)),K77*F77,0)</f>
        <v/>
      </c>
      <c r="M77" s="11">
        <f>IF(AND(AND(C77&lt;&gt;"",E77&lt;&gt;"",I77&lt;&gt;"",OR(Settings!$B$10="No",I77&lt;&gt;E77)),G77="Paid a pro",Settings!$B$9="Yes"),MAX(0,H77-K77*F77),0)</f>
        <v/>
      </c>
      <c r="N77" s="3">
        <f>IF(C77="","",IF(B77="","Enter the boat number",IF(B77&gt;Settings!$B$6,"Boat number above the boat count",IF(SUMIFS($F$5:$F$1004,$B$5:$B$1004,B77,$C$5:$C$1004,C77)&gt;1.0001,"Shares for this step add up to over 100%",IF(I77="","Waiting for sign-off",IF(AND(Settings!$B$10="Yes",I77=E77),"Needs a different member to sign off","OK"))))))</f>
        <v/>
      </c>
    </row>
    <row r="78">
      <c r="A78" s="9" t="n"/>
      <c r="B78" s="6" t="n"/>
      <c r="C78" s="6" t="n"/>
      <c r="D78" s="3">
        <f>IF(C78="","",IFERROR(INDEX(Steps!$C$5:$C$62,MATCH(C78,Steps!$A$5:$A$62,0)),""))</f>
        <v/>
      </c>
      <c r="E78" s="6" t="n"/>
      <c r="F78" s="8" t="n"/>
      <c r="G78" s="6" t="n"/>
      <c r="H78" s="7" t="n"/>
      <c r="I78" s="6" t="n"/>
      <c r="J78" s="9" t="n"/>
      <c r="K78" s="11">
        <f>IF(C78="","",N(IFERROR(INDEX(Steps!$E$5:$E$62,MATCH(C78,Steps!$A$5:$A$62,0)),"")))</f>
        <v/>
      </c>
      <c r="L78" s="11">
        <f>IF(AND(C78&lt;&gt;"",E78&lt;&gt;"",I78&lt;&gt;"",OR(Settings!$B$10="No",I78&lt;&gt;E78)),K78*F78,0)</f>
        <v/>
      </c>
      <c r="M78" s="11">
        <f>IF(AND(AND(C78&lt;&gt;"",E78&lt;&gt;"",I78&lt;&gt;"",OR(Settings!$B$10="No",I78&lt;&gt;E78)),G78="Paid a pro",Settings!$B$9="Yes"),MAX(0,H78-K78*F78),0)</f>
        <v/>
      </c>
      <c r="N78" s="3">
        <f>IF(C78="","",IF(B78="","Enter the boat number",IF(B78&gt;Settings!$B$6,"Boat number above the boat count",IF(SUMIFS($F$5:$F$1004,$B$5:$B$1004,B78,$C$5:$C$1004,C78)&gt;1.0001,"Shares for this step add up to over 100%",IF(I78="","Waiting for sign-off",IF(AND(Settings!$B$10="Yes",I78=E78),"Needs a different member to sign off","OK"))))))</f>
        <v/>
      </c>
    </row>
    <row r="79">
      <c r="A79" s="9" t="n"/>
      <c r="B79" s="6" t="n"/>
      <c r="C79" s="6" t="n"/>
      <c r="D79" s="3">
        <f>IF(C79="","",IFERROR(INDEX(Steps!$C$5:$C$62,MATCH(C79,Steps!$A$5:$A$62,0)),""))</f>
        <v/>
      </c>
      <c r="E79" s="6" t="n"/>
      <c r="F79" s="8" t="n"/>
      <c r="G79" s="6" t="n"/>
      <c r="H79" s="7" t="n"/>
      <c r="I79" s="6" t="n"/>
      <c r="J79" s="9" t="n"/>
      <c r="K79" s="11">
        <f>IF(C79="","",N(IFERROR(INDEX(Steps!$E$5:$E$62,MATCH(C79,Steps!$A$5:$A$62,0)),"")))</f>
        <v/>
      </c>
      <c r="L79" s="11">
        <f>IF(AND(C79&lt;&gt;"",E79&lt;&gt;"",I79&lt;&gt;"",OR(Settings!$B$10="No",I79&lt;&gt;E79)),K79*F79,0)</f>
        <v/>
      </c>
      <c r="M79" s="11">
        <f>IF(AND(AND(C79&lt;&gt;"",E79&lt;&gt;"",I79&lt;&gt;"",OR(Settings!$B$10="No",I79&lt;&gt;E79)),G79="Paid a pro",Settings!$B$9="Yes"),MAX(0,H79-K79*F79),0)</f>
        <v/>
      </c>
      <c r="N79" s="3">
        <f>IF(C79="","",IF(B79="","Enter the boat number",IF(B79&gt;Settings!$B$6,"Boat number above the boat count",IF(SUMIFS($F$5:$F$1004,$B$5:$B$1004,B79,$C$5:$C$1004,C79)&gt;1.0001,"Shares for this step add up to over 100%",IF(I79="","Waiting for sign-off",IF(AND(Settings!$B$10="Yes",I79=E79),"Needs a different member to sign off","OK"))))))</f>
        <v/>
      </c>
    </row>
    <row r="80">
      <c r="A80" s="9" t="n"/>
      <c r="B80" s="6" t="n"/>
      <c r="C80" s="6" t="n"/>
      <c r="D80" s="3">
        <f>IF(C80="","",IFERROR(INDEX(Steps!$C$5:$C$62,MATCH(C80,Steps!$A$5:$A$62,0)),""))</f>
        <v/>
      </c>
      <c r="E80" s="6" t="n"/>
      <c r="F80" s="8" t="n"/>
      <c r="G80" s="6" t="n"/>
      <c r="H80" s="7" t="n"/>
      <c r="I80" s="6" t="n"/>
      <c r="J80" s="9" t="n"/>
      <c r="K80" s="11">
        <f>IF(C80="","",N(IFERROR(INDEX(Steps!$E$5:$E$62,MATCH(C80,Steps!$A$5:$A$62,0)),"")))</f>
        <v/>
      </c>
      <c r="L80" s="11">
        <f>IF(AND(C80&lt;&gt;"",E80&lt;&gt;"",I80&lt;&gt;"",OR(Settings!$B$10="No",I80&lt;&gt;E80)),K80*F80,0)</f>
        <v/>
      </c>
      <c r="M80" s="11">
        <f>IF(AND(AND(C80&lt;&gt;"",E80&lt;&gt;"",I80&lt;&gt;"",OR(Settings!$B$10="No",I80&lt;&gt;E80)),G80="Paid a pro",Settings!$B$9="Yes"),MAX(0,H80-K80*F80),0)</f>
        <v/>
      </c>
      <c r="N80" s="3">
        <f>IF(C80="","",IF(B80="","Enter the boat number",IF(B80&gt;Settings!$B$6,"Boat number above the boat count",IF(SUMIFS($F$5:$F$1004,$B$5:$B$1004,B80,$C$5:$C$1004,C80)&gt;1.0001,"Shares for this step add up to over 100%",IF(I80="","Waiting for sign-off",IF(AND(Settings!$B$10="Yes",I80=E80),"Needs a different member to sign off","OK"))))))</f>
        <v/>
      </c>
    </row>
    <row r="81">
      <c r="A81" s="9" t="n"/>
      <c r="B81" s="6" t="n"/>
      <c r="C81" s="6" t="n"/>
      <c r="D81" s="3">
        <f>IF(C81="","",IFERROR(INDEX(Steps!$C$5:$C$62,MATCH(C81,Steps!$A$5:$A$62,0)),""))</f>
        <v/>
      </c>
      <c r="E81" s="6" t="n"/>
      <c r="F81" s="8" t="n"/>
      <c r="G81" s="6" t="n"/>
      <c r="H81" s="7" t="n"/>
      <c r="I81" s="6" t="n"/>
      <c r="J81" s="9" t="n"/>
      <c r="K81" s="11">
        <f>IF(C81="","",N(IFERROR(INDEX(Steps!$E$5:$E$62,MATCH(C81,Steps!$A$5:$A$62,0)),"")))</f>
        <v/>
      </c>
      <c r="L81" s="11">
        <f>IF(AND(C81&lt;&gt;"",E81&lt;&gt;"",I81&lt;&gt;"",OR(Settings!$B$10="No",I81&lt;&gt;E81)),K81*F81,0)</f>
        <v/>
      </c>
      <c r="M81" s="11">
        <f>IF(AND(AND(C81&lt;&gt;"",E81&lt;&gt;"",I81&lt;&gt;"",OR(Settings!$B$10="No",I81&lt;&gt;E81)),G81="Paid a pro",Settings!$B$9="Yes"),MAX(0,H81-K81*F81),0)</f>
        <v/>
      </c>
      <c r="N81" s="3">
        <f>IF(C81="","",IF(B81="","Enter the boat number",IF(B81&gt;Settings!$B$6,"Boat number above the boat count",IF(SUMIFS($F$5:$F$1004,$B$5:$B$1004,B81,$C$5:$C$1004,C81)&gt;1.0001,"Shares for this step add up to over 100%",IF(I81="","Waiting for sign-off",IF(AND(Settings!$B$10="Yes",I81=E81),"Needs a different member to sign off","OK"))))))</f>
        <v/>
      </c>
    </row>
    <row r="82">
      <c r="A82" s="9" t="n"/>
      <c r="B82" s="6" t="n"/>
      <c r="C82" s="6" t="n"/>
      <c r="D82" s="3">
        <f>IF(C82="","",IFERROR(INDEX(Steps!$C$5:$C$62,MATCH(C82,Steps!$A$5:$A$62,0)),""))</f>
        <v/>
      </c>
      <c r="E82" s="6" t="n"/>
      <c r="F82" s="8" t="n"/>
      <c r="G82" s="6" t="n"/>
      <c r="H82" s="7" t="n"/>
      <c r="I82" s="6" t="n"/>
      <c r="J82" s="9" t="n"/>
      <c r="K82" s="11">
        <f>IF(C82="","",N(IFERROR(INDEX(Steps!$E$5:$E$62,MATCH(C82,Steps!$A$5:$A$62,0)),"")))</f>
        <v/>
      </c>
      <c r="L82" s="11">
        <f>IF(AND(C82&lt;&gt;"",E82&lt;&gt;"",I82&lt;&gt;"",OR(Settings!$B$10="No",I82&lt;&gt;E82)),K82*F82,0)</f>
        <v/>
      </c>
      <c r="M82" s="11">
        <f>IF(AND(AND(C82&lt;&gt;"",E82&lt;&gt;"",I82&lt;&gt;"",OR(Settings!$B$10="No",I82&lt;&gt;E82)),G82="Paid a pro",Settings!$B$9="Yes"),MAX(0,H82-K82*F82),0)</f>
        <v/>
      </c>
      <c r="N82" s="3">
        <f>IF(C82="","",IF(B82="","Enter the boat number",IF(B82&gt;Settings!$B$6,"Boat number above the boat count",IF(SUMIFS($F$5:$F$1004,$B$5:$B$1004,B82,$C$5:$C$1004,C82)&gt;1.0001,"Shares for this step add up to over 100%",IF(I82="","Waiting for sign-off",IF(AND(Settings!$B$10="Yes",I82=E82),"Needs a different member to sign off","OK"))))))</f>
        <v/>
      </c>
    </row>
    <row r="83">
      <c r="A83" s="9" t="n"/>
      <c r="B83" s="6" t="n"/>
      <c r="C83" s="6" t="n"/>
      <c r="D83" s="3">
        <f>IF(C83="","",IFERROR(INDEX(Steps!$C$5:$C$62,MATCH(C83,Steps!$A$5:$A$62,0)),""))</f>
        <v/>
      </c>
      <c r="E83" s="6" t="n"/>
      <c r="F83" s="8" t="n"/>
      <c r="G83" s="6" t="n"/>
      <c r="H83" s="7" t="n"/>
      <c r="I83" s="6" t="n"/>
      <c r="J83" s="9" t="n"/>
      <c r="K83" s="11">
        <f>IF(C83="","",N(IFERROR(INDEX(Steps!$E$5:$E$62,MATCH(C83,Steps!$A$5:$A$62,0)),"")))</f>
        <v/>
      </c>
      <c r="L83" s="11">
        <f>IF(AND(C83&lt;&gt;"",E83&lt;&gt;"",I83&lt;&gt;"",OR(Settings!$B$10="No",I83&lt;&gt;E83)),K83*F83,0)</f>
        <v/>
      </c>
      <c r="M83" s="11">
        <f>IF(AND(AND(C83&lt;&gt;"",E83&lt;&gt;"",I83&lt;&gt;"",OR(Settings!$B$10="No",I83&lt;&gt;E83)),G83="Paid a pro",Settings!$B$9="Yes"),MAX(0,H83-K83*F83),0)</f>
        <v/>
      </c>
      <c r="N83" s="3">
        <f>IF(C83="","",IF(B83="","Enter the boat number",IF(B83&gt;Settings!$B$6,"Boat number above the boat count",IF(SUMIFS($F$5:$F$1004,$B$5:$B$1004,B83,$C$5:$C$1004,C83)&gt;1.0001,"Shares for this step add up to over 100%",IF(I83="","Waiting for sign-off",IF(AND(Settings!$B$10="Yes",I83=E83),"Needs a different member to sign off","OK"))))))</f>
        <v/>
      </c>
    </row>
    <row r="84">
      <c r="A84" s="9" t="n"/>
      <c r="B84" s="6" t="n"/>
      <c r="C84" s="6" t="n"/>
      <c r="D84" s="3">
        <f>IF(C84="","",IFERROR(INDEX(Steps!$C$5:$C$62,MATCH(C84,Steps!$A$5:$A$62,0)),""))</f>
        <v/>
      </c>
      <c r="E84" s="6" t="n"/>
      <c r="F84" s="8" t="n"/>
      <c r="G84" s="6" t="n"/>
      <c r="H84" s="7" t="n"/>
      <c r="I84" s="6" t="n"/>
      <c r="J84" s="9" t="n"/>
      <c r="K84" s="11">
        <f>IF(C84="","",N(IFERROR(INDEX(Steps!$E$5:$E$62,MATCH(C84,Steps!$A$5:$A$62,0)),"")))</f>
        <v/>
      </c>
      <c r="L84" s="11">
        <f>IF(AND(C84&lt;&gt;"",E84&lt;&gt;"",I84&lt;&gt;"",OR(Settings!$B$10="No",I84&lt;&gt;E84)),K84*F84,0)</f>
        <v/>
      </c>
      <c r="M84" s="11">
        <f>IF(AND(AND(C84&lt;&gt;"",E84&lt;&gt;"",I84&lt;&gt;"",OR(Settings!$B$10="No",I84&lt;&gt;E84)),G84="Paid a pro",Settings!$B$9="Yes"),MAX(0,H84-K84*F84),0)</f>
        <v/>
      </c>
      <c r="N84" s="3">
        <f>IF(C84="","",IF(B84="","Enter the boat number",IF(B84&gt;Settings!$B$6,"Boat number above the boat count",IF(SUMIFS($F$5:$F$1004,$B$5:$B$1004,B84,$C$5:$C$1004,C84)&gt;1.0001,"Shares for this step add up to over 100%",IF(I84="","Waiting for sign-off",IF(AND(Settings!$B$10="Yes",I84=E84),"Needs a different member to sign off","OK"))))))</f>
        <v/>
      </c>
    </row>
    <row r="85">
      <c r="A85" s="9" t="n"/>
      <c r="B85" s="6" t="n"/>
      <c r="C85" s="6" t="n"/>
      <c r="D85" s="3">
        <f>IF(C85="","",IFERROR(INDEX(Steps!$C$5:$C$62,MATCH(C85,Steps!$A$5:$A$62,0)),""))</f>
        <v/>
      </c>
      <c r="E85" s="6" t="n"/>
      <c r="F85" s="8" t="n"/>
      <c r="G85" s="6" t="n"/>
      <c r="H85" s="7" t="n"/>
      <c r="I85" s="6" t="n"/>
      <c r="J85" s="9" t="n"/>
      <c r="K85" s="11">
        <f>IF(C85="","",N(IFERROR(INDEX(Steps!$E$5:$E$62,MATCH(C85,Steps!$A$5:$A$62,0)),"")))</f>
        <v/>
      </c>
      <c r="L85" s="11">
        <f>IF(AND(C85&lt;&gt;"",E85&lt;&gt;"",I85&lt;&gt;"",OR(Settings!$B$10="No",I85&lt;&gt;E85)),K85*F85,0)</f>
        <v/>
      </c>
      <c r="M85" s="11">
        <f>IF(AND(AND(C85&lt;&gt;"",E85&lt;&gt;"",I85&lt;&gt;"",OR(Settings!$B$10="No",I85&lt;&gt;E85)),G85="Paid a pro",Settings!$B$9="Yes"),MAX(0,H85-K85*F85),0)</f>
        <v/>
      </c>
      <c r="N85" s="3">
        <f>IF(C85="","",IF(B85="","Enter the boat number",IF(B85&gt;Settings!$B$6,"Boat number above the boat count",IF(SUMIFS($F$5:$F$1004,$B$5:$B$1004,B85,$C$5:$C$1004,C85)&gt;1.0001,"Shares for this step add up to over 100%",IF(I85="","Waiting for sign-off",IF(AND(Settings!$B$10="Yes",I85=E85),"Needs a different member to sign off","OK"))))))</f>
        <v/>
      </c>
    </row>
    <row r="86">
      <c r="A86" s="9" t="n"/>
      <c r="B86" s="6" t="n"/>
      <c r="C86" s="6" t="n"/>
      <c r="D86" s="3">
        <f>IF(C86="","",IFERROR(INDEX(Steps!$C$5:$C$62,MATCH(C86,Steps!$A$5:$A$62,0)),""))</f>
        <v/>
      </c>
      <c r="E86" s="6" t="n"/>
      <c r="F86" s="8" t="n"/>
      <c r="G86" s="6" t="n"/>
      <c r="H86" s="7" t="n"/>
      <c r="I86" s="6" t="n"/>
      <c r="J86" s="9" t="n"/>
      <c r="K86" s="11">
        <f>IF(C86="","",N(IFERROR(INDEX(Steps!$E$5:$E$62,MATCH(C86,Steps!$A$5:$A$62,0)),"")))</f>
        <v/>
      </c>
      <c r="L86" s="11">
        <f>IF(AND(C86&lt;&gt;"",E86&lt;&gt;"",I86&lt;&gt;"",OR(Settings!$B$10="No",I86&lt;&gt;E86)),K86*F86,0)</f>
        <v/>
      </c>
      <c r="M86" s="11">
        <f>IF(AND(AND(C86&lt;&gt;"",E86&lt;&gt;"",I86&lt;&gt;"",OR(Settings!$B$10="No",I86&lt;&gt;E86)),G86="Paid a pro",Settings!$B$9="Yes"),MAX(0,H86-K86*F86),0)</f>
        <v/>
      </c>
      <c r="N86" s="3">
        <f>IF(C86="","",IF(B86="","Enter the boat number",IF(B86&gt;Settings!$B$6,"Boat number above the boat count",IF(SUMIFS($F$5:$F$1004,$B$5:$B$1004,B86,$C$5:$C$1004,C86)&gt;1.0001,"Shares for this step add up to over 100%",IF(I86="","Waiting for sign-off",IF(AND(Settings!$B$10="Yes",I86=E86),"Needs a different member to sign off","OK"))))))</f>
        <v/>
      </c>
    </row>
    <row r="87">
      <c r="A87" s="9" t="n"/>
      <c r="B87" s="6" t="n"/>
      <c r="C87" s="6" t="n"/>
      <c r="D87" s="3">
        <f>IF(C87="","",IFERROR(INDEX(Steps!$C$5:$C$62,MATCH(C87,Steps!$A$5:$A$62,0)),""))</f>
        <v/>
      </c>
      <c r="E87" s="6" t="n"/>
      <c r="F87" s="8" t="n"/>
      <c r="G87" s="6" t="n"/>
      <c r="H87" s="7" t="n"/>
      <c r="I87" s="6" t="n"/>
      <c r="J87" s="9" t="n"/>
      <c r="K87" s="11">
        <f>IF(C87="","",N(IFERROR(INDEX(Steps!$E$5:$E$62,MATCH(C87,Steps!$A$5:$A$62,0)),"")))</f>
        <v/>
      </c>
      <c r="L87" s="11">
        <f>IF(AND(C87&lt;&gt;"",E87&lt;&gt;"",I87&lt;&gt;"",OR(Settings!$B$10="No",I87&lt;&gt;E87)),K87*F87,0)</f>
        <v/>
      </c>
      <c r="M87" s="11">
        <f>IF(AND(AND(C87&lt;&gt;"",E87&lt;&gt;"",I87&lt;&gt;"",OR(Settings!$B$10="No",I87&lt;&gt;E87)),G87="Paid a pro",Settings!$B$9="Yes"),MAX(0,H87-K87*F87),0)</f>
        <v/>
      </c>
      <c r="N87" s="3">
        <f>IF(C87="","",IF(B87="","Enter the boat number",IF(B87&gt;Settings!$B$6,"Boat number above the boat count",IF(SUMIFS($F$5:$F$1004,$B$5:$B$1004,B87,$C$5:$C$1004,C87)&gt;1.0001,"Shares for this step add up to over 100%",IF(I87="","Waiting for sign-off",IF(AND(Settings!$B$10="Yes",I87=E87),"Needs a different member to sign off","OK"))))))</f>
        <v/>
      </c>
    </row>
    <row r="88">
      <c r="A88" s="9" t="n"/>
      <c r="B88" s="6" t="n"/>
      <c r="C88" s="6" t="n"/>
      <c r="D88" s="3">
        <f>IF(C88="","",IFERROR(INDEX(Steps!$C$5:$C$62,MATCH(C88,Steps!$A$5:$A$62,0)),""))</f>
        <v/>
      </c>
      <c r="E88" s="6" t="n"/>
      <c r="F88" s="8" t="n"/>
      <c r="G88" s="6" t="n"/>
      <c r="H88" s="7" t="n"/>
      <c r="I88" s="6" t="n"/>
      <c r="J88" s="9" t="n"/>
      <c r="K88" s="11">
        <f>IF(C88="","",N(IFERROR(INDEX(Steps!$E$5:$E$62,MATCH(C88,Steps!$A$5:$A$62,0)),"")))</f>
        <v/>
      </c>
      <c r="L88" s="11">
        <f>IF(AND(C88&lt;&gt;"",E88&lt;&gt;"",I88&lt;&gt;"",OR(Settings!$B$10="No",I88&lt;&gt;E88)),K88*F88,0)</f>
        <v/>
      </c>
      <c r="M88" s="11">
        <f>IF(AND(AND(C88&lt;&gt;"",E88&lt;&gt;"",I88&lt;&gt;"",OR(Settings!$B$10="No",I88&lt;&gt;E88)),G88="Paid a pro",Settings!$B$9="Yes"),MAX(0,H88-K88*F88),0)</f>
        <v/>
      </c>
      <c r="N88" s="3">
        <f>IF(C88="","",IF(B88="","Enter the boat number",IF(B88&gt;Settings!$B$6,"Boat number above the boat count",IF(SUMIFS($F$5:$F$1004,$B$5:$B$1004,B88,$C$5:$C$1004,C88)&gt;1.0001,"Shares for this step add up to over 100%",IF(I88="","Waiting for sign-off",IF(AND(Settings!$B$10="Yes",I88=E88),"Needs a different member to sign off","OK"))))))</f>
        <v/>
      </c>
    </row>
    <row r="89">
      <c r="A89" s="9" t="n"/>
      <c r="B89" s="6" t="n"/>
      <c r="C89" s="6" t="n"/>
      <c r="D89" s="3">
        <f>IF(C89="","",IFERROR(INDEX(Steps!$C$5:$C$62,MATCH(C89,Steps!$A$5:$A$62,0)),""))</f>
        <v/>
      </c>
      <c r="E89" s="6" t="n"/>
      <c r="F89" s="8" t="n"/>
      <c r="G89" s="6" t="n"/>
      <c r="H89" s="7" t="n"/>
      <c r="I89" s="6" t="n"/>
      <c r="J89" s="9" t="n"/>
      <c r="K89" s="11">
        <f>IF(C89="","",N(IFERROR(INDEX(Steps!$E$5:$E$62,MATCH(C89,Steps!$A$5:$A$62,0)),"")))</f>
        <v/>
      </c>
      <c r="L89" s="11">
        <f>IF(AND(C89&lt;&gt;"",E89&lt;&gt;"",I89&lt;&gt;"",OR(Settings!$B$10="No",I89&lt;&gt;E89)),K89*F89,0)</f>
        <v/>
      </c>
      <c r="M89" s="11">
        <f>IF(AND(AND(C89&lt;&gt;"",E89&lt;&gt;"",I89&lt;&gt;"",OR(Settings!$B$10="No",I89&lt;&gt;E89)),G89="Paid a pro",Settings!$B$9="Yes"),MAX(0,H89-K89*F89),0)</f>
        <v/>
      </c>
      <c r="N89" s="3">
        <f>IF(C89="","",IF(B89="","Enter the boat number",IF(B89&gt;Settings!$B$6,"Boat number above the boat count",IF(SUMIFS($F$5:$F$1004,$B$5:$B$1004,B89,$C$5:$C$1004,C89)&gt;1.0001,"Shares for this step add up to over 100%",IF(I89="","Waiting for sign-off",IF(AND(Settings!$B$10="Yes",I89=E89),"Needs a different member to sign off","OK"))))))</f>
        <v/>
      </c>
    </row>
    <row r="90">
      <c r="A90" s="9" t="n"/>
      <c r="B90" s="6" t="n"/>
      <c r="C90" s="6" t="n"/>
      <c r="D90" s="3">
        <f>IF(C90="","",IFERROR(INDEX(Steps!$C$5:$C$62,MATCH(C90,Steps!$A$5:$A$62,0)),""))</f>
        <v/>
      </c>
      <c r="E90" s="6" t="n"/>
      <c r="F90" s="8" t="n"/>
      <c r="G90" s="6" t="n"/>
      <c r="H90" s="7" t="n"/>
      <c r="I90" s="6" t="n"/>
      <c r="J90" s="9" t="n"/>
      <c r="K90" s="11">
        <f>IF(C90="","",N(IFERROR(INDEX(Steps!$E$5:$E$62,MATCH(C90,Steps!$A$5:$A$62,0)),"")))</f>
        <v/>
      </c>
      <c r="L90" s="11">
        <f>IF(AND(C90&lt;&gt;"",E90&lt;&gt;"",I90&lt;&gt;"",OR(Settings!$B$10="No",I90&lt;&gt;E90)),K90*F90,0)</f>
        <v/>
      </c>
      <c r="M90" s="11">
        <f>IF(AND(AND(C90&lt;&gt;"",E90&lt;&gt;"",I90&lt;&gt;"",OR(Settings!$B$10="No",I90&lt;&gt;E90)),G90="Paid a pro",Settings!$B$9="Yes"),MAX(0,H90-K90*F90),0)</f>
        <v/>
      </c>
      <c r="N90" s="3">
        <f>IF(C90="","",IF(B90="","Enter the boat number",IF(B90&gt;Settings!$B$6,"Boat number above the boat count",IF(SUMIFS($F$5:$F$1004,$B$5:$B$1004,B90,$C$5:$C$1004,C90)&gt;1.0001,"Shares for this step add up to over 100%",IF(I90="","Waiting for sign-off",IF(AND(Settings!$B$10="Yes",I90=E90),"Needs a different member to sign off","OK"))))))</f>
        <v/>
      </c>
    </row>
    <row r="91">
      <c r="A91" s="9" t="n"/>
      <c r="B91" s="6" t="n"/>
      <c r="C91" s="6" t="n"/>
      <c r="D91" s="3">
        <f>IF(C91="","",IFERROR(INDEX(Steps!$C$5:$C$62,MATCH(C91,Steps!$A$5:$A$62,0)),""))</f>
        <v/>
      </c>
      <c r="E91" s="6" t="n"/>
      <c r="F91" s="8" t="n"/>
      <c r="G91" s="6" t="n"/>
      <c r="H91" s="7" t="n"/>
      <c r="I91" s="6" t="n"/>
      <c r="J91" s="9" t="n"/>
      <c r="K91" s="11">
        <f>IF(C91="","",N(IFERROR(INDEX(Steps!$E$5:$E$62,MATCH(C91,Steps!$A$5:$A$62,0)),"")))</f>
        <v/>
      </c>
      <c r="L91" s="11">
        <f>IF(AND(C91&lt;&gt;"",E91&lt;&gt;"",I91&lt;&gt;"",OR(Settings!$B$10="No",I91&lt;&gt;E91)),K91*F91,0)</f>
        <v/>
      </c>
      <c r="M91" s="11">
        <f>IF(AND(AND(C91&lt;&gt;"",E91&lt;&gt;"",I91&lt;&gt;"",OR(Settings!$B$10="No",I91&lt;&gt;E91)),G91="Paid a pro",Settings!$B$9="Yes"),MAX(0,H91-K91*F91),0)</f>
        <v/>
      </c>
      <c r="N91" s="3">
        <f>IF(C91="","",IF(B91="","Enter the boat number",IF(B91&gt;Settings!$B$6,"Boat number above the boat count",IF(SUMIFS($F$5:$F$1004,$B$5:$B$1004,B91,$C$5:$C$1004,C91)&gt;1.0001,"Shares for this step add up to over 100%",IF(I91="","Waiting for sign-off",IF(AND(Settings!$B$10="Yes",I91=E91),"Needs a different member to sign off","OK"))))))</f>
        <v/>
      </c>
    </row>
    <row r="92">
      <c r="A92" s="9" t="n"/>
      <c r="B92" s="6" t="n"/>
      <c r="C92" s="6" t="n"/>
      <c r="D92" s="3">
        <f>IF(C92="","",IFERROR(INDEX(Steps!$C$5:$C$62,MATCH(C92,Steps!$A$5:$A$62,0)),""))</f>
        <v/>
      </c>
      <c r="E92" s="6" t="n"/>
      <c r="F92" s="8" t="n"/>
      <c r="G92" s="6" t="n"/>
      <c r="H92" s="7" t="n"/>
      <c r="I92" s="6" t="n"/>
      <c r="J92" s="9" t="n"/>
      <c r="K92" s="11">
        <f>IF(C92="","",N(IFERROR(INDEX(Steps!$E$5:$E$62,MATCH(C92,Steps!$A$5:$A$62,0)),"")))</f>
        <v/>
      </c>
      <c r="L92" s="11">
        <f>IF(AND(C92&lt;&gt;"",E92&lt;&gt;"",I92&lt;&gt;"",OR(Settings!$B$10="No",I92&lt;&gt;E92)),K92*F92,0)</f>
        <v/>
      </c>
      <c r="M92" s="11">
        <f>IF(AND(AND(C92&lt;&gt;"",E92&lt;&gt;"",I92&lt;&gt;"",OR(Settings!$B$10="No",I92&lt;&gt;E92)),G92="Paid a pro",Settings!$B$9="Yes"),MAX(0,H92-K92*F92),0)</f>
        <v/>
      </c>
      <c r="N92" s="3">
        <f>IF(C92="","",IF(B92="","Enter the boat number",IF(B92&gt;Settings!$B$6,"Boat number above the boat count",IF(SUMIFS($F$5:$F$1004,$B$5:$B$1004,B92,$C$5:$C$1004,C92)&gt;1.0001,"Shares for this step add up to over 100%",IF(I92="","Waiting for sign-off",IF(AND(Settings!$B$10="Yes",I92=E92),"Needs a different member to sign off","OK"))))))</f>
        <v/>
      </c>
    </row>
    <row r="93">
      <c r="A93" s="9" t="n"/>
      <c r="B93" s="6" t="n"/>
      <c r="C93" s="6" t="n"/>
      <c r="D93" s="3">
        <f>IF(C93="","",IFERROR(INDEX(Steps!$C$5:$C$62,MATCH(C93,Steps!$A$5:$A$62,0)),""))</f>
        <v/>
      </c>
      <c r="E93" s="6" t="n"/>
      <c r="F93" s="8" t="n"/>
      <c r="G93" s="6" t="n"/>
      <c r="H93" s="7" t="n"/>
      <c r="I93" s="6" t="n"/>
      <c r="J93" s="9" t="n"/>
      <c r="K93" s="11">
        <f>IF(C93="","",N(IFERROR(INDEX(Steps!$E$5:$E$62,MATCH(C93,Steps!$A$5:$A$62,0)),"")))</f>
        <v/>
      </c>
      <c r="L93" s="11">
        <f>IF(AND(C93&lt;&gt;"",E93&lt;&gt;"",I93&lt;&gt;"",OR(Settings!$B$10="No",I93&lt;&gt;E93)),K93*F93,0)</f>
        <v/>
      </c>
      <c r="M93" s="11">
        <f>IF(AND(AND(C93&lt;&gt;"",E93&lt;&gt;"",I93&lt;&gt;"",OR(Settings!$B$10="No",I93&lt;&gt;E93)),G93="Paid a pro",Settings!$B$9="Yes"),MAX(0,H93-K93*F93),0)</f>
        <v/>
      </c>
      <c r="N93" s="3">
        <f>IF(C93="","",IF(B93="","Enter the boat number",IF(B93&gt;Settings!$B$6,"Boat number above the boat count",IF(SUMIFS($F$5:$F$1004,$B$5:$B$1004,B93,$C$5:$C$1004,C93)&gt;1.0001,"Shares for this step add up to over 100%",IF(I93="","Waiting for sign-off",IF(AND(Settings!$B$10="Yes",I93=E93),"Needs a different member to sign off","OK"))))))</f>
        <v/>
      </c>
    </row>
    <row r="94">
      <c r="A94" s="9" t="n"/>
      <c r="B94" s="6" t="n"/>
      <c r="C94" s="6" t="n"/>
      <c r="D94" s="3">
        <f>IF(C94="","",IFERROR(INDEX(Steps!$C$5:$C$62,MATCH(C94,Steps!$A$5:$A$62,0)),""))</f>
        <v/>
      </c>
      <c r="E94" s="6" t="n"/>
      <c r="F94" s="8" t="n"/>
      <c r="G94" s="6" t="n"/>
      <c r="H94" s="7" t="n"/>
      <c r="I94" s="6" t="n"/>
      <c r="J94" s="9" t="n"/>
      <c r="K94" s="11">
        <f>IF(C94="","",N(IFERROR(INDEX(Steps!$E$5:$E$62,MATCH(C94,Steps!$A$5:$A$62,0)),"")))</f>
        <v/>
      </c>
      <c r="L94" s="11">
        <f>IF(AND(C94&lt;&gt;"",E94&lt;&gt;"",I94&lt;&gt;"",OR(Settings!$B$10="No",I94&lt;&gt;E94)),K94*F94,0)</f>
        <v/>
      </c>
      <c r="M94" s="11">
        <f>IF(AND(AND(C94&lt;&gt;"",E94&lt;&gt;"",I94&lt;&gt;"",OR(Settings!$B$10="No",I94&lt;&gt;E94)),G94="Paid a pro",Settings!$B$9="Yes"),MAX(0,H94-K94*F94),0)</f>
        <v/>
      </c>
      <c r="N94" s="3">
        <f>IF(C94="","",IF(B94="","Enter the boat number",IF(B94&gt;Settings!$B$6,"Boat number above the boat count",IF(SUMIFS($F$5:$F$1004,$B$5:$B$1004,B94,$C$5:$C$1004,C94)&gt;1.0001,"Shares for this step add up to over 100%",IF(I94="","Waiting for sign-off",IF(AND(Settings!$B$10="Yes",I94=E94),"Needs a different member to sign off","OK"))))))</f>
        <v/>
      </c>
    </row>
    <row r="95">
      <c r="A95" s="9" t="n"/>
      <c r="B95" s="6" t="n"/>
      <c r="C95" s="6" t="n"/>
      <c r="D95" s="3">
        <f>IF(C95="","",IFERROR(INDEX(Steps!$C$5:$C$62,MATCH(C95,Steps!$A$5:$A$62,0)),""))</f>
        <v/>
      </c>
      <c r="E95" s="6" t="n"/>
      <c r="F95" s="8" t="n"/>
      <c r="G95" s="6" t="n"/>
      <c r="H95" s="7" t="n"/>
      <c r="I95" s="6" t="n"/>
      <c r="J95" s="9" t="n"/>
      <c r="K95" s="11">
        <f>IF(C95="","",N(IFERROR(INDEX(Steps!$E$5:$E$62,MATCH(C95,Steps!$A$5:$A$62,0)),"")))</f>
        <v/>
      </c>
      <c r="L95" s="11">
        <f>IF(AND(C95&lt;&gt;"",E95&lt;&gt;"",I95&lt;&gt;"",OR(Settings!$B$10="No",I95&lt;&gt;E95)),K95*F95,0)</f>
        <v/>
      </c>
      <c r="M95" s="11">
        <f>IF(AND(AND(C95&lt;&gt;"",E95&lt;&gt;"",I95&lt;&gt;"",OR(Settings!$B$10="No",I95&lt;&gt;E95)),G95="Paid a pro",Settings!$B$9="Yes"),MAX(0,H95-K95*F95),0)</f>
        <v/>
      </c>
      <c r="N95" s="3">
        <f>IF(C95="","",IF(B95="","Enter the boat number",IF(B95&gt;Settings!$B$6,"Boat number above the boat count",IF(SUMIFS($F$5:$F$1004,$B$5:$B$1004,B95,$C$5:$C$1004,C95)&gt;1.0001,"Shares for this step add up to over 100%",IF(I95="","Waiting for sign-off",IF(AND(Settings!$B$10="Yes",I95=E95),"Needs a different member to sign off","OK"))))))</f>
        <v/>
      </c>
    </row>
    <row r="96">
      <c r="A96" s="9" t="n"/>
      <c r="B96" s="6" t="n"/>
      <c r="C96" s="6" t="n"/>
      <c r="D96" s="3">
        <f>IF(C96="","",IFERROR(INDEX(Steps!$C$5:$C$62,MATCH(C96,Steps!$A$5:$A$62,0)),""))</f>
        <v/>
      </c>
      <c r="E96" s="6" t="n"/>
      <c r="F96" s="8" t="n"/>
      <c r="G96" s="6" t="n"/>
      <c r="H96" s="7" t="n"/>
      <c r="I96" s="6" t="n"/>
      <c r="J96" s="9" t="n"/>
      <c r="K96" s="11">
        <f>IF(C96="","",N(IFERROR(INDEX(Steps!$E$5:$E$62,MATCH(C96,Steps!$A$5:$A$62,0)),"")))</f>
        <v/>
      </c>
      <c r="L96" s="11">
        <f>IF(AND(C96&lt;&gt;"",E96&lt;&gt;"",I96&lt;&gt;"",OR(Settings!$B$10="No",I96&lt;&gt;E96)),K96*F96,0)</f>
        <v/>
      </c>
      <c r="M96" s="11">
        <f>IF(AND(AND(C96&lt;&gt;"",E96&lt;&gt;"",I96&lt;&gt;"",OR(Settings!$B$10="No",I96&lt;&gt;E96)),G96="Paid a pro",Settings!$B$9="Yes"),MAX(0,H96-K96*F96),0)</f>
        <v/>
      </c>
      <c r="N96" s="3">
        <f>IF(C96="","",IF(B96="","Enter the boat number",IF(B96&gt;Settings!$B$6,"Boat number above the boat count",IF(SUMIFS($F$5:$F$1004,$B$5:$B$1004,B96,$C$5:$C$1004,C96)&gt;1.0001,"Shares for this step add up to over 100%",IF(I96="","Waiting for sign-off",IF(AND(Settings!$B$10="Yes",I96=E96),"Needs a different member to sign off","OK"))))))</f>
        <v/>
      </c>
    </row>
    <row r="97">
      <c r="A97" s="9" t="n"/>
      <c r="B97" s="6" t="n"/>
      <c r="C97" s="6" t="n"/>
      <c r="D97" s="3">
        <f>IF(C97="","",IFERROR(INDEX(Steps!$C$5:$C$62,MATCH(C97,Steps!$A$5:$A$62,0)),""))</f>
        <v/>
      </c>
      <c r="E97" s="6" t="n"/>
      <c r="F97" s="8" t="n"/>
      <c r="G97" s="6" t="n"/>
      <c r="H97" s="7" t="n"/>
      <c r="I97" s="6" t="n"/>
      <c r="J97" s="9" t="n"/>
      <c r="K97" s="11">
        <f>IF(C97="","",N(IFERROR(INDEX(Steps!$E$5:$E$62,MATCH(C97,Steps!$A$5:$A$62,0)),"")))</f>
        <v/>
      </c>
      <c r="L97" s="11">
        <f>IF(AND(C97&lt;&gt;"",E97&lt;&gt;"",I97&lt;&gt;"",OR(Settings!$B$10="No",I97&lt;&gt;E97)),K97*F97,0)</f>
        <v/>
      </c>
      <c r="M97" s="11">
        <f>IF(AND(AND(C97&lt;&gt;"",E97&lt;&gt;"",I97&lt;&gt;"",OR(Settings!$B$10="No",I97&lt;&gt;E97)),G97="Paid a pro",Settings!$B$9="Yes"),MAX(0,H97-K97*F97),0)</f>
        <v/>
      </c>
      <c r="N97" s="3">
        <f>IF(C97="","",IF(B97="","Enter the boat number",IF(B97&gt;Settings!$B$6,"Boat number above the boat count",IF(SUMIFS($F$5:$F$1004,$B$5:$B$1004,B97,$C$5:$C$1004,C97)&gt;1.0001,"Shares for this step add up to over 100%",IF(I97="","Waiting for sign-off",IF(AND(Settings!$B$10="Yes",I97=E97),"Needs a different member to sign off","OK"))))))</f>
        <v/>
      </c>
    </row>
    <row r="98">
      <c r="A98" s="9" t="n"/>
      <c r="B98" s="6" t="n"/>
      <c r="C98" s="6" t="n"/>
      <c r="D98" s="3">
        <f>IF(C98="","",IFERROR(INDEX(Steps!$C$5:$C$62,MATCH(C98,Steps!$A$5:$A$62,0)),""))</f>
        <v/>
      </c>
      <c r="E98" s="6" t="n"/>
      <c r="F98" s="8" t="n"/>
      <c r="G98" s="6" t="n"/>
      <c r="H98" s="7" t="n"/>
      <c r="I98" s="6" t="n"/>
      <c r="J98" s="9" t="n"/>
      <c r="K98" s="11">
        <f>IF(C98="","",N(IFERROR(INDEX(Steps!$E$5:$E$62,MATCH(C98,Steps!$A$5:$A$62,0)),"")))</f>
        <v/>
      </c>
      <c r="L98" s="11">
        <f>IF(AND(C98&lt;&gt;"",E98&lt;&gt;"",I98&lt;&gt;"",OR(Settings!$B$10="No",I98&lt;&gt;E98)),K98*F98,0)</f>
        <v/>
      </c>
      <c r="M98" s="11">
        <f>IF(AND(AND(C98&lt;&gt;"",E98&lt;&gt;"",I98&lt;&gt;"",OR(Settings!$B$10="No",I98&lt;&gt;E98)),G98="Paid a pro",Settings!$B$9="Yes"),MAX(0,H98-K98*F98),0)</f>
        <v/>
      </c>
      <c r="N98" s="3">
        <f>IF(C98="","",IF(B98="","Enter the boat number",IF(B98&gt;Settings!$B$6,"Boat number above the boat count",IF(SUMIFS($F$5:$F$1004,$B$5:$B$1004,B98,$C$5:$C$1004,C98)&gt;1.0001,"Shares for this step add up to over 100%",IF(I98="","Waiting for sign-off",IF(AND(Settings!$B$10="Yes",I98=E98),"Needs a different member to sign off","OK"))))))</f>
        <v/>
      </c>
    </row>
    <row r="99">
      <c r="A99" s="9" t="n"/>
      <c r="B99" s="6" t="n"/>
      <c r="C99" s="6" t="n"/>
      <c r="D99" s="3">
        <f>IF(C99="","",IFERROR(INDEX(Steps!$C$5:$C$62,MATCH(C99,Steps!$A$5:$A$62,0)),""))</f>
        <v/>
      </c>
      <c r="E99" s="6" t="n"/>
      <c r="F99" s="8" t="n"/>
      <c r="G99" s="6" t="n"/>
      <c r="H99" s="7" t="n"/>
      <c r="I99" s="6" t="n"/>
      <c r="J99" s="9" t="n"/>
      <c r="K99" s="11">
        <f>IF(C99="","",N(IFERROR(INDEX(Steps!$E$5:$E$62,MATCH(C99,Steps!$A$5:$A$62,0)),"")))</f>
        <v/>
      </c>
      <c r="L99" s="11">
        <f>IF(AND(C99&lt;&gt;"",E99&lt;&gt;"",I99&lt;&gt;"",OR(Settings!$B$10="No",I99&lt;&gt;E99)),K99*F99,0)</f>
        <v/>
      </c>
      <c r="M99" s="11">
        <f>IF(AND(AND(C99&lt;&gt;"",E99&lt;&gt;"",I99&lt;&gt;"",OR(Settings!$B$10="No",I99&lt;&gt;E99)),G99="Paid a pro",Settings!$B$9="Yes"),MAX(0,H99-K99*F99),0)</f>
        <v/>
      </c>
      <c r="N99" s="3">
        <f>IF(C99="","",IF(B99="","Enter the boat number",IF(B99&gt;Settings!$B$6,"Boat number above the boat count",IF(SUMIFS($F$5:$F$1004,$B$5:$B$1004,B99,$C$5:$C$1004,C99)&gt;1.0001,"Shares for this step add up to over 100%",IF(I99="","Waiting for sign-off",IF(AND(Settings!$B$10="Yes",I99=E99),"Needs a different member to sign off","OK"))))))</f>
        <v/>
      </c>
    </row>
    <row r="100">
      <c r="A100" s="9" t="n"/>
      <c r="B100" s="6" t="n"/>
      <c r="C100" s="6" t="n"/>
      <c r="D100" s="3">
        <f>IF(C100="","",IFERROR(INDEX(Steps!$C$5:$C$62,MATCH(C100,Steps!$A$5:$A$62,0)),""))</f>
        <v/>
      </c>
      <c r="E100" s="6" t="n"/>
      <c r="F100" s="8" t="n"/>
      <c r="G100" s="6" t="n"/>
      <c r="H100" s="7" t="n"/>
      <c r="I100" s="6" t="n"/>
      <c r="J100" s="9" t="n"/>
      <c r="K100" s="11">
        <f>IF(C100="","",N(IFERROR(INDEX(Steps!$E$5:$E$62,MATCH(C100,Steps!$A$5:$A$62,0)),"")))</f>
        <v/>
      </c>
      <c r="L100" s="11">
        <f>IF(AND(C100&lt;&gt;"",E100&lt;&gt;"",I100&lt;&gt;"",OR(Settings!$B$10="No",I100&lt;&gt;E100)),K100*F100,0)</f>
        <v/>
      </c>
      <c r="M100" s="11">
        <f>IF(AND(AND(C100&lt;&gt;"",E100&lt;&gt;"",I100&lt;&gt;"",OR(Settings!$B$10="No",I100&lt;&gt;E100)),G100="Paid a pro",Settings!$B$9="Yes"),MAX(0,H100-K100*F100),0)</f>
        <v/>
      </c>
      <c r="N100" s="3">
        <f>IF(C100="","",IF(B100="","Enter the boat number",IF(B100&gt;Settings!$B$6,"Boat number above the boat count",IF(SUMIFS($F$5:$F$1004,$B$5:$B$1004,B100,$C$5:$C$1004,C100)&gt;1.0001,"Shares for this step add up to over 100%",IF(I100="","Waiting for sign-off",IF(AND(Settings!$B$10="Yes",I100=E100),"Needs a different member to sign off","OK"))))))</f>
        <v/>
      </c>
    </row>
    <row r="101">
      <c r="A101" s="9" t="n"/>
      <c r="B101" s="6" t="n"/>
      <c r="C101" s="6" t="n"/>
      <c r="D101" s="3">
        <f>IF(C101="","",IFERROR(INDEX(Steps!$C$5:$C$62,MATCH(C101,Steps!$A$5:$A$62,0)),""))</f>
        <v/>
      </c>
      <c r="E101" s="6" t="n"/>
      <c r="F101" s="8" t="n"/>
      <c r="G101" s="6" t="n"/>
      <c r="H101" s="7" t="n"/>
      <c r="I101" s="6" t="n"/>
      <c r="J101" s="9" t="n"/>
      <c r="K101" s="11">
        <f>IF(C101="","",N(IFERROR(INDEX(Steps!$E$5:$E$62,MATCH(C101,Steps!$A$5:$A$62,0)),"")))</f>
        <v/>
      </c>
      <c r="L101" s="11">
        <f>IF(AND(C101&lt;&gt;"",E101&lt;&gt;"",I101&lt;&gt;"",OR(Settings!$B$10="No",I101&lt;&gt;E101)),K101*F101,0)</f>
        <v/>
      </c>
      <c r="M101" s="11">
        <f>IF(AND(AND(C101&lt;&gt;"",E101&lt;&gt;"",I101&lt;&gt;"",OR(Settings!$B$10="No",I101&lt;&gt;E101)),G101="Paid a pro",Settings!$B$9="Yes"),MAX(0,H101-K101*F101),0)</f>
        <v/>
      </c>
      <c r="N101" s="3">
        <f>IF(C101="","",IF(B101="","Enter the boat number",IF(B101&gt;Settings!$B$6,"Boat number above the boat count",IF(SUMIFS($F$5:$F$1004,$B$5:$B$1004,B101,$C$5:$C$1004,C101)&gt;1.0001,"Shares for this step add up to over 100%",IF(I101="","Waiting for sign-off",IF(AND(Settings!$B$10="Yes",I101=E101),"Needs a different member to sign off","OK"))))))</f>
        <v/>
      </c>
    </row>
    <row r="102">
      <c r="A102" s="9" t="n"/>
      <c r="B102" s="6" t="n"/>
      <c r="C102" s="6" t="n"/>
      <c r="D102" s="3">
        <f>IF(C102="","",IFERROR(INDEX(Steps!$C$5:$C$62,MATCH(C102,Steps!$A$5:$A$62,0)),""))</f>
        <v/>
      </c>
      <c r="E102" s="6" t="n"/>
      <c r="F102" s="8" t="n"/>
      <c r="G102" s="6" t="n"/>
      <c r="H102" s="7" t="n"/>
      <c r="I102" s="6" t="n"/>
      <c r="J102" s="9" t="n"/>
      <c r="K102" s="11">
        <f>IF(C102="","",N(IFERROR(INDEX(Steps!$E$5:$E$62,MATCH(C102,Steps!$A$5:$A$62,0)),"")))</f>
        <v/>
      </c>
      <c r="L102" s="11">
        <f>IF(AND(C102&lt;&gt;"",E102&lt;&gt;"",I102&lt;&gt;"",OR(Settings!$B$10="No",I102&lt;&gt;E102)),K102*F102,0)</f>
        <v/>
      </c>
      <c r="M102" s="11">
        <f>IF(AND(AND(C102&lt;&gt;"",E102&lt;&gt;"",I102&lt;&gt;"",OR(Settings!$B$10="No",I102&lt;&gt;E102)),G102="Paid a pro",Settings!$B$9="Yes"),MAX(0,H102-K102*F102),0)</f>
        <v/>
      </c>
      <c r="N102" s="3">
        <f>IF(C102="","",IF(B102="","Enter the boat number",IF(B102&gt;Settings!$B$6,"Boat number above the boat count",IF(SUMIFS($F$5:$F$1004,$B$5:$B$1004,B102,$C$5:$C$1004,C102)&gt;1.0001,"Shares for this step add up to over 100%",IF(I102="","Waiting for sign-off",IF(AND(Settings!$B$10="Yes",I102=E102),"Needs a different member to sign off","OK"))))))</f>
        <v/>
      </c>
    </row>
    <row r="103">
      <c r="A103" s="9" t="n"/>
      <c r="B103" s="6" t="n"/>
      <c r="C103" s="6" t="n"/>
      <c r="D103" s="3">
        <f>IF(C103="","",IFERROR(INDEX(Steps!$C$5:$C$62,MATCH(C103,Steps!$A$5:$A$62,0)),""))</f>
        <v/>
      </c>
      <c r="E103" s="6" t="n"/>
      <c r="F103" s="8" t="n"/>
      <c r="G103" s="6" t="n"/>
      <c r="H103" s="7" t="n"/>
      <c r="I103" s="6" t="n"/>
      <c r="J103" s="9" t="n"/>
      <c r="K103" s="11">
        <f>IF(C103="","",N(IFERROR(INDEX(Steps!$E$5:$E$62,MATCH(C103,Steps!$A$5:$A$62,0)),"")))</f>
        <v/>
      </c>
      <c r="L103" s="11">
        <f>IF(AND(C103&lt;&gt;"",E103&lt;&gt;"",I103&lt;&gt;"",OR(Settings!$B$10="No",I103&lt;&gt;E103)),K103*F103,0)</f>
        <v/>
      </c>
      <c r="M103" s="11">
        <f>IF(AND(AND(C103&lt;&gt;"",E103&lt;&gt;"",I103&lt;&gt;"",OR(Settings!$B$10="No",I103&lt;&gt;E103)),G103="Paid a pro",Settings!$B$9="Yes"),MAX(0,H103-K103*F103),0)</f>
        <v/>
      </c>
      <c r="N103" s="3">
        <f>IF(C103="","",IF(B103="","Enter the boat number",IF(B103&gt;Settings!$B$6,"Boat number above the boat count",IF(SUMIFS($F$5:$F$1004,$B$5:$B$1004,B103,$C$5:$C$1004,C103)&gt;1.0001,"Shares for this step add up to over 100%",IF(I103="","Waiting for sign-off",IF(AND(Settings!$B$10="Yes",I103=E103),"Needs a different member to sign off","OK"))))))</f>
        <v/>
      </c>
    </row>
    <row r="104">
      <c r="A104" s="9" t="n"/>
      <c r="B104" s="6" t="n"/>
      <c r="C104" s="6" t="n"/>
      <c r="D104" s="3">
        <f>IF(C104="","",IFERROR(INDEX(Steps!$C$5:$C$62,MATCH(C104,Steps!$A$5:$A$62,0)),""))</f>
        <v/>
      </c>
      <c r="E104" s="6" t="n"/>
      <c r="F104" s="8" t="n"/>
      <c r="G104" s="6" t="n"/>
      <c r="H104" s="7" t="n"/>
      <c r="I104" s="6" t="n"/>
      <c r="J104" s="9" t="n"/>
      <c r="K104" s="11">
        <f>IF(C104="","",N(IFERROR(INDEX(Steps!$E$5:$E$62,MATCH(C104,Steps!$A$5:$A$62,0)),"")))</f>
        <v/>
      </c>
      <c r="L104" s="11">
        <f>IF(AND(C104&lt;&gt;"",E104&lt;&gt;"",I104&lt;&gt;"",OR(Settings!$B$10="No",I104&lt;&gt;E104)),K104*F104,0)</f>
        <v/>
      </c>
      <c r="M104" s="11">
        <f>IF(AND(AND(C104&lt;&gt;"",E104&lt;&gt;"",I104&lt;&gt;"",OR(Settings!$B$10="No",I104&lt;&gt;E104)),G104="Paid a pro",Settings!$B$9="Yes"),MAX(0,H104-K104*F104),0)</f>
        <v/>
      </c>
      <c r="N104" s="3">
        <f>IF(C104="","",IF(B104="","Enter the boat number",IF(B104&gt;Settings!$B$6,"Boat number above the boat count",IF(SUMIFS($F$5:$F$1004,$B$5:$B$1004,B104,$C$5:$C$1004,C104)&gt;1.0001,"Shares for this step add up to over 100%",IF(I104="","Waiting for sign-off",IF(AND(Settings!$B$10="Yes",I104=E104),"Needs a different member to sign off","OK"))))))</f>
        <v/>
      </c>
    </row>
    <row r="105">
      <c r="A105" s="9" t="n"/>
      <c r="B105" s="6" t="n"/>
      <c r="C105" s="6" t="n"/>
      <c r="D105" s="3">
        <f>IF(C105="","",IFERROR(INDEX(Steps!$C$5:$C$62,MATCH(C105,Steps!$A$5:$A$62,0)),""))</f>
        <v/>
      </c>
      <c r="E105" s="6" t="n"/>
      <c r="F105" s="8" t="n"/>
      <c r="G105" s="6" t="n"/>
      <c r="H105" s="7" t="n"/>
      <c r="I105" s="6" t="n"/>
      <c r="J105" s="9" t="n"/>
      <c r="K105" s="11">
        <f>IF(C105="","",N(IFERROR(INDEX(Steps!$E$5:$E$62,MATCH(C105,Steps!$A$5:$A$62,0)),"")))</f>
        <v/>
      </c>
      <c r="L105" s="11">
        <f>IF(AND(C105&lt;&gt;"",E105&lt;&gt;"",I105&lt;&gt;"",OR(Settings!$B$10="No",I105&lt;&gt;E105)),K105*F105,0)</f>
        <v/>
      </c>
      <c r="M105" s="11">
        <f>IF(AND(AND(C105&lt;&gt;"",E105&lt;&gt;"",I105&lt;&gt;"",OR(Settings!$B$10="No",I105&lt;&gt;E105)),G105="Paid a pro",Settings!$B$9="Yes"),MAX(0,H105-K105*F105),0)</f>
        <v/>
      </c>
      <c r="N105" s="3">
        <f>IF(C105="","",IF(B105="","Enter the boat number",IF(B105&gt;Settings!$B$6,"Boat number above the boat count",IF(SUMIFS($F$5:$F$1004,$B$5:$B$1004,B105,$C$5:$C$1004,C105)&gt;1.0001,"Shares for this step add up to over 100%",IF(I105="","Waiting for sign-off",IF(AND(Settings!$B$10="Yes",I105=E105),"Needs a different member to sign off","OK"))))))</f>
        <v/>
      </c>
    </row>
    <row r="106">
      <c r="A106" s="9" t="n"/>
      <c r="B106" s="6" t="n"/>
      <c r="C106" s="6" t="n"/>
      <c r="D106" s="3">
        <f>IF(C106="","",IFERROR(INDEX(Steps!$C$5:$C$62,MATCH(C106,Steps!$A$5:$A$62,0)),""))</f>
        <v/>
      </c>
      <c r="E106" s="6" t="n"/>
      <c r="F106" s="8" t="n"/>
      <c r="G106" s="6" t="n"/>
      <c r="H106" s="7" t="n"/>
      <c r="I106" s="6" t="n"/>
      <c r="J106" s="9" t="n"/>
      <c r="K106" s="11">
        <f>IF(C106="","",N(IFERROR(INDEX(Steps!$E$5:$E$62,MATCH(C106,Steps!$A$5:$A$62,0)),"")))</f>
        <v/>
      </c>
      <c r="L106" s="11">
        <f>IF(AND(C106&lt;&gt;"",E106&lt;&gt;"",I106&lt;&gt;"",OR(Settings!$B$10="No",I106&lt;&gt;E106)),K106*F106,0)</f>
        <v/>
      </c>
      <c r="M106" s="11">
        <f>IF(AND(AND(C106&lt;&gt;"",E106&lt;&gt;"",I106&lt;&gt;"",OR(Settings!$B$10="No",I106&lt;&gt;E106)),G106="Paid a pro",Settings!$B$9="Yes"),MAX(0,H106-K106*F106),0)</f>
        <v/>
      </c>
      <c r="N106" s="3">
        <f>IF(C106="","",IF(B106="","Enter the boat number",IF(B106&gt;Settings!$B$6,"Boat number above the boat count",IF(SUMIFS($F$5:$F$1004,$B$5:$B$1004,B106,$C$5:$C$1004,C106)&gt;1.0001,"Shares for this step add up to over 100%",IF(I106="","Waiting for sign-off",IF(AND(Settings!$B$10="Yes",I106=E106),"Needs a different member to sign off","OK"))))))</f>
        <v/>
      </c>
    </row>
    <row r="107">
      <c r="A107" s="9" t="n"/>
      <c r="B107" s="6" t="n"/>
      <c r="C107" s="6" t="n"/>
      <c r="D107" s="3">
        <f>IF(C107="","",IFERROR(INDEX(Steps!$C$5:$C$62,MATCH(C107,Steps!$A$5:$A$62,0)),""))</f>
        <v/>
      </c>
      <c r="E107" s="6" t="n"/>
      <c r="F107" s="8" t="n"/>
      <c r="G107" s="6" t="n"/>
      <c r="H107" s="7" t="n"/>
      <c r="I107" s="6" t="n"/>
      <c r="J107" s="9" t="n"/>
      <c r="K107" s="11">
        <f>IF(C107="","",N(IFERROR(INDEX(Steps!$E$5:$E$62,MATCH(C107,Steps!$A$5:$A$62,0)),"")))</f>
        <v/>
      </c>
      <c r="L107" s="11">
        <f>IF(AND(C107&lt;&gt;"",E107&lt;&gt;"",I107&lt;&gt;"",OR(Settings!$B$10="No",I107&lt;&gt;E107)),K107*F107,0)</f>
        <v/>
      </c>
      <c r="M107" s="11">
        <f>IF(AND(AND(C107&lt;&gt;"",E107&lt;&gt;"",I107&lt;&gt;"",OR(Settings!$B$10="No",I107&lt;&gt;E107)),G107="Paid a pro",Settings!$B$9="Yes"),MAX(0,H107-K107*F107),0)</f>
        <v/>
      </c>
      <c r="N107" s="3">
        <f>IF(C107="","",IF(B107="","Enter the boat number",IF(B107&gt;Settings!$B$6,"Boat number above the boat count",IF(SUMIFS($F$5:$F$1004,$B$5:$B$1004,B107,$C$5:$C$1004,C107)&gt;1.0001,"Shares for this step add up to over 100%",IF(I107="","Waiting for sign-off",IF(AND(Settings!$B$10="Yes",I107=E107),"Needs a different member to sign off","OK"))))))</f>
        <v/>
      </c>
    </row>
    <row r="108">
      <c r="A108" s="9" t="n"/>
      <c r="B108" s="6" t="n"/>
      <c r="C108" s="6" t="n"/>
      <c r="D108" s="3">
        <f>IF(C108="","",IFERROR(INDEX(Steps!$C$5:$C$62,MATCH(C108,Steps!$A$5:$A$62,0)),""))</f>
        <v/>
      </c>
      <c r="E108" s="6" t="n"/>
      <c r="F108" s="8" t="n"/>
      <c r="G108" s="6" t="n"/>
      <c r="H108" s="7" t="n"/>
      <c r="I108" s="6" t="n"/>
      <c r="J108" s="9" t="n"/>
      <c r="K108" s="11">
        <f>IF(C108="","",N(IFERROR(INDEX(Steps!$E$5:$E$62,MATCH(C108,Steps!$A$5:$A$62,0)),"")))</f>
        <v/>
      </c>
      <c r="L108" s="11">
        <f>IF(AND(C108&lt;&gt;"",E108&lt;&gt;"",I108&lt;&gt;"",OR(Settings!$B$10="No",I108&lt;&gt;E108)),K108*F108,0)</f>
        <v/>
      </c>
      <c r="M108" s="11">
        <f>IF(AND(AND(C108&lt;&gt;"",E108&lt;&gt;"",I108&lt;&gt;"",OR(Settings!$B$10="No",I108&lt;&gt;E108)),G108="Paid a pro",Settings!$B$9="Yes"),MAX(0,H108-K108*F108),0)</f>
        <v/>
      </c>
      <c r="N108" s="3">
        <f>IF(C108="","",IF(B108="","Enter the boat number",IF(B108&gt;Settings!$B$6,"Boat number above the boat count",IF(SUMIFS($F$5:$F$1004,$B$5:$B$1004,B108,$C$5:$C$1004,C108)&gt;1.0001,"Shares for this step add up to over 100%",IF(I108="","Waiting for sign-off",IF(AND(Settings!$B$10="Yes",I108=E108),"Needs a different member to sign off","OK"))))))</f>
        <v/>
      </c>
    </row>
    <row r="109">
      <c r="A109" s="9" t="n"/>
      <c r="B109" s="6" t="n"/>
      <c r="C109" s="6" t="n"/>
      <c r="D109" s="3">
        <f>IF(C109="","",IFERROR(INDEX(Steps!$C$5:$C$62,MATCH(C109,Steps!$A$5:$A$62,0)),""))</f>
        <v/>
      </c>
      <c r="E109" s="6" t="n"/>
      <c r="F109" s="8" t="n"/>
      <c r="G109" s="6" t="n"/>
      <c r="H109" s="7" t="n"/>
      <c r="I109" s="6" t="n"/>
      <c r="J109" s="9" t="n"/>
      <c r="K109" s="11">
        <f>IF(C109="","",N(IFERROR(INDEX(Steps!$E$5:$E$62,MATCH(C109,Steps!$A$5:$A$62,0)),"")))</f>
        <v/>
      </c>
      <c r="L109" s="11">
        <f>IF(AND(C109&lt;&gt;"",E109&lt;&gt;"",I109&lt;&gt;"",OR(Settings!$B$10="No",I109&lt;&gt;E109)),K109*F109,0)</f>
        <v/>
      </c>
      <c r="M109" s="11">
        <f>IF(AND(AND(C109&lt;&gt;"",E109&lt;&gt;"",I109&lt;&gt;"",OR(Settings!$B$10="No",I109&lt;&gt;E109)),G109="Paid a pro",Settings!$B$9="Yes"),MAX(0,H109-K109*F109),0)</f>
        <v/>
      </c>
      <c r="N109" s="3">
        <f>IF(C109="","",IF(B109="","Enter the boat number",IF(B109&gt;Settings!$B$6,"Boat number above the boat count",IF(SUMIFS($F$5:$F$1004,$B$5:$B$1004,B109,$C$5:$C$1004,C109)&gt;1.0001,"Shares for this step add up to over 100%",IF(I109="","Waiting for sign-off",IF(AND(Settings!$B$10="Yes",I109=E109),"Needs a different member to sign off","OK"))))))</f>
        <v/>
      </c>
    </row>
    <row r="110">
      <c r="A110" s="9" t="n"/>
      <c r="B110" s="6" t="n"/>
      <c r="C110" s="6" t="n"/>
      <c r="D110" s="3">
        <f>IF(C110="","",IFERROR(INDEX(Steps!$C$5:$C$62,MATCH(C110,Steps!$A$5:$A$62,0)),""))</f>
        <v/>
      </c>
      <c r="E110" s="6" t="n"/>
      <c r="F110" s="8" t="n"/>
      <c r="G110" s="6" t="n"/>
      <c r="H110" s="7" t="n"/>
      <c r="I110" s="6" t="n"/>
      <c r="J110" s="9" t="n"/>
      <c r="K110" s="11">
        <f>IF(C110="","",N(IFERROR(INDEX(Steps!$E$5:$E$62,MATCH(C110,Steps!$A$5:$A$62,0)),"")))</f>
        <v/>
      </c>
      <c r="L110" s="11">
        <f>IF(AND(C110&lt;&gt;"",E110&lt;&gt;"",I110&lt;&gt;"",OR(Settings!$B$10="No",I110&lt;&gt;E110)),K110*F110,0)</f>
        <v/>
      </c>
      <c r="M110" s="11">
        <f>IF(AND(AND(C110&lt;&gt;"",E110&lt;&gt;"",I110&lt;&gt;"",OR(Settings!$B$10="No",I110&lt;&gt;E110)),G110="Paid a pro",Settings!$B$9="Yes"),MAX(0,H110-K110*F110),0)</f>
        <v/>
      </c>
      <c r="N110" s="3">
        <f>IF(C110="","",IF(B110="","Enter the boat number",IF(B110&gt;Settings!$B$6,"Boat number above the boat count",IF(SUMIFS($F$5:$F$1004,$B$5:$B$1004,B110,$C$5:$C$1004,C110)&gt;1.0001,"Shares for this step add up to over 100%",IF(I110="","Waiting for sign-off",IF(AND(Settings!$B$10="Yes",I110=E110),"Needs a different member to sign off","OK"))))))</f>
        <v/>
      </c>
    </row>
    <row r="111">
      <c r="A111" s="9" t="n"/>
      <c r="B111" s="6" t="n"/>
      <c r="C111" s="6" t="n"/>
      <c r="D111" s="3">
        <f>IF(C111="","",IFERROR(INDEX(Steps!$C$5:$C$62,MATCH(C111,Steps!$A$5:$A$62,0)),""))</f>
        <v/>
      </c>
      <c r="E111" s="6" t="n"/>
      <c r="F111" s="8" t="n"/>
      <c r="G111" s="6" t="n"/>
      <c r="H111" s="7" t="n"/>
      <c r="I111" s="6" t="n"/>
      <c r="J111" s="9" t="n"/>
      <c r="K111" s="11">
        <f>IF(C111="","",N(IFERROR(INDEX(Steps!$E$5:$E$62,MATCH(C111,Steps!$A$5:$A$62,0)),"")))</f>
        <v/>
      </c>
      <c r="L111" s="11">
        <f>IF(AND(C111&lt;&gt;"",E111&lt;&gt;"",I111&lt;&gt;"",OR(Settings!$B$10="No",I111&lt;&gt;E111)),K111*F111,0)</f>
        <v/>
      </c>
      <c r="M111" s="11">
        <f>IF(AND(AND(C111&lt;&gt;"",E111&lt;&gt;"",I111&lt;&gt;"",OR(Settings!$B$10="No",I111&lt;&gt;E111)),G111="Paid a pro",Settings!$B$9="Yes"),MAX(0,H111-K111*F111),0)</f>
        <v/>
      </c>
      <c r="N111" s="3">
        <f>IF(C111="","",IF(B111="","Enter the boat number",IF(B111&gt;Settings!$B$6,"Boat number above the boat count",IF(SUMIFS($F$5:$F$1004,$B$5:$B$1004,B111,$C$5:$C$1004,C111)&gt;1.0001,"Shares for this step add up to over 100%",IF(I111="","Waiting for sign-off",IF(AND(Settings!$B$10="Yes",I111=E111),"Needs a different member to sign off","OK"))))))</f>
        <v/>
      </c>
    </row>
    <row r="112">
      <c r="A112" s="9" t="n"/>
      <c r="B112" s="6" t="n"/>
      <c r="C112" s="6" t="n"/>
      <c r="D112" s="3">
        <f>IF(C112="","",IFERROR(INDEX(Steps!$C$5:$C$62,MATCH(C112,Steps!$A$5:$A$62,0)),""))</f>
        <v/>
      </c>
      <c r="E112" s="6" t="n"/>
      <c r="F112" s="8" t="n"/>
      <c r="G112" s="6" t="n"/>
      <c r="H112" s="7" t="n"/>
      <c r="I112" s="6" t="n"/>
      <c r="J112" s="9" t="n"/>
      <c r="K112" s="11">
        <f>IF(C112="","",N(IFERROR(INDEX(Steps!$E$5:$E$62,MATCH(C112,Steps!$A$5:$A$62,0)),"")))</f>
        <v/>
      </c>
      <c r="L112" s="11">
        <f>IF(AND(C112&lt;&gt;"",E112&lt;&gt;"",I112&lt;&gt;"",OR(Settings!$B$10="No",I112&lt;&gt;E112)),K112*F112,0)</f>
        <v/>
      </c>
      <c r="M112" s="11">
        <f>IF(AND(AND(C112&lt;&gt;"",E112&lt;&gt;"",I112&lt;&gt;"",OR(Settings!$B$10="No",I112&lt;&gt;E112)),G112="Paid a pro",Settings!$B$9="Yes"),MAX(0,H112-K112*F112),0)</f>
        <v/>
      </c>
      <c r="N112" s="3">
        <f>IF(C112="","",IF(B112="","Enter the boat number",IF(B112&gt;Settings!$B$6,"Boat number above the boat count",IF(SUMIFS($F$5:$F$1004,$B$5:$B$1004,B112,$C$5:$C$1004,C112)&gt;1.0001,"Shares for this step add up to over 100%",IF(I112="","Waiting for sign-off",IF(AND(Settings!$B$10="Yes",I112=E112),"Needs a different member to sign off","OK"))))))</f>
        <v/>
      </c>
    </row>
    <row r="113">
      <c r="A113" s="9" t="n"/>
      <c r="B113" s="6" t="n"/>
      <c r="C113" s="6" t="n"/>
      <c r="D113" s="3">
        <f>IF(C113="","",IFERROR(INDEX(Steps!$C$5:$C$62,MATCH(C113,Steps!$A$5:$A$62,0)),""))</f>
        <v/>
      </c>
      <c r="E113" s="6" t="n"/>
      <c r="F113" s="8" t="n"/>
      <c r="G113" s="6" t="n"/>
      <c r="H113" s="7" t="n"/>
      <c r="I113" s="6" t="n"/>
      <c r="J113" s="9" t="n"/>
      <c r="K113" s="11">
        <f>IF(C113="","",N(IFERROR(INDEX(Steps!$E$5:$E$62,MATCH(C113,Steps!$A$5:$A$62,0)),"")))</f>
        <v/>
      </c>
      <c r="L113" s="11">
        <f>IF(AND(C113&lt;&gt;"",E113&lt;&gt;"",I113&lt;&gt;"",OR(Settings!$B$10="No",I113&lt;&gt;E113)),K113*F113,0)</f>
        <v/>
      </c>
      <c r="M113" s="11">
        <f>IF(AND(AND(C113&lt;&gt;"",E113&lt;&gt;"",I113&lt;&gt;"",OR(Settings!$B$10="No",I113&lt;&gt;E113)),G113="Paid a pro",Settings!$B$9="Yes"),MAX(0,H113-K113*F113),0)</f>
        <v/>
      </c>
      <c r="N113" s="3">
        <f>IF(C113="","",IF(B113="","Enter the boat number",IF(B113&gt;Settings!$B$6,"Boat number above the boat count",IF(SUMIFS($F$5:$F$1004,$B$5:$B$1004,B113,$C$5:$C$1004,C113)&gt;1.0001,"Shares for this step add up to over 100%",IF(I113="","Waiting for sign-off",IF(AND(Settings!$B$10="Yes",I113=E113),"Needs a different member to sign off","OK"))))))</f>
        <v/>
      </c>
    </row>
    <row r="114">
      <c r="A114" s="9" t="n"/>
      <c r="B114" s="6" t="n"/>
      <c r="C114" s="6" t="n"/>
      <c r="D114" s="3">
        <f>IF(C114="","",IFERROR(INDEX(Steps!$C$5:$C$62,MATCH(C114,Steps!$A$5:$A$62,0)),""))</f>
        <v/>
      </c>
      <c r="E114" s="6" t="n"/>
      <c r="F114" s="8" t="n"/>
      <c r="G114" s="6" t="n"/>
      <c r="H114" s="7" t="n"/>
      <c r="I114" s="6" t="n"/>
      <c r="J114" s="9" t="n"/>
      <c r="K114" s="11">
        <f>IF(C114="","",N(IFERROR(INDEX(Steps!$E$5:$E$62,MATCH(C114,Steps!$A$5:$A$62,0)),"")))</f>
        <v/>
      </c>
      <c r="L114" s="11">
        <f>IF(AND(C114&lt;&gt;"",E114&lt;&gt;"",I114&lt;&gt;"",OR(Settings!$B$10="No",I114&lt;&gt;E114)),K114*F114,0)</f>
        <v/>
      </c>
      <c r="M114" s="11">
        <f>IF(AND(AND(C114&lt;&gt;"",E114&lt;&gt;"",I114&lt;&gt;"",OR(Settings!$B$10="No",I114&lt;&gt;E114)),G114="Paid a pro",Settings!$B$9="Yes"),MAX(0,H114-K114*F114),0)</f>
        <v/>
      </c>
      <c r="N114" s="3">
        <f>IF(C114="","",IF(B114="","Enter the boat number",IF(B114&gt;Settings!$B$6,"Boat number above the boat count",IF(SUMIFS($F$5:$F$1004,$B$5:$B$1004,B114,$C$5:$C$1004,C114)&gt;1.0001,"Shares for this step add up to over 100%",IF(I114="","Waiting for sign-off",IF(AND(Settings!$B$10="Yes",I114=E114),"Needs a different member to sign off","OK"))))))</f>
        <v/>
      </c>
    </row>
    <row r="115">
      <c r="A115" s="9" t="n"/>
      <c r="B115" s="6" t="n"/>
      <c r="C115" s="6" t="n"/>
      <c r="D115" s="3">
        <f>IF(C115="","",IFERROR(INDEX(Steps!$C$5:$C$62,MATCH(C115,Steps!$A$5:$A$62,0)),""))</f>
        <v/>
      </c>
      <c r="E115" s="6" t="n"/>
      <c r="F115" s="8" t="n"/>
      <c r="G115" s="6" t="n"/>
      <c r="H115" s="7" t="n"/>
      <c r="I115" s="6" t="n"/>
      <c r="J115" s="9" t="n"/>
      <c r="K115" s="11">
        <f>IF(C115="","",N(IFERROR(INDEX(Steps!$E$5:$E$62,MATCH(C115,Steps!$A$5:$A$62,0)),"")))</f>
        <v/>
      </c>
      <c r="L115" s="11">
        <f>IF(AND(C115&lt;&gt;"",E115&lt;&gt;"",I115&lt;&gt;"",OR(Settings!$B$10="No",I115&lt;&gt;E115)),K115*F115,0)</f>
        <v/>
      </c>
      <c r="M115" s="11">
        <f>IF(AND(AND(C115&lt;&gt;"",E115&lt;&gt;"",I115&lt;&gt;"",OR(Settings!$B$10="No",I115&lt;&gt;E115)),G115="Paid a pro",Settings!$B$9="Yes"),MAX(0,H115-K115*F115),0)</f>
        <v/>
      </c>
      <c r="N115" s="3">
        <f>IF(C115="","",IF(B115="","Enter the boat number",IF(B115&gt;Settings!$B$6,"Boat number above the boat count",IF(SUMIFS($F$5:$F$1004,$B$5:$B$1004,B115,$C$5:$C$1004,C115)&gt;1.0001,"Shares for this step add up to over 100%",IF(I115="","Waiting for sign-off",IF(AND(Settings!$B$10="Yes",I115=E115),"Needs a different member to sign off","OK"))))))</f>
        <v/>
      </c>
    </row>
    <row r="116">
      <c r="A116" s="9" t="n"/>
      <c r="B116" s="6" t="n"/>
      <c r="C116" s="6" t="n"/>
      <c r="D116" s="3">
        <f>IF(C116="","",IFERROR(INDEX(Steps!$C$5:$C$62,MATCH(C116,Steps!$A$5:$A$62,0)),""))</f>
        <v/>
      </c>
      <c r="E116" s="6" t="n"/>
      <c r="F116" s="8" t="n"/>
      <c r="G116" s="6" t="n"/>
      <c r="H116" s="7" t="n"/>
      <c r="I116" s="6" t="n"/>
      <c r="J116" s="9" t="n"/>
      <c r="K116" s="11">
        <f>IF(C116="","",N(IFERROR(INDEX(Steps!$E$5:$E$62,MATCH(C116,Steps!$A$5:$A$62,0)),"")))</f>
        <v/>
      </c>
      <c r="L116" s="11">
        <f>IF(AND(C116&lt;&gt;"",E116&lt;&gt;"",I116&lt;&gt;"",OR(Settings!$B$10="No",I116&lt;&gt;E116)),K116*F116,0)</f>
        <v/>
      </c>
      <c r="M116" s="11">
        <f>IF(AND(AND(C116&lt;&gt;"",E116&lt;&gt;"",I116&lt;&gt;"",OR(Settings!$B$10="No",I116&lt;&gt;E116)),G116="Paid a pro",Settings!$B$9="Yes"),MAX(0,H116-K116*F116),0)</f>
        <v/>
      </c>
      <c r="N116" s="3">
        <f>IF(C116="","",IF(B116="","Enter the boat number",IF(B116&gt;Settings!$B$6,"Boat number above the boat count",IF(SUMIFS($F$5:$F$1004,$B$5:$B$1004,B116,$C$5:$C$1004,C116)&gt;1.0001,"Shares for this step add up to over 100%",IF(I116="","Waiting for sign-off",IF(AND(Settings!$B$10="Yes",I116=E116),"Needs a different member to sign off","OK"))))))</f>
        <v/>
      </c>
    </row>
    <row r="117">
      <c r="A117" s="9" t="n"/>
      <c r="B117" s="6" t="n"/>
      <c r="C117" s="6" t="n"/>
      <c r="D117" s="3">
        <f>IF(C117="","",IFERROR(INDEX(Steps!$C$5:$C$62,MATCH(C117,Steps!$A$5:$A$62,0)),""))</f>
        <v/>
      </c>
      <c r="E117" s="6" t="n"/>
      <c r="F117" s="8" t="n"/>
      <c r="G117" s="6" t="n"/>
      <c r="H117" s="7" t="n"/>
      <c r="I117" s="6" t="n"/>
      <c r="J117" s="9" t="n"/>
      <c r="K117" s="11">
        <f>IF(C117="","",N(IFERROR(INDEX(Steps!$E$5:$E$62,MATCH(C117,Steps!$A$5:$A$62,0)),"")))</f>
        <v/>
      </c>
      <c r="L117" s="11">
        <f>IF(AND(C117&lt;&gt;"",E117&lt;&gt;"",I117&lt;&gt;"",OR(Settings!$B$10="No",I117&lt;&gt;E117)),K117*F117,0)</f>
        <v/>
      </c>
      <c r="M117" s="11">
        <f>IF(AND(AND(C117&lt;&gt;"",E117&lt;&gt;"",I117&lt;&gt;"",OR(Settings!$B$10="No",I117&lt;&gt;E117)),G117="Paid a pro",Settings!$B$9="Yes"),MAX(0,H117-K117*F117),0)</f>
        <v/>
      </c>
      <c r="N117" s="3">
        <f>IF(C117="","",IF(B117="","Enter the boat number",IF(B117&gt;Settings!$B$6,"Boat number above the boat count",IF(SUMIFS($F$5:$F$1004,$B$5:$B$1004,B117,$C$5:$C$1004,C117)&gt;1.0001,"Shares for this step add up to over 100%",IF(I117="","Waiting for sign-off",IF(AND(Settings!$B$10="Yes",I117=E117),"Needs a different member to sign off","OK"))))))</f>
        <v/>
      </c>
    </row>
    <row r="118">
      <c r="A118" s="9" t="n"/>
      <c r="B118" s="6" t="n"/>
      <c r="C118" s="6" t="n"/>
      <c r="D118" s="3">
        <f>IF(C118="","",IFERROR(INDEX(Steps!$C$5:$C$62,MATCH(C118,Steps!$A$5:$A$62,0)),""))</f>
        <v/>
      </c>
      <c r="E118" s="6" t="n"/>
      <c r="F118" s="8" t="n"/>
      <c r="G118" s="6" t="n"/>
      <c r="H118" s="7" t="n"/>
      <c r="I118" s="6" t="n"/>
      <c r="J118" s="9" t="n"/>
      <c r="K118" s="11">
        <f>IF(C118="","",N(IFERROR(INDEX(Steps!$E$5:$E$62,MATCH(C118,Steps!$A$5:$A$62,0)),"")))</f>
        <v/>
      </c>
      <c r="L118" s="11">
        <f>IF(AND(C118&lt;&gt;"",E118&lt;&gt;"",I118&lt;&gt;"",OR(Settings!$B$10="No",I118&lt;&gt;E118)),K118*F118,0)</f>
        <v/>
      </c>
      <c r="M118" s="11">
        <f>IF(AND(AND(C118&lt;&gt;"",E118&lt;&gt;"",I118&lt;&gt;"",OR(Settings!$B$10="No",I118&lt;&gt;E118)),G118="Paid a pro",Settings!$B$9="Yes"),MAX(0,H118-K118*F118),0)</f>
        <v/>
      </c>
      <c r="N118" s="3">
        <f>IF(C118="","",IF(B118="","Enter the boat number",IF(B118&gt;Settings!$B$6,"Boat number above the boat count",IF(SUMIFS($F$5:$F$1004,$B$5:$B$1004,B118,$C$5:$C$1004,C118)&gt;1.0001,"Shares for this step add up to over 100%",IF(I118="","Waiting for sign-off",IF(AND(Settings!$B$10="Yes",I118=E118),"Needs a different member to sign off","OK"))))))</f>
        <v/>
      </c>
    </row>
    <row r="119">
      <c r="A119" s="9" t="n"/>
      <c r="B119" s="6" t="n"/>
      <c r="C119" s="6" t="n"/>
      <c r="D119" s="3">
        <f>IF(C119="","",IFERROR(INDEX(Steps!$C$5:$C$62,MATCH(C119,Steps!$A$5:$A$62,0)),""))</f>
        <v/>
      </c>
      <c r="E119" s="6" t="n"/>
      <c r="F119" s="8" t="n"/>
      <c r="G119" s="6" t="n"/>
      <c r="H119" s="7" t="n"/>
      <c r="I119" s="6" t="n"/>
      <c r="J119" s="9" t="n"/>
      <c r="K119" s="11">
        <f>IF(C119="","",N(IFERROR(INDEX(Steps!$E$5:$E$62,MATCH(C119,Steps!$A$5:$A$62,0)),"")))</f>
        <v/>
      </c>
      <c r="L119" s="11">
        <f>IF(AND(C119&lt;&gt;"",E119&lt;&gt;"",I119&lt;&gt;"",OR(Settings!$B$10="No",I119&lt;&gt;E119)),K119*F119,0)</f>
        <v/>
      </c>
      <c r="M119" s="11">
        <f>IF(AND(AND(C119&lt;&gt;"",E119&lt;&gt;"",I119&lt;&gt;"",OR(Settings!$B$10="No",I119&lt;&gt;E119)),G119="Paid a pro",Settings!$B$9="Yes"),MAX(0,H119-K119*F119),0)</f>
        <v/>
      </c>
      <c r="N119" s="3">
        <f>IF(C119="","",IF(B119="","Enter the boat number",IF(B119&gt;Settings!$B$6,"Boat number above the boat count",IF(SUMIFS($F$5:$F$1004,$B$5:$B$1004,B119,$C$5:$C$1004,C119)&gt;1.0001,"Shares for this step add up to over 100%",IF(I119="","Waiting for sign-off",IF(AND(Settings!$B$10="Yes",I119=E119),"Needs a different member to sign off","OK"))))))</f>
        <v/>
      </c>
    </row>
    <row r="120">
      <c r="A120" s="9" t="n"/>
      <c r="B120" s="6" t="n"/>
      <c r="C120" s="6" t="n"/>
      <c r="D120" s="3">
        <f>IF(C120="","",IFERROR(INDEX(Steps!$C$5:$C$62,MATCH(C120,Steps!$A$5:$A$62,0)),""))</f>
        <v/>
      </c>
      <c r="E120" s="6" t="n"/>
      <c r="F120" s="8" t="n"/>
      <c r="G120" s="6" t="n"/>
      <c r="H120" s="7" t="n"/>
      <c r="I120" s="6" t="n"/>
      <c r="J120" s="9" t="n"/>
      <c r="K120" s="11">
        <f>IF(C120="","",N(IFERROR(INDEX(Steps!$E$5:$E$62,MATCH(C120,Steps!$A$5:$A$62,0)),"")))</f>
        <v/>
      </c>
      <c r="L120" s="11">
        <f>IF(AND(C120&lt;&gt;"",E120&lt;&gt;"",I120&lt;&gt;"",OR(Settings!$B$10="No",I120&lt;&gt;E120)),K120*F120,0)</f>
        <v/>
      </c>
      <c r="M120" s="11">
        <f>IF(AND(AND(C120&lt;&gt;"",E120&lt;&gt;"",I120&lt;&gt;"",OR(Settings!$B$10="No",I120&lt;&gt;E120)),G120="Paid a pro",Settings!$B$9="Yes"),MAX(0,H120-K120*F120),0)</f>
        <v/>
      </c>
      <c r="N120" s="3">
        <f>IF(C120="","",IF(B120="","Enter the boat number",IF(B120&gt;Settings!$B$6,"Boat number above the boat count",IF(SUMIFS($F$5:$F$1004,$B$5:$B$1004,B120,$C$5:$C$1004,C120)&gt;1.0001,"Shares for this step add up to over 100%",IF(I120="","Waiting for sign-off",IF(AND(Settings!$B$10="Yes",I120=E120),"Needs a different member to sign off","OK"))))))</f>
        <v/>
      </c>
    </row>
    <row r="121">
      <c r="A121" s="9" t="n"/>
      <c r="B121" s="6" t="n"/>
      <c r="C121" s="6" t="n"/>
      <c r="D121" s="3">
        <f>IF(C121="","",IFERROR(INDEX(Steps!$C$5:$C$62,MATCH(C121,Steps!$A$5:$A$62,0)),""))</f>
        <v/>
      </c>
      <c r="E121" s="6" t="n"/>
      <c r="F121" s="8" t="n"/>
      <c r="G121" s="6" t="n"/>
      <c r="H121" s="7" t="n"/>
      <c r="I121" s="6" t="n"/>
      <c r="J121" s="9" t="n"/>
      <c r="K121" s="11">
        <f>IF(C121="","",N(IFERROR(INDEX(Steps!$E$5:$E$62,MATCH(C121,Steps!$A$5:$A$62,0)),"")))</f>
        <v/>
      </c>
      <c r="L121" s="11">
        <f>IF(AND(C121&lt;&gt;"",E121&lt;&gt;"",I121&lt;&gt;"",OR(Settings!$B$10="No",I121&lt;&gt;E121)),K121*F121,0)</f>
        <v/>
      </c>
      <c r="M121" s="11">
        <f>IF(AND(AND(C121&lt;&gt;"",E121&lt;&gt;"",I121&lt;&gt;"",OR(Settings!$B$10="No",I121&lt;&gt;E121)),G121="Paid a pro",Settings!$B$9="Yes"),MAX(0,H121-K121*F121),0)</f>
        <v/>
      </c>
      <c r="N121" s="3">
        <f>IF(C121="","",IF(B121="","Enter the boat number",IF(B121&gt;Settings!$B$6,"Boat number above the boat count",IF(SUMIFS($F$5:$F$1004,$B$5:$B$1004,B121,$C$5:$C$1004,C121)&gt;1.0001,"Shares for this step add up to over 100%",IF(I121="","Waiting for sign-off",IF(AND(Settings!$B$10="Yes",I121=E121),"Needs a different member to sign off","OK"))))))</f>
        <v/>
      </c>
    </row>
    <row r="122">
      <c r="A122" s="9" t="n"/>
      <c r="B122" s="6" t="n"/>
      <c r="C122" s="6" t="n"/>
      <c r="D122" s="3">
        <f>IF(C122="","",IFERROR(INDEX(Steps!$C$5:$C$62,MATCH(C122,Steps!$A$5:$A$62,0)),""))</f>
        <v/>
      </c>
      <c r="E122" s="6" t="n"/>
      <c r="F122" s="8" t="n"/>
      <c r="G122" s="6" t="n"/>
      <c r="H122" s="7" t="n"/>
      <c r="I122" s="6" t="n"/>
      <c r="J122" s="9" t="n"/>
      <c r="K122" s="11">
        <f>IF(C122="","",N(IFERROR(INDEX(Steps!$E$5:$E$62,MATCH(C122,Steps!$A$5:$A$62,0)),"")))</f>
        <v/>
      </c>
      <c r="L122" s="11">
        <f>IF(AND(C122&lt;&gt;"",E122&lt;&gt;"",I122&lt;&gt;"",OR(Settings!$B$10="No",I122&lt;&gt;E122)),K122*F122,0)</f>
        <v/>
      </c>
      <c r="M122" s="11">
        <f>IF(AND(AND(C122&lt;&gt;"",E122&lt;&gt;"",I122&lt;&gt;"",OR(Settings!$B$10="No",I122&lt;&gt;E122)),G122="Paid a pro",Settings!$B$9="Yes"),MAX(0,H122-K122*F122),0)</f>
        <v/>
      </c>
      <c r="N122" s="3">
        <f>IF(C122="","",IF(B122="","Enter the boat number",IF(B122&gt;Settings!$B$6,"Boat number above the boat count",IF(SUMIFS($F$5:$F$1004,$B$5:$B$1004,B122,$C$5:$C$1004,C122)&gt;1.0001,"Shares for this step add up to over 100%",IF(I122="","Waiting for sign-off",IF(AND(Settings!$B$10="Yes",I122=E122),"Needs a different member to sign off","OK"))))))</f>
        <v/>
      </c>
    </row>
    <row r="123">
      <c r="A123" s="9" t="n"/>
      <c r="B123" s="6" t="n"/>
      <c r="C123" s="6" t="n"/>
      <c r="D123" s="3">
        <f>IF(C123="","",IFERROR(INDEX(Steps!$C$5:$C$62,MATCH(C123,Steps!$A$5:$A$62,0)),""))</f>
        <v/>
      </c>
      <c r="E123" s="6" t="n"/>
      <c r="F123" s="8" t="n"/>
      <c r="G123" s="6" t="n"/>
      <c r="H123" s="7" t="n"/>
      <c r="I123" s="6" t="n"/>
      <c r="J123" s="9" t="n"/>
      <c r="K123" s="11">
        <f>IF(C123="","",N(IFERROR(INDEX(Steps!$E$5:$E$62,MATCH(C123,Steps!$A$5:$A$62,0)),"")))</f>
        <v/>
      </c>
      <c r="L123" s="11">
        <f>IF(AND(C123&lt;&gt;"",E123&lt;&gt;"",I123&lt;&gt;"",OR(Settings!$B$10="No",I123&lt;&gt;E123)),K123*F123,0)</f>
        <v/>
      </c>
      <c r="M123" s="11">
        <f>IF(AND(AND(C123&lt;&gt;"",E123&lt;&gt;"",I123&lt;&gt;"",OR(Settings!$B$10="No",I123&lt;&gt;E123)),G123="Paid a pro",Settings!$B$9="Yes"),MAX(0,H123-K123*F123),0)</f>
        <v/>
      </c>
      <c r="N123" s="3">
        <f>IF(C123="","",IF(B123="","Enter the boat number",IF(B123&gt;Settings!$B$6,"Boat number above the boat count",IF(SUMIFS($F$5:$F$1004,$B$5:$B$1004,B123,$C$5:$C$1004,C123)&gt;1.0001,"Shares for this step add up to over 100%",IF(I123="","Waiting for sign-off",IF(AND(Settings!$B$10="Yes",I123=E123),"Needs a different member to sign off","OK"))))))</f>
        <v/>
      </c>
    </row>
    <row r="124">
      <c r="A124" s="9" t="n"/>
      <c r="B124" s="6" t="n"/>
      <c r="C124" s="6" t="n"/>
      <c r="D124" s="3">
        <f>IF(C124="","",IFERROR(INDEX(Steps!$C$5:$C$62,MATCH(C124,Steps!$A$5:$A$62,0)),""))</f>
        <v/>
      </c>
      <c r="E124" s="6" t="n"/>
      <c r="F124" s="8" t="n"/>
      <c r="G124" s="6" t="n"/>
      <c r="H124" s="7" t="n"/>
      <c r="I124" s="6" t="n"/>
      <c r="J124" s="9" t="n"/>
      <c r="K124" s="11">
        <f>IF(C124="","",N(IFERROR(INDEX(Steps!$E$5:$E$62,MATCH(C124,Steps!$A$5:$A$62,0)),"")))</f>
        <v/>
      </c>
      <c r="L124" s="11">
        <f>IF(AND(C124&lt;&gt;"",E124&lt;&gt;"",I124&lt;&gt;"",OR(Settings!$B$10="No",I124&lt;&gt;E124)),K124*F124,0)</f>
        <v/>
      </c>
      <c r="M124" s="11">
        <f>IF(AND(AND(C124&lt;&gt;"",E124&lt;&gt;"",I124&lt;&gt;"",OR(Settings!$B$10="No",I124&lt;&gt;E124)),G124="Paid a pro",Settings!$B$9="Yes"),MAX(0,H124-K124*F124),0)</f>
        <v/>
      </c>
      <c r="N124" s="3">
        <f>IF(C124="","",IF(B124="","Enter the boat number",IF(B124&gt;Settings!$B$6,"Boat number above the boat count",IF(SUMIFS($F$5:$F$1004,$B$5:$B$1004,B124,$C$5:$C$1004,C124)&gt;1.0001,"Shares for this step add up to over 100%",IF(I124="","Waiting for sign-off",IF(AND(Settings!$B$10="Yes",I124=E124),"Needs a different member to sign off","OK"))))))</f>
        <v/>
      </c>
    </row>
    <row r="125">
      <c r="A125" s="9" t="n"/>
      <c r="B125" s="6" t="n"/>
      <c r="C125" s="6" t="n"/>
      <c r="D125" s="3">
        <f>IF(C125="","",IFERROR(INDEX(Steps!$C$5:$C$62,MATCH(C125,Steps!$A$5:$A$62,0)),""))</f>
        <v/>
      </c>
      <c r="E125" s="6" t="n"/>
      <c r="F125" s="8" t="n"/>
      <c r="G125" s="6" t="n"/>
      <c r="H125" s="7" t="n"/>
      <c r="I125" s="6" t="n"/>
      <c r="J125" s="9" t="n"/>
      <c r="K125" s="11">
        <f>IF(C125="","",N(IFERROR(INDEX(Steps!$E$5:$E$62,MATCH(C125,Steps!$A$5:$A$62,0)),"")))</f>
        <v/>
      </c>
      <c r="L125" s="11">
        <f>IF(AND(C125&lt;&gt;"",E125&lt;&gt;"",I125&lt;&gt;"",OR(Settings!$B$10="No",I125&lt;&gt;E125)),K125*F125,0)</f>
        <v/>
      </c>
      <c r="M125" s="11">
        <f>IF(AND(AND(C125&lt;&gt;"",E125&lt;&gt;"",I125&lt;&gt;"",OR(Settings!$B$10="No",I125&lt;&gt;E125)),G125="Paid a pro",Settings!$B$9="Yes"),MAX(0,H125-K125*F125),0)</f>
        <v/>
      </c>
      <c r="N125" s="3">
        <f>IF(C125="","",IF(B125="","Enter the boat number",IF(B125&gt;Settings!$B$6,"Boat number above the boat count",IF(SUMIFS($F$5:$F$1004,$B$5:$B$1004,B125,$C$5:$C$1004,C125)&gt;1.0001,"Shares for this step add up to over 100%",IF(I125="","Waiting for sign-off",IF(AND(Settings!$B$10="Yes",I125=E125),"Needs a different member to sign off","OK"))))))</f>
        <v/>
      </c>
    </row>
    <row r="126">
      <c r="A126" s="9" t="n"/>
      <c r="B126" s="6" t="n"/>
      <c r="C126" s="6" t="n"/>
      <c r="D126" s="3">
        <f>IF(C126="","",IFERROR(INDEX(Steps!$C$5:$C$62,MATCH(C126,Steps!$A$5:$A$62,0)),""))</f>
        <v/>
      </c>
      <c r="E126" s="6" t="n"/>
      <c r="F126" s="8" t="n"/>
      <c r="G126" s="6" t="n"/>
      <c r="H126" s="7" t="n"/>
      <c r="I126" s="6" t="n"/>
      <c r="J126" s="9" t="n"/>
      <c r="K126" s="11">
        <f>IF(C126="","",N(IFERROR(INDEX(Steps!$E$5:$E$62,MATCH(C126,Steps!$A$5:$A$62,0)),"")))</f>
        <v/>
      </c>
      <c r="L126" s="11">
        <f>IF(AND(C126&lt;&gt;"",E126&lt;&gt;"",I126&lt;&gt;"",OR(Settings!$B$10="No",I126&lt;&gt;E126)),K126*F126,0)</f>
        <v/>
      </c>
      <c r="M126" s="11">
        <f>IF(AND(AND(C126&lt;&gt;"",E126&lt;&gt;"",I126&lt;&gt;"",OR(Settings!$B$10="No",I126&lt;&gt;E126)),G126="Paid a pro",Settings!$B$9="Yes"),MAX(0,H126-K126*F126),0)</f>
        <v/>
      </c>
      <c r="N126" s="3">
        <f>IF(C126="","",IF(B126="","Enter the boat number",IF(B126&gt;Settings!$B$6,"Boat number above the boat count",IF(SUMIFS($F$5:$F$1004,$B$5:$B$1004,B126,$C$5:$C$1004,C126)&gt;1.0001,"Shares for this step add up to over 100%",IF(I126="","Waiting for sign-off",IF(AND(Settings!$B$10="Yes",I126=E126),"Needs a different member to sign off","OK"))))))</f>
        <v/>
      </c>
    </row>
    <row r="127">
      <c r="A127" s="9" t="n"/>
      <c r="B127" s="6" t="n"/>
      <c r="C127" s="6" t="n"/>
      <c r="D127" s="3">
        <f>IF(C127="","",IFERROR(INDEX(Steps!$C$5:$C$62,MATCH(C127,Steps!$A$5:$A$62,0)),""))</f>
        <v/>
      </c>
      <c r="E127" s="6" t="n"/>
      <c r="F127" s="8" t="n"/>
      <c r="G127" s="6" t="n"/>
      <c r="H127" s="7" t="n"/>
      <c r="I127" s="6" t="n"/>
      <c r="J127" s="9" t="n"/>
      <c r="K127" s="11">
        <f>IF(C127="","",N(IFERROR(INDEX(Steps!$E$5:$E$62,MATCH(C127,Steps!$A$5:$A$62,0)),"")))</f>
        <v/>
      </c>
      <c r="L127" s="11">
        <f>IF(AND(C127&lt;&gt;"",E127&lt;&gt;"",I127&lt;&gt;"",OR(Settings!$B$10="No",I127&lt;&gt;E127)),K127*F127,0)</f>
        <v/>
      </c>
      <c r="M127" s="11">
        <f>IF(AND(AND(C127&lt;&gt;"",E127&lt;&gt;"",I127&lt;&gt;"",OR(Settings!$B$10="No",I127&lt;&gt;E127)),G127="Paid a pro",Settings!$B$9="Yes"),MAX(0,H127-K127*F127),0)</f>
        <v/>
      </c>
      <c r="N127" s="3">
        <f>IF(C127="","",IF(B127="","Enter the boat number",IF(B127&gt;Settings!$B$6,"Boat number above the boat count",IF(SUMIFS($F$5:$F$1004,$B$5:$B$1004,B127,$C$5:$C$1004,C127)&gt;1.0001,"Shares for this step add up to over 100%",IF(I127="","Waiting for sign-off",IF(AND(Settings!$B$10="Yes",I127=E127),"Needs a different member to sign off","OK"))))))</f>
        <v/>
      </c>
    </row>
    <row r="128">
      <c r="A128" s="9" t="n"/>
      <c r="B128" s="6" t="n"/>
      <c r="C128" s="6" t="n"/>
      <c r="D128" s="3">
        <f>IF(C128="","",IFERROR(INDEX(Steps!$C$5:$C$62,MATCH(C128,Steps!$A$5:$A$62,0)),""))</f>
        <v/>
      </c>
      <c r="E128" s="6" t="n"/>
      <c r="F128" s="8" t="n"/>
      <c r="G128" s="6" t="n"/>
      <c r="H128" s="7" t="n"/>
      <c r="I128" s="6" t="n"/>
      <c r="J128" s="9" t="n"/>
      <c r="K128" s="11">
        <f>IF(C128="","",N(IFERROR(INDEX(Steps!$E$5:$E$62,MATCH(C128,Steps!$A$5:$A$62,0)),"")))</f>
        <v/>
      </c>
      <c r="L128" s="11">
        <f>IF(AND(C128&lt;&gt;"",E128&lt;&gt;"",I128&lt;&gt;"",OR(Settings!$B$10="No",I128&lt;&gt;E128)),K128*F128,0)</f>
        <v/>
      </c>
      <c r="M128" s="11">
        <f>IF(AND(AND(C128&lt;&gt;"",E128&lt;&gt;"",I128&lt;&gt;"",OR(Settings!$B$10="No",I128&lt;&gt;E128)),G128="Paid a pro",Settings!$B$9="Yes"),MAX(0,H128-K128*F128),0)</f>
        <v/>
      </c>
      <c r="N128" s="3">
        <f>IF(C128="","",IF(B128="","Enter the boat number",IF(B128&gt;Settings!$B$6,"Boat number above the boat count",IF(SUMIFS($F$5:$F$1004,$B$5:$B$1004,B128,$C$5:$C$1004,C128)&gt;1.0001,"Shares for this step add up to over 100%",IF(I128="","Waiting for sign-off",IF(AND(Settings!$B$10="Yes",I128=E128),"Needs a different member to sign off","OK"))))))</f>
        <v/>
      </c>
    </row>
    <row r="129">
      <c r="A129" s="9" t="n"/>
      <c r="B129" s="6" t="n"/>
      <c r="C129" s="6" t="n"/>
      <c r="D129" s="3">
        <f>IF(C129="","",IFERROR(INDEX(Steps!$C$5:$C$62,MATCH(C129,Steps!$A$5:$A$62,0)),""))</f>
        <v/>
      </c>
      <c r="E129" s="6" t="n"/>
      <c r="F129" s="8" t="n"/>
      <c r="G129" s="6" t="n"/>
      <c r="H129" s="7" t="n"/>
      <c r="I129" s="6" t="n"/>
      <c r="J129" s="9" t="n"/>
      <c r="K129" s="11">
        <f>IF(C129="","",N(IFERROR(INDEX(Steps!$E$5:$E$62,MATCH(C129,Steps!$A$5:$A$62,0)),"")))</f>
        <v/>
      </c>
      <c r="L129" s="11">
        <f>IF(AND(C129&lt;&gt;"",E129&lt;&gt;"",I129&lt;&gt;"",OR(Settings!$B$10="No",I129&lt;&gt;E129)),K129*F129,0)</f>
        <v/>
      </c>
      <c r="M129" s="11">
        <f>IF(AND(AND(C129&lt;&gt;"",E129&lt;&gt;"",I129&lt;&gt;"",OR(Settings!$B$10="No",I129&lt;&gt;E129)),G129="Paid a pro",Settings!$B$9="Yes"),MAX(0,H129-K129*F129),0)</f>
        <v/>
      </c>
      <c r="N129" s="3">
        <f>IF(C129="","",IF(B129="","Enter the boat number",IF(B129&gt;Settings!$B$6,"Boat number above the boat count",IF(SUMIFS($F$5:$F$1004,$B$5:$B$1004,B129,$C$5:$C$1004,C129)&gt;1.0001,"Shares for this step add up to over 100%",IF(I129="","Waiting for sign-off",IF(AND(Settings!$B$10="Yes",I129=E129),"Needs a different member to sign off","OK"))))))</f>
        <v/>
      </c>
    </row>
    <row r="130">
      <c r="A130" s="9" t="n"/>
      <c r="B130" s="6" t="n"/>
      <c r="C130" s="6" t="n"/>
      <c r="D130" s="3">
        <f>IF(C130="","",IFERROR(INDEX(Steps!$C$5:$C$62,MATCH(C130,Steps!$A$5:$A$62,0)),""))</f>
        <v/>
      </c>
      <c r="E130" s="6" t="n"/>
      <c r="F130" s="8" t="n"/>
      <c r="G130" s="6" t="n"/>
      <c r="H130" s="7" t="n"/>
      <c r="I130" s="6" t="n"/>
      <c r="J130" s="9" t="n"/>
      <c r="K130" s="11">
        <f>IF(C130="","",N(IFERROR(INDEX(Steps!$E$5:$E$62,MATCH(C130,Steps!$A$5:$A$62,0)),"")))</f>
        <v/>
      </c>
      <c r="L130" s="11">
        <f>IF(AND(C130&lt;&gt;"",E130&lt;&gt;"",I130&lt;&gt;"",OR(Settings!$B$10="No",I130&lt;&gt;E130)),K130*F130,0)</f>
        <v/>
      </c>
      <c r="M130" s="11">
        <f>IF(AND(AND(C130&lt;&gt;"",E130&lt;&gt;"",I130&lt;&gt;"",OR(Settings!$B$10="No",I130&lt;&gt;E130)),G130="Paid a pro",Settings!$B$9="Yes"),MAX(0,H130-K130*F130),0)</f>
        <v/>
      </c>
      <c r="N130" s="3">
        <f>IF(C130="","",IF(B130="","Enter the boat number",IF(B130&gt;Settings!$B$6,"Boat number above the boat count",IF(SUMIFS($F$5:$F$1004,$B$5:$B$1004,B130,$C$5:$C$1004,C130)&gt;1.0001,"Shares for this step add up to over 100%",IF(I130="","Waiting for sign-off",IF(AND(Settings!$B$10="Yes",I130=E130),"Needs a different member to sign off","OK"))))))</f>
        <v/>
      </c>
    </row>
    <row r="131">
      <c r="A131" s="9" t="n"/>
      <c r="B131" s="6" t="n"/>
      <c r="C131" s="6" t="n"/>
      <c r="D131" s="3">
        <f>IF(C131="","",IFERROR(INDEX(Steps!$C$5:$C$62,MATCH(C131,Steps!$A$5:$A$62,0)),""))</f>
        <v/>
      </c>
      <c r="E131" s="6" t="n"/>
      <c r="F131" s="8" t="n"/>
      <c r="G131" s="6" t="n"/>
      <c r="H131" s="7" t="n"/>
      <c r="I131" s="6" t="n"/>
      <c r="J131" s="9" t="n"/>
      <c r="K131" s="11">
        <f>IF(C131="","",N(IFERROR(INDEX(Steps!$E$5:$E$62,MATCH(C131,Steps!$A$5:$A$62,0)),"")))</f>
        <v/>
      </c>
      <c r="L131" s="11">
        <f>IF(AND(C131&lt;&gt;"",E131&lt;&gt;"",I131&lt;&gt;"",OR(Settings!$B$10="No",I131&lt;&gt;E131)),K131*F131,0)</f>
        <v/>
      </c>
      <c r="M131" s="11">
        <f>IF(AND(AND(C131&lt;&gt;"",E131&lt;&gt;"",I131&lt;&gt;"",OR(Settings!$B$10="No",I131&lt;&gt;E131)),G131="Paid a pro",Settings!$B$9="Yes"),MAX(0,H131-K131*F131),0)</f>
        <v/>
      </c>
      <c r="N131" s="3">
        <f>IF(C131="","",IF(B131="","Enter the boat number",IF(B131&gt;Settings!$B$6,"Boat number above the boat count",IF(SUMIFS($F$5:$F$1004,$B$5:$B$1004,B131,$C$5:$C$1004,C131)&gt;1.0001,"Shares for this step add up to over 100%",IF(I131="","Waiting for sign-off",IF(AND(Settings!$B$10="Yes",I131=E131),"Needs a different member to sign off","OK"))))))</f>
        <v/>
      </c>
    </row>
    <row r="132">
      <c r="A132" s="9" t="n"/>
      <c r="B132" s="6" t="n"/>
      <c r="C132" s="6" t="n"/>
      <c r="D132" s="3">
        <f>IF(C132="","",IFERROR(INDEX(Steps!$C$5:$C$62,MATCH(C132,Steps!$A$5:$A$62,0)),""))</f>
        <v/>
      </c>
      <c r="E132" s="6" t="n"/>
      <c r="F132" s="8" t="n"/>
      <c r="G132" s="6" t="n"/>
      <c r="H132" s="7" t="n"/>
      <c r="I132" s="6" t="n"/>
      <c r="J132" s="9" t="n"/>
      <c r="K132" s="11">
        <f>IF(C132="","",N(IFERROR(INDEX(Steps!$E$5:$E$62,MATCH(C132,Steps!$A$5:$A$62,0)),"")))</f>
        <v/>
      </c>
      <c r="L132" s="11">
        <f>IF(AND(C132&lt;&gt;"",E132&lt;&gt;"",I132&lt;&gt;"",OR(Settings!$B$10="No",I132&lt;&gt;E132)),K132*F132,0)</f>
        <v/>
      </c>
      <c r="M132" s="11">
        <f>IF(AND(AND(C132&lt;&gt;"",E132&lt;&gt;"",I132&lt;&gt;"",OR(Settings!$B$10="No",I132&lt;&gt;E132)),G132="Paid a pro",Settings!$B$9="Yes"),MAX(0,H132-K132*F132),0)</f>
        <v/>
      </c>
      <c r="N132" s="3">
        <f>IF(C132="","",IF(B132="","Enter the boat number",IF(B132&gt;Settings!$B$6,"Boat number above the boat count",IF(SUMIFS($F$5:$F$1004,$B$5:$B$1004,B132,$C$5:$C$1004,C132)&gt;1.0001,"Shares for this step add up to over 100%",IF(I132="","Waiting for sign-off",IF(AND(Settings!$B$10="Yes",I132=E132),"Needs a different member to sign off","OK"))))))</f>
        <v/>
      </c>
    </row>
    <row r="133">
      <c r="A133" s="9" t="n"/>
      <c r="B133" s="6" t="n"/>
      <c r="C133" s="6" t="n"/>
      <c r="D133" s="3">
        <f>IF(C133="","",IFERROR(INDEX(Steps!$C$5:$C$62,MATCH(C133,Steps!$A$5:$A$62,0)),""))</f>
        <v/>
      </c>
      <c r="E133" s="6" t="n"/>
      <c r="F133" s="8" t="n"/>
      <c r="G133" s="6" t="n"/>
      <c r="H133" s="7" t="n"/>
      <c r="I133" s="6" t="n"/>
      <c r="J133" s="9" t="n"/>
      <c r="K133" s="11">
        <f>IF(C133="","",N(IFERROR(INDEX(Steps!$E$5:$E$62,MATCH(C133,Steps!$A$5:$A$62,0)),"")))</f>
        <v/>
      </c>
      <c r="L133" s="11">
        <f>IF(AND(C133&lt;&gt;"",E133&lt;&gt;"",I133&lt;&gt;"",OR(Settings!$B$10="No",I133&lt;&gt;E133)),K133*F133,0)</f>
        <v/>
      </c>
      <c r="M133" s="11">
        <f>IF(AND(AND(C133&lt;&gt;"",E133&lt;&gt;"",I133&lt;&gt;"",OR(Settings!$B$10="No",I133&lt;&gt;E133)),G133="Paid a pro",Settings!$B$9="Yes"),MAX(0,H133-K133*F133),0)</f>
        <v/>
      </c>
      <c r="N133" s="3">
        <f>IF(C133="","",IF(B133="","Enter the boat number",IF(B133&gt;Settings!$B$6,"Boat number above the boat count",IF(SUMIFS($F$5:$F$1004,$B$5:$B$1004,B133,$C$5:$C$1004,C133)&gt;1.0001,"Shares for this step add up to over 100%",IF(I133="","Waiting for sign-off",IF(AND(Settings!$B$10="Yes",I133=E133),"Needs a different member to sign off","OK"))))))</f>
        <v/>
      </c>
    </row>
    <row r="134">
      <c r="A134" s="9" t="n"/>
      <c r="B134" s="6" t="n"/>
      <c r="C134" s="6" t="n"/>
      <c r="D134" s="3">
        <f>IF(C134="","",IFERROR(INDEX(Steps!$C$5:$C$62,MATCH(C134,Steps!$A$5:$A$62,0)),""))</f>
        <v/>
      </c>
      <c r="E134" s="6" t="n"/>
      <c r="F134" s="8" t="n"/>
      <c r="G134" s="6" t="n"/>
      <c r="H134" s="7" t="n"/>
      <c r="I134" s="6" t="n"/>
      <c r="J134" s="9" t="n"/>
      <c r="K134" s="11">
        <f>IF(C134="","",N(IFERROR(INDEX(Steps!$E$5:$E$62,MATCH(C134,Steps!$A$5:$A$62,0)),"")))</f>
        <v/>
      </c>
      <c r="L134" s="11">
        <f>IF(AND(C134&lt;&gt;"",E134&lt;&gt;"",I134&lt;&gt;"",OR(Settings!$B$10="No",I134&lt;&gt;E134)),K134*F134,0)</f>
        <v/>
      </c>
      <c r="M134" s="11">
        <f>IF(AND(AND(C134&lt;&gt;"",E134&lt;&gt;"",I134&lt;&gt;"",OR(Settings!$B$10="No",I134&lt;&gt;E134)),G134="Paid a pro",Settings!$B$9="Yes"),MAX(0,H134-K134*F134),0)</f>
        <v/>
      </c>
      <c r="N134" s="3">
        <f>IF(C134="","",IF(B134="","Enter the boat number",IF(B134&gt;Settings!$B$6,"Boat number above the boat count",IF(SUMIFS($F$5:$F$1004,$B$5:$B$1004,B134,$C$5:$C$1004,C134)&gt;1.0001,"Shares for this step add up to over 100%",IF(I134="","Waiting for sign-off",IF(AND(Settings!$B$10="Yes",I134=E134),"Needs a different member to sign off","OK"))))))</f>
        <v/>
      </c>
    </row>
    <row r="135">
      <c r="A135" s="9" t="n"/>
      <c r="B135" s="6" t="n"/>
      <c r="C135" s="6" t="n"/>
      <c r="D135" s="3">
        <f>IF(C135="","",IFERROR(INDEX(Steps!$C$5:$C$62,MATCH(C135,Steps!$A$5:$A$62,0)),""))</f>
        <v/>
      </c>
      <c r="E135" s="6" t="n"/>
      <c r="F135" s="8" t="n"/>
      <c r="G135" s="6" t="n"/>
      <c r="H135" s="7" t="n"/>
      <c r="I135" s="6" t="n"/>
      <c r="J135" s="9" t="n"/>
      <c r="K135" s="11">
        <f>IF(C135="","",N(IFERROR(INDEX(Steps!$E$5:$E$62,MATCH(C135,Steps!$A$5:$A$62,0)),"")))</f>
        <v/>
      </c>
      <c r="L135" s="11">
        <f>IF(AND(C135&lt;&gt;"",E135&lt;&gt;"",I135&lt;&gt;"",OR(Settings!$B$10="No",I135&lt;&gt;E135)),K135*F135,0)</f>
        <v/>
      </c>
      <c r="M135" s="11">
        <f>IF(AND(AND(C135&lt;&gt;"",E135&lt;&gt;"",I135&lt;&gt;"",OR(Settings!$B$10="No",I135&lt;&gt;E135)),G135="Paid a pro",Settings!$B$9="Yes"),MAX(0,H135-K135*F135),0)</f>
        <v/>
      </c>
      <c r="N135" s="3">
        <f>IF(C135="","",IF(B135="","Enter the boat number",IF(B135&gt;Settings!$B$6,"Boat number above the boat count",IF(SUMIFS($F$5:$F$1004,$B$5:$B$1004,B135,$C$5:$C$1004,C135)&gt;1.0001,"Shares for this step add up to over 100%",IF(I135="","Waiting for sign-off",IF(AND(Settings!$B$10="Yes",I135=E135),"Needs a different member to sign off","OK"))))))</f>
        <v/>
      </c>
    </row>
    <row r="136">
      <c r="A136" s="9" t="n"/>
      <c r="B136" s="6" t="n"/>
      <c r="C136" s="6" t="n"/>
      <c r="D136" s="3">
        <f>IF(C136="","",IFERROR(INDEX(Steps!$C$5:$C$62,MATCH(C136,Steps!$A$5:$A$62,0)),""))</f>
        <v/>
      </c>
      <c r="E136" s="6" t="n"/>
      <c r="F136" s="8" t="n"/>
      <c r="G136" s="6" t="n"/>
      <c r="H136" s="7" t="n"/>
      <c r="I136" s="6" t="n"/>
      <c r="J136" s="9" t="n"/>
      <c r="K136" s="11">
        <f>IF(C136="","",N(IFERROR(INDEX(Steps!$E$5:$E$62,MATCH(C136,Steps!$A$5:$A$62,0)),"")))</f>
        <v/>
      </c>
      <c r="L136" s="11">
        <f>IF(AND(C136&lt;&gt;"",E136&lt;&gt;"",I136&lt;&gt;"",OR(Settings!$B$10="No",I136&lt;&gt;E136)),K136*F136,0)</f>
        <v/>
      </c>
      <c r="M136" s="11">
        <f>IF(AND(AND(C136&lt;&gt;"",E136&lt;&gt;"",I136&lt;&gt;"",OR(Settings!$B$10="No",I136&lt;&gt;E136)),G136="Paid a pro",Settings!$B$9="Yes"),MAX(0,H136-K136*F136),0)</f>
        <v/>
      </c>
      <c r="N136" s="3">
        <f>IF(C136="","",IF(B136="","Enter the boat number",IF(B136&gt;Settings!$B$6,"Boat number above the boat count",IF(SUMIFS($F$5:$F$1004,$B$5:$B$1004,B136,$C$5:$C$1004,C136)&gt;1.0001,"Shares for this step add up to over 100%",IF(I136="","Waiting for sign-off",IF(AND(Settings!$B$10="Yes",I136=E136),"Needs a different member to sign off","OK"))))))</f>
        <v/>
      </c>
    </row>
    <row r="137">
      <c r="A137" s="9" t="n"/>
      <c r="B137" s="6" t="n"/>
      <c r="C137" s="6" t="n"/>
      <c r="D137" s="3">
        <f>IF(C137="","",IFERROR(INDEX(Steps!$C$5:$C$62,MATCH(C137,Steps!$A$5:$A$62,0)),""))</f>
        <v/>
      </c>
      <c r="E137" s="6" t="n"/>
      <c r="F137" s="8" t="n"/>
      <c r="G137" s="6" t="n"/>
      <c r="H137" s="7" t="n"/>
      <c r="I137" s="6" t="n"/>
      <c r="J137" s="9" t="n"/>
      <c r="K137" s="11">
        <f>IF(C137="","",N(IFERROR(INDEX(Steps!$E$5:$E$62,MATCH(C137,Steps!$A$5:$A$62,0)),"")))</f>
        <v/>
      </c>
      <c r="L137" s="11">
        <f>IF(AND(C137&lt;&gt;"",E137&lt;&gt;"",I137&lt;&gt;"",OR(Settings!$B$10="No",I137&lt;&gt;E137)),K137*F137,0)</f>
        <v/>
      </c>
      <c r="M137" s="11">
        <f>IF(AND(AND(C137&lt;&gt;"",E137&lt;&gt;"",I137&lt;&gt;"",OR(Settings!$B$10="No",I137&lt;&gt;E137)),G137="Paid a pro",Settings!$B$9="Yes"),MAX(0,H137-K137*F137),0)</f>
        <v/>
      </c>
      <c r="N137" s="3">
        <f>IF(C137="","",IF(B137="","Enter the boat number",IF(B137&gt;Settings!$B$6,"Boat number above the boat count",IF(SUMIFS($F$5:$F$1004,$B$5:$B$1004,B137,$C$5:$C$1004,C137)&gt;1.0001,"Shares for this step add up to over 100%",IF(I137="","Waiting for sign-off",IF(AND(Settings!$B$10="Yes",I137=E137),"Needs a different member to sign off","OK"))))))</f>
        <v/>
      </c>
    </row>
    <row r="138">
      <c r="A138" s="9" t="n"/>
      <c r="B138" s="6" t="n"/>
      <c r="C138" s="6" t="n"/>
      <c r="D138" s="3">
        <f>IF(C138="","",IFERROR(INDEX(Steps!$C$5:$C$62,MATCH(C138,Steps!$A$5:$A$62,0)),""))</f>
        <v/>
      </c>
      <c r="E138" s="6" t="n"/>
      <c r="F138" s="8" t="n"/>
      <c r="G138" s="6" t="n"/>
      <c r="H138" s="7" t="n"/>
      <c r="I138" s="6" t="n"/>
      <c r="J138" s="9" t="n"/>
      <c r="K138" s="11">
        <f>IF(C138="","",N(IFERROR(INDEX(Steps!$E$5:$E$62,MATCH(C138,Steps!$A$5:$A$62,0)),"")))</f>
        <v/>
      </c>
      <c r="L138" s="11">
        <f>IF(AND(C138&lt;&gt;"",E138&lt;&gt;"",I138&lt;&gt;"",OR(Settings!$B$10="No",I138&lt;&gt;E138)),K138*F138,0)</f>
        <v/>
      </c>
      <c r="M138" s="11">
        <f>IF(AND(AND(C138&lt;&gt;"",E138&lt;&gt;"",I138&lt;&gt;"",OR(Settings!$B$10="No",I138&lt;&gt;E138)),G138="Paid a pro",Settings!$B$9="Yes"),MAX(0,H138-K138*F138),0)</f>
        <v/>
      </c>
      <c r="N138" s="3">
        <f>IF(C138="","",IF(B138="","Enter the boat number",IF(B138&gt;Settings!$B$6,"Boat number above the boat count",IF(SUMIFS($F$5:$F$1004,$B$5:$B$1004,B138,$C$5:$C$1004,C138)&gt;1.0001,"Shares for this step add up to over 100%",IF(I138="","Waiting for sign-off",IF(AND(Settings!$B$10="Yes",I138=E138),"Needs a different member to sign off","OK"))))))</f>
        <v/>
      </c>
    </row>
    <row r="139">
      <c r="A139" s="9" t="n"/>
      <c r="B139" s="6" t="n"/>
      <c r="C139" s="6" t="n"/>
      <c r="D139" s="3">
        <f>IF(C139="","",IFERROR(INDEX(Steps!$C$5:$C$62,MATCH(C139,Steps!$A$5:$A$62,0)),""))</f>
        <v/>
      </c>
      <c r="E139" s="6" t="n"/>
      <c r="F139" s="8" t="n"/>
      <c r="G139" s="6" t="n"/>
      <c r="H139" s="7" t="n"/>
      <c r="I139" s="6" t="n"/>
      <c r="J139" s="9" t="n"/>
      <c r="K139" s="11">
        <f>IF(C139="","",N(IFERROR(INDEX(Steps!$E$5:$E$62,MATCH(C139,Steps!$A$5:$A$62,0)),"")))</f>
        <v/>
      </c>
      <c r="L139" s="11">
        <f>IF(AND(C139&lt;&gt;"",E139&lt;&gt;"",I139&lt;&gt;"",OR(Settings!$B$10="No",I139&lt;&gt;E139)),K139*F139,0)</f>
        <v/>
      </c>
      <c r="M139" s="11">
        <f>IF(AND(AND(C139&lt;&gt;"",E139&lt;&gt;"",I139&lt;&gt;"",OR(Settings!$B$10="No",I139&lt;&gt;E139)),G139="Paid a pro",Settings!$B$9="Yes"),MAX(0,H139-K139*F139),0)</f>
        <v/>
      </c>
      <c r="N139" s="3">
        <f>IF(C139="","",IF(B139="","Enter the boat number",IF(B139&gt;Settings!$B$6,"Boat number above the boat count",IF(SUMIFS($F$5:$F$1004,$B$5:$B$1004,B139,$C$5:$C$1004,C139)&gt;1.0001,"Shares for this step add up to over 100%",IF(I139="","Waiting for sign-off",IF(AND(Settings!$B$10="Yes",I139=E139),"Needs a different member to sign off","OK"))))))</f>
        <v/>
      </c>
    </row>
    <row r="140">
      <c r="A140" s="9" t="n"/>
      <c r="B140" s="6" t="n"/>
      <c r="C140" s="6" t="n"/>
      <c r="D140" s="3">
        <f>IF(C140="","",IFERROR(INDEX(Steps!$C$5:$C$62,MATCH(C140,Steps!$A$5:$A$62,0)),""))</f>
        <v/>
      </c>
      <c r="E140" s="6" t="n"/>
      <c r="F140" s="8" t="n"/>
      <c r="G140" s="6" t="n"/>
      <c r="H140" s="7" t="n"/>
      <c r="I140" s="6" t="n"/>
      <c r="J140" s="9" t="n"/>
      <c r="K140" s="11">
        <f>IF(C140="","",N(IFERROR(INDEX(Steps!$E$5:$E$62,MATCH(C140,Steps!$A$5:$A$62,0)),"")))</f>
        <v/>
      </c>
      <c r="L140" s="11">
        <f>IF(AND(C140&lt;&gt;"",E140&lt;&gt;"",I140&lt;&gt;"",OR(Settings!$B$10="No",I140&lt;&gt;E140)),K140*F140,0)</f>
        <v/>
      </c>
      <c r="M140" s="11">
        <f>IF(AND(AND(C140&lt;&gt;"",E140&lt;&gt;"",I140&lt;&gt;"",OR(Settings!$B$10="No",I140&lt;&gt;E140)),G140="Paid a pro",Settings!$B$9="Yes"),MAX(0,H140-K140*F140),0)</f>
        <v/>
      </c>
      <c r="N140" s="3">
        <f>IF(C140="","",IF(B140="","Enter the boat number",IF(B140&gt;Settings!$B$6,"Boat number above the boat count",IF(SUMIFS($F$5:$F$1004,$B$5:$B$1004,B140,$C$5:$C$1004,C140)&gt;1.0001,"Shares for this step add up to over 100%",IF(I140="","Waiting for sign-off",IF(AND(Settings!$B$10="Yes",I140=E140),"Needs a different member to sign off","OK"))))))</f>
        <v/>
      </c>
    </row>
    <row r="141">
      <c r="A141" s="9" t="n"/>
      <c r="B141" s="6" t="n"/>
      <c r="C141" s="6" t="n"/>
      <c r="D141" s="3">
        <f>IF(C141="","",IFERROR(INDEX(Steps!$C$5:$C$62,MATCH(C141,Steps!$A$5:$A$62,0)),""))</f>
        <v/>
      </c>
      <c r="E141" s="6" t="n"/>
      <c r="F141" s="8" t="n"/>
      <c r="G141" s="6" t="n"/>
      <c r="H141" s="7" t="n"/>
      <c r="I141" s="6" t="n"/>
      <c r="J141" s="9" t="n"/>
      <c r="K141" s="11">
        <f>IF(C141="","",N(IFERROR(INDEX(Steps!$E$5:$E$62,MATCH(C141,Steps!$A$5:$A$62,0)),"")))</f>
        <v/>
      </c>
      <c r="L141" s="11">
        <f>IF(AND(C141&lt;&gt;"",E141&lt;&gt;"",I141&lt;&gt;"",OR(Settings!$B$10="No",I141&lt;&gt;E141)),K141*F141,0)</f>
        <v/>
      </c>
      <c r="M141" s="11">
        <f>IF(AND(AND(C141&lt;&gt;"",E141&lt;&gt;"",I141&lt;&gt;"",OR(Settings!$B$10="No",I141&lt;&gt;E141)),G141="Paid a pro",Settings!$B$9="Yes"),MAX(0,H141-K141*F141),0)</f>
        <v/>
      </c>
      <c r="N141" s="3">
        <f>IF(C141="","",IF(B141="","Enter the boat number",IF(B141&gt;Settings!$B$6,"Boat number above the boat count",IF(SUMIFS($F$5:$F$1004,$B$5:$B$1004,B141,$C$5:$C$1004,C141)&gt;1.0001,"Shares for this step add up to over 100%",IF(I141="","Waiting for sign-off",IF(AND(Settings!$B$10="Yes",I141=E141),"Needs a different member to sign off","OK"))))))</f>
        <v/>
      </c>
    </row>
    <row r="142">
      <c r="A142" s="9" t="n"/>
      <c r="B142" s="6" t="n"/>
      <c r="C142" s="6" t="n"/>
      <c r="D142" s="3">
        <f>IF(C142="","",IFERROR(INDEX(Steps!$C$5:$C$62,MATCH(C142,Steps!$A$5:$A$62,0)),""))</f>
        <v/>
      </c>
      <c r="E142" s="6" t="n"/>
      <c r="F142" s="8" t="n"/>
      <c r="G142" s="6" t="n"/>
      <c r="H142" s="7" t="n"/>
      <c r="I142" s="6" t="n"/>
      <c r="J142" s="9" t="n"/>
      <c r="K142" s="11">
        <f>IF(C142="","",N(IFERROR(INDEX(Steps!$E$5:$E$62,MATCH(C142,Steps!$A$5:$A$62,0)),"")))</f>
        <v/>
      </c>
      <c r="L142" s="11">
        <f>IF(AND(C142&lt;&gt;"",E142&lt;&gt;"",I142&lt;&gt;"",OR(Settings!$B$10="No",I142&lt;&gt;E142)),K142*F142,0)</f>
        <v/>
      </c>
      <c r="M142" s="11">
        <f>IF(AND(AND(C142&lt;&gt;"",E142&lt;&gt;"",I142&lt;&gt;"",OR(Settings!$B$10="No",I142&lt;&gt;E142)),G142="Paid a pro",Settings!$B$9="Yes"),MAX(0,H142-K142*F142),0)</f>
        <v/>
      </c>
      <c r="N142" s="3">
        <f>IF(C142="","",IF(B142="","Enter the boat number",IF(B142&gt;Settings!$B$6,"Boat number above the boat count",IF(SUMIFS($F$5:$F$1004,$B$5:$B$1004,B142,$C$5:$C$1004,C142)&gt;1.0001,"Shares for this step add up to over 100%",IF(I142="","Waiting for sign-off",IF(AND(Settings!$B$10="Yes",I142=E142),"Needs a different member to sign off","OK"))))))</f>
        <v/>
      </c>
    </row>
    <row r="143">
      <c r="A143" s="9" t="n"/>
      <c r="B143" s="6" t="n"/>
      <c r="C143" s="6" t="n"/>
      <c r="D143" s="3">
        <f>IF(C143="","",IFERROR(INDEX(Steps!$C$5:$C$62,MATCH(C143,Steps!$A$5:$A$62,0)),""))</f>
        <v/>
      </c>
      <c r="E143" s="6" t="n"/>
      <c r="F143" s="8" t="n"/>
      <c r="G143" s="6" t="n"/>
      <c r="H143" s="7" t="n"/>
      <c r="I143" s="6" t="n"/>
      <c r="J143" s="9" t="n"/>
      <c r="K143" s="11">
        <f>IF(C143="","",N(IFERROR(INDEX(Steps!$E$5:$E$62,MATCH(C143,Steps!$A$5:$A$62,0)),"")))</f>
        <v/>
      </c>
      <c r="L143" s="11">
        <f>IF(AND(C143&lt;&gt;"",E143&lt;&gt;"",I143&lt;&gt;"",OR(Settings!$B$10="No",I143&lt;&gt;E143)),K143*F143,0)</f>
        <v/>
      </c>
      <c r="M143" s="11">
        <f>IF(AND(AND(C143&lt;&gt;"",E143&lt;&gt;"",I143&lt;&gt;"",OR(Settings!$B$10="No",I143&lt;&gt;E143)),G143="Paid a pro",Settings!$B$9="Yes"),MAX(0,H143-K143*F143),0)</f>
        <v/>
      </c>
      <c r="N143" s="3">
        <f>IF(C143="","",IF(B143="","Enter the boat number",IF(B143&gt;Settings!$B$6,"Boat number above the boat count",IF(SUMIFS($F$5:$F$1004,$B$5:$B$1004,B143,$C$5:$C$1004,C143)&gt;1.0001,"Shares for this step add up to over 100%",IF(I143="","Waiting for sign-off",IF(AND(Settings!$B$10="Yes",I143=E143),"Needs a different member to sign off","OK"))))))</f>
        <v/>
      </c>
    </row>
    <row r="144">
      <c r="A144" s="9" t="n"/>
      <c r="B144" s="6" t="n"/>
      <c r="C144" s="6" t="n"/>
      <c r="D144" s="3">
        <f>IF(C144="","",IFERROR(INDEX(Steps!$C$5:$C$62,MATCH(C144,Steps!$A$5:$A$62,0)),""))</f>
        <v/>
      </c>
      <c r="E144" s="6" t="n"/>
      <c r="F144" s="8" t="n"/>
      <c r="G144" s="6" t="n"/>
      <c r="H144" s="7" t="n"/>
      <c r="I144" s="6" t="n"/>
      <c r="J144" s="9" t="n"/>
      <c r="K144" s="11">
        <f>IF(C144="","",N(IFERROR(INDEX(Steps!$E$5:$E$62,MATCH(C144,Steps!$A$5:$A$62,0)),"")))</f>
        <v/>
      </c>
      <c r="L144" s="11">
        <f>IF(AND(C144&lt;&gt;"",E144&lt;&gt;"",I144&lt;&gt;"",OR(Settings!$B$10="No",I144&lt;&gt;E144)),K144*F144,0)</f>
        <v/>
      </c>
      <c r="M144" s="11">
        <f>IF(AND(AND(C144&lt;&gt;"",E144&lt;&gt;"",I144&lt;&gt;"",OR(Settings!$B$10="No",I144&lt;&gt;E144)),G144="Paid a pro",Settings!$B$9="Yes"),MAX(0,H144-K144*F144),0)</f>
        <v/>
      </c>
      <c r="N144" s="3">
        <f>IF(C144="","",IF(B144="","Enter the boat number",IF(B144&gt;Settings!$B$6,"Boat number above the boat count",IF(SUMIFS($F$5:$F$1004,$B$5:$B$1004,B144,$C$5:$C$1004,C144)&gt;1.0001,"Shares for this step add up to over 100%",IF(I144="","Waiting for sign-off",IF(AND(Settings!$B$10="Yes",I144=E144),"Needs a different member to sign off","OK"))))))</f>
        <v/>
      </c>
    </row>
    <row r="145">
      <c r="A145" s="9" t="n"/>
      <c r="B145" s="6" t="n"/>
      <c r="C145" s="6" t="n"/>
      <c r="D145" s="3">
        <f>IF(C145="","",IFERROR(INDEX(Steps!$C$5:$C$62,MATCH(C145,Steps!$A$5:$A$62,0)),""))</f>
        <v/>
      </c>
      <c r="E145" s="6" t="n"/>
      <c r="F145" s="8" t="n"/>
      <c r="G145" s="6" t="n"/>
      <c r="H145" s="7" t="n"/>
      <c r="I145" s="6" t="n"/>
      <c r="J145" s="9" t="n"/>
      <c r="K145" s="11">
        <f>IF(C145="","",N(IFERROR(INDEX(Steps!$E$5:$E$62,MATCH(C145,Steps!$A$5:$A$62,0)),"")))</f>
        <v/>
      </c>
      <c r="L145" s="11">
        <f>IF(AND(C145&lt;&gt;"",E145&lt;&gt;"",I145&lt;&gt;"",OR(Settings!$B$10="No",I145&lt;&gt;E145)),K145*F145,0)</f>
        <v/>
      </c>
      <c r="M145" s="11">
        <f>IF(AND(AND(C145&lt;&gt;"",E145&lt;&gt;"",I145&lt;&gt;"",OR(Settings!$B$10="No",I145&lt;&gt;E145)),G145="Paid a pro",Settings!$B$9="Yes"),MAX(0,H145-K145*F145),0)</f>
        <v/>
      </c>
      <c r="N145" s="3">
        <f>IF(C145="","",IF(B145="","Enter the boat number",IF(B145&gt;Settings!$B$6,"Boat number above the boat count",IF(SUMIFS($F$5:$F$1004,$B$5:$B$1004,B145,$C$5:$C$1004,C145)&gt;1.0001,"Shares for this step add up to over 100%",IF(I145="","Waiting for sign-off",IF(AND(Settings!$B$10="Yes",I145=E145),"Needs a different member to sign off","OK"))))))</f>
        <v/>
      </c>
    </row>
    <row r="146">
      <c r="A146" s="9" t="n"/>
      <c r="B146" s="6" t="n"/>
      <c r="C146" s="6" t="n"/>
      <c r="D146" s="3">
        <f>IF(C146="","",IFERROR(INDEX(Steps!$C$5:$C$62,MATCH(C146,Steps!$A$5:$A$62,0)),""))</f>
        <v/>
      </c>
      <c r="E146" s="6" t="n"/>
      <c r="F146" s="8" t="n"/>
      <c r="G146" s="6" t="n"/>
      <c r="H146" s="7" t="n"/>
      <c r="I146" s="6" t="n"/>
      <c r="J146" s="9" t="n"/>
      <c r="K146" s="11">
        <f>IF(C146="","",N(IFERROR(INDEX(Steps!$E$5:$E$62,MATCH(C146,Steps!$A$5:$A$62,0)),"")))</f>
        <v/>
      </c>
      <c r="L146" s="11">
        <f>IF(AND(C146&lt;&gt;"",E146&lt;&gt;"",I146&lt;&gt;"",OR(Settings!$B$10="No",I146&lt;&gt;E146)),K146*F146,0)</f>
        <v/>
      </c>
      <c r="M146" s="11">
        <f>IF(AND(AND(C146&lt;&gt;"",E146&lt;&gt;"",I146&lt;&gt;"",OR(Settings!$B$10="No",I146&lt;&gt;E146)),G146="Paid a pro",Settings!$B$9="Yes"),MAX(0,H146-K146*F146),0)</f>
        <v/>
      </c>
      <c r="N146" s="3">
        <f>IF(C146="","",IF(B146="","Enter the boat number",IF(B146&gt;Settings!$B$6,"Boat number above the boat count",IF(SUMIFS($F$5:$F$1004,$B$5:$B$1004,B146,$C$5:$C$1004,C146)&gt;1.0001,"Shares for this step add up to over 100%",IF(I146="","Waiting for sign-off",IF(AND(Settings!$B$10="Yes",I146=E146),"Needs a different member to sign off","OK"))))))</f>
        <v/>
      </c>
    </row>
    <row r="147">
      <c r="A147" s="9" t="n"/>
      <c r="B147" s="6" t="n"/>
      <c r="C147" s="6" t="n"/>
      <c r="D147" s="3">
        <f>IF(C147="","",IFERROR(INDEX(Steps!$C$5:$C$62,MATCH(C147,Steps!$A$5:$A$62,0)),""))</f>
        <v/>
      </c>
      <c r="E147" s="6" t="n"/>
      <c r="F147" s="8" t="n"/>
      <c r="G147" s="6" t="n"/>
      <c r="H147" s="7" t="n"/>
      <c r="I147" s="6" t="n"/>
      <c r="J147" s="9" t="n"/>
      <c r="K147" s="11">
        <f>IF(C147="","",N(IFERROR(INDEX(Steps!$E$5:$E$62,MATCH(C147,Steps!$A$5:$A$62,0)),"")))</f>
        <v/>
      </c>
      <c r="L147" s="11">
        <f>IF(AND(C147&lt;&gt;"",E147&lt;&gt;"",I147&lt;&gt;"",OR(Settings!$B$10="No",I147&lt;&gt;E147)),K147*F147,0)</f>
        <v/>
      </c>
      <c r="M147" s="11">
        <f>IF(AND(AND(C147&lt;&gt;"",E147&lt;&gt;"",I147&lt;&gt;"",OR(Settings!$B$10="No",I147&lt;&gt;E147)),G147="Paid a pro",Settings!$B$9="Yes"),MAX(0,H147-K147*F147),0)</f>
        <v/>
      </c>
      <c r="N147" s="3">
        <f>IF(C147="","",IF(B147="","Enter the boat number",IF(B147&gt;Settings!$B$6,"Boat number above the boat count",IF(SUMIFS($F$5:$F$1004,$B$5:$B$1004,B147,$C$5:$C$1004,C147)&gt;1.0001,"Shares for this step add up to over 100%",IF(I147="","Waiting for sign-off",IF(AND(Settings!$B$10="Yes",I147=E147),"Needs a different member to sign off","OK"))))))</f>
        <v/>
      </c>
    </row>
    <row r="148">
      <c r="A148" s="9" t="n"/>
      <c r="B148" s="6" t="n"/>
      <c r="C148" s="6" t="n"/>
      <c r="D148" s="3">
        <f>IF(C148="","",IFERROR(INDEX(Steps!$C$5:$C$62,MATCH(C148,Steps!$A$5:$A$62,0)),""))</f>
        <v/>
      </c>
      <c r="E148" s="6" t="n"/>
      <c r="F148" s="8" t="n"/>
      <c r="G148" s="6" t="n"/>
      <c r="H148" s="7" t="n"/>
      <c r="I148" s="6" t="n"/>
      <c r="J148" s="9" t="n"/>
      <c r="K148" s="11">
        <f>IF(C148="","",N(IFERROR(INDEX(Steps!$E$5:$E$62,MATCH(C148,Steps!$A$5:$A$62,0)),"")))</f>
        <v/>
      </c>
      <c r="L148" s="11">
        <f>IF(AND(C148&lt;&gt;"",E148&lt;&gt;"",I148&lt;&gt;"",OR(Settings!$B$10="No",I148&lt;&gt;E148)),K148*F148,0)</f>
        <v/>
      </c>
      <c r="M148" s="11">
        <f>IF(AND(AND(C148&lt;&gt;"",E148&lt;&gt;"",I148&lt;&gt;"",OR(Settings!$B$10="No",I148&lt;&gt;E148)),G148="Paid a pro",Settings!$B$9="Yes"),MAX(0,H148-K148*F148),0)</f>
        <v/>
      </c>
      <c r="N148" s="3">
        <f>IF(C148="","",IF(B148="","Enter the boat number",IF(B148&gt;Settings!$B$6,"Boat number above the boat count",IF(SUMIFS($F$5:$F$1004,$B$5:$B$1004,B148,$C$5:$C$1004,C148)&gt;1.0001,"Shares for this step add up to over 100%",IF(I148="","Waiting for sign-off",IF(AND(Settings!$B$10="Yes",I148=E148),"Needs a different member to sign off","OK"))))))</f>
        <v/>
      </c>
    </row>
    <row r="149">
      <c r="A149" s="9" t="n"/>
      <c r="B149" s="6" t="n"/>
      <c r="C149" s="6" t="n"/>
      <c r="D149" s="3">
        <f>IF(C149="","",IFERROR(INDEX(Steps!$C$5:$C$62,MATCH(C149,Steps!$A$5:$A$62,0)),""))</f>
        <v/>
      </c>
      <c r="E149" s="6" t="n"/>
      <c r="F149" s="8" t="n"/>
      <c r="G149" s="6" t="n"/>
      <c r="H149" s="7" t="n"/>
      <c r="I149" s="6" t="n"/>
      <c r="J149" s="9" t="n"/>
      <c r="K149" s="11">
        <f>IF(C149="","",N(IFERROR(INDEX(Steps!$E$5:$E$62,MATCH(C149,Steps!$A$5:$A$62,0)),"")))</f>
        <v/>
      </c>
      <c r="L149" s="11">
        <f>IF(AND(C149&lt;&gt;"",E149&lt;&gt;"",I149&lt;&gt;"",OR(Settings!$B$10="No",I149&lt;&gt;E149)),K149*F149,0)</f>
        <v/>
      </c>
      <c r="M149" s="11">
        <f>IF(AND(AND(C149&lt;&gt;"",E149&lt;&gt;"",I149&lt;&gt;"",OR(Settings!$B$10="No",I149&lt;&gt;E149)),G149="Paid a pro",Settings!$B$9="Yes"),MAX(0,H149-K149*F149),0)</f>
        <v/>
      </c>
      <c r="N149" s="3">
        <f>IF(C149="","",IF(B149="","Enter the boat number",IF(B149&gt;Settings!$B$6,"Boat number above the boat count",IF(SUMIFS($F$5:$F$1004,$B$5:$B$1004,B149,$C$5:$C$1004,C149)&gt;1.0001,"Shares for this step add up to over 100%",IF(I149="","Waiting for sign-off",IF(AND(Settings!$B$10="Yes",I149=E149),"Needs a different member to sign off","OK"))))))</f>
        <v/>
      </c>
    </row>
    <row r="150">
      <c r="A150" s="9" t="n"/>
      <c r="B150" s="6" t="n"/>
      <c r="C150" s="6" t="n"/>
      <c r="D150" s="3">
        <f>IF(C150="","",IFERROR(INDEX(Steps!$C$5:$C$62,MATCH(C150,Steps!$A$5:$A$62,0)),""))</f>
        <v/>
      </c>
      <c r="E150" s="6" t="n"/>
      <c r="F150" s="8" t="n"/>
      <c r="G150" s="6" t="n"/>
      <c r="H150" s="7" t="n"/>
      <c r="I150" s="6" t="n"/>
      <c r="J150" s="9" t="n"/>
      <c r="K150" s="11">
        <f>IF(C150="","",N(IFERROR(INDEX(Steps!$E$5:$E$62,MATCH(C150,Steps!$A$5:$A$62,0)),"")))</f>
        <v/>
      </c>
      <c r="L150" s="11">
        <f>IF(AND(C150&lt;&gt;"",E150&lt;&gt;"",I150&lt;&gt;"",OR(Settings!$B$10="No",I150&lt;&gt;E150)),K150*F150,0)</f>
        <v/>
      </c>
      <c r="M150" s="11">
        <f>IF(AND(AND(C150&lt;&gt;"",E150&lt;&gt;"",I150&lt;&gt;"",OR(Settings!$B$10="No",I150&lt;&gt;E150)),G150="Paid a pro",Settings!$B$9="Yes"),MAX(0,H150-K150*F150),0)</f>
        <v/>
      </c>
      <c r="N150" s="3">
        <f>IF(C150="","",IF(B150="","Enter the boat number",IF(B150&gt;Settings!$B$6,"Boat number above the boat count",IF(SUMIFS($F$5:$F$1004,$B$5:$B$1004,B150,$C$5:$C$1004,C150)&gt;1.0001,"Shares for this step add up to over 100%",IF(I150="","Waiting for sign-off",IF(AND(Settings!$B$10="Yes",I150=E150),"Needs a different member to sign off","OK"))))))</f>
        <v/>
      </c>
    </row>
    <row r="151">
      <c r="A151" s="9" t="n"/>
      <c r="B151" s="6" t="n"/>
      <c r="C151" s="6" t="n"/>
      <c r="D151" s="3">
        <f>IF(C151="","",IFERROR(INDEX(Steps!$C$5:$C$62,MATCH(C151,Steps!$A$5:$A$62,0)),""))</f>
        <v/>
      </c>
      <c r="E151" s="6" t="n"/>
      <c r="F151" s="8" t="n"/>
      <c r="G151" s="6" t="n"/>
      <c r="H151" s="7" t="n"/>
      <c r="I151" s="6" t="n"/>
      <c r="J151" s="9" t="n"/>
      <c r="K151" s="11">
        <f>IF(C151="","",N(IFERROR(INDEX(Steps!$E$5:$E$62,MATCH(C151,Steps!$A$5:$A$62,0)),"")))</f>
        <v/>
      </c>
      <c r="L151" s="11">
        <f>IF(AND(C151&lt;&gt;"",E151&lt;&gt;"",I151&lt;&gt;"",OR(Settings!$B$10="No",I151&lt;&gt;E151)),K151*F151,0)</f>
        <v/>
      </c>
      <c r="M151" s="11">
        <f>IF(AND(AND(C151&lt;&gt;"",E151&lt;&gt;"",I151&lt;&gt;"",OR(Settings!$B$10="No",I151&lt;&gt;E151)),G151="Paid a pro",Settings!$B$9="Yes"),MAX(0,H151-K151*F151),0)</f>
        <v/>
      </c>
      <c r="N151" s="3">
        <f>IF(C151="","",IF(B151="","Enter the boat number",IF(B151&gt;Settings!$B$6,"Boat number above the boat count",IF(SUMIFS($F$5:$F$1004,$B$5:$B$1004,B151,$C$5:$C$1004,C151)&gt;1.0001,"Shares for this step add up to over 100%",IF(I151="","Waiting for sign-off",IF(AND(Settings!$B$10="Yes",I151=E151),"Needs a different member to sign off","OK"))))))</f>
        <v/>
      </c>
    </row>
    <row r="152">
      <c r="A152" s="9" t="n"/>
      <c r="B152" s="6" t="n"/>
      <c r="C152" s="6" t="n"/>
      <c r="D152" s="3">
        <f>IF(C152="","",IFERROR(INDEX(Steps!$C$5:$C$62,MATCH(C152,Steps!$A$5:$A$62,0)),""))</f>
        <v/>
      </c>
      <c r="E152" s="6" t="n"/>
      <c r="F152" s="8" t="n"/>
      <c r="G152" s="6" t="n"/>
      <c r="H152" s="7" t="n"/>
      <c r="I152" s="6" t="n"/>
      <c r="J152" s="9" t="n"/>
      <c r="K152" s="11">
        <f>IF(C152="","",N(IFERROR(INDEX(Steps!$E$5:$E$62,MATCH(C152,Steps!$A$5:$A$62,0)),"")))</f>
        <v/>
      </c>
      <c r="L152" s="11">
        <f>IF(AND(C152&lt;&gt;"",E152&lt;&gt;"",I152&lt;&gt;"",OR(Settings!$B$10="No",I152&lt;&gt;E152)),K152*F152,0)</f>
        <v/>
      </c>
      <c r="M152" s="11">
        <f>IF(AND(AND(C152&lt;&gt;"",E152&lt;&gt;"",I152&lt;&gt;"",OR(Settings!$B$10="No",I152&lt;&gt;E152)),G152="Paid a pro",Settings!$B$9="Yes"),MAX(0,H152-K152*F152),0)</f>
        <v/>
      </c>
      <c r="N152" s="3">
        <f>IF(C152="","",IF(B152="","Enter the boat number",IF(B152&gt;Settings!$B$6,"Boat number above the boat count",IF(SUMIFS($F$5:$F$1004,$B$5:$B$1004,B152,$C$5:$C$1004,C152)&gt;1.0001,"Shares for this step add up to over 100%",IF(I152="","Waiting for sign-off",IF(AND(Settings!$B$10="Yes",I152=E152),"Needs a different member to sign off","OK"))))))</f>
        <v/>
      </c>
    </row>
    <row r="153">
      <c r="A153" s="9" t="n"/>
      <c r="B153" s="6" t="n"/>
      <c r="C153" s="6" t="n"/>
      <c r="D153" s="3">
        <f>IF(C153="","",IFERROR(INDEX(Steps!$C$5:$C$62,MATCH(C153,Steps!$A$5:$A$62,0)),""))</f>
        <v/>
      </c>
      <c r="E153" s="6" t="n"/>
      <c r="F153" s="8" t="n"/>
      <c r="G153" s="6" t="n"/>
      <c r="H153" s="7" t="n"/>
      <c r="I153" s="6" t="n"/>
      <c r="J153" s="9" t="n"/>
      <c r="K153" s="11">
        <f>IF(C153="","",N(IFERROR(INDEX(Steps!$E$5:$E$62,MATCH(C153,Steps!$A$5:$A$62,0)),"")))</f>
        <v/>
      </c>
      <c r="L153" s="11">
        <f>IF(AND(C153&lt;&gt;"",E153&lt;&gt;"",I153&lt;&gt;"",OR(Settings!$B$10="No",I153&lt;&gt;E153)),K153*F153,0)</f>
        <v/>
      </c>
      <c r="M153" s="11">
        <f>IF(AND(AND(C153&lt;&gt;"",E153&lt;&gt;"",I153&lt;&gt;"",OR(Settings!$B$10="No",I153&lt;&gt;E153)),G153="Paid a pro",Settings!$B$9="Yes"),MAX(0,H153-K153*F153),0)</f>
        <v/>
      </c>
      <c r="N153" s="3">
        <f>IF(C153="","",IF(B153="","Enter the boat number",IF(B153&gt;Settings!$B$6,"Boat number above the boat count",IF(SUMIFS($F$5:$F$1004,$B$5:$B$1004,B153,$C$5:$C$1004,C153)&gt;1.0001,"Shares for this step add up to over 100%",IF(I153="","Waiting for sign-off",IF(AND(Settings!$B$10="Yes",I153=E153),"Needs a different member to sign off","OK"))))))</f>
        <v/>
      </c>
    </row>
    <row r="154">
      <c r="A154" s="9" t="n"/>
      <c r="B154" s="6" t="n"/>
      <c r="C154" s="6" t="n"/>
      <c r="D154" s="3">
        <f>IF(C154="","",IFERROR(INDEX(Steps!$C$5:$C$62,MATCH(C154,Steps!$A$5:$A$62,0)),""))</f>
        <v/>
      </c>
      <c r="E154" s="6" t="n"/>
      <c r="F154" s="8" t="n"/>
      <c r="G154" s="6" t="n"/>
      <c r="H154" s="7" t="n"/>
      <c r="I154" s="6" t="n"/>
      <c r="J154" s="9" t="n"/>
      <c r="K154" s="11">
        <f>IF(C154="","",N(IFERROR(INDEX(Steps!$E$5:$E$62,MATCH(C154,Steps!$A$5:$A$62,0)),"")))</f>
        <v/>
      </c>
      <c r="L154" s="11">
        <f>IF(AND(C154&lt;&gt;"",E154&lt;&gt;"",I154&lt;&gt;"",OR(Settings!$B$10="No",I154&lt;&gt;E154)),K154*F154,0)</f>
        <v/>
      </c>
      <c r="M154" s="11">
        <f>IF(AND(AND(C154&lt;&gt;"",E154&lt;&gt;"",I154&lt;&gt;"",OR(Settings!$B$10="No",I154&lt;&gt;E154)),G154="Paid a pro",Settings!$B$9="Yes"),MAX(0,H154-K154*F154),0)</f>
        <v/>
      </c>
      <c r="N154" s="3">
        <f>IF(C154="","",IF(B154="","Enter the boat number",IF(B154&gt;Settings!$B$6,"Boat number above the boat count",IF(SUMIFS($F$5:$F$1004,$B$5:$B$1004,B154,$C$5:$C$1004,C154)&gt;1.0001,"Shares for this step add up to over 100%",IF(I154="","Waiting for sign-off",IF(AND(Settings!$B$10="Yes",I154=E154),"Needs a different member to sign off","OK"))))))</f>
        <v/>
      </c>
    </row>
    <row r="155">
      <c r="A155" s="9" t="n"/>
      <c r="B155" s="6" t="n"/>
      <c r="C155" s="6" t="n"/>
      <c r="D155" s="3">
        <f>IF(C155="","",IFERROR(INDEX(Steps!$C$5:$C$62,MATCH(C155,Steps!$A$5:$A$62,0)),""))</f>
        <v/>
      </c>
      <c r="E155" s="6" t="n"/>
      <c r="F155" s="8" t="n"/>
      <c r="G155" s="6" t="n"/>
      <c r="H155" s="7" t="n"/>
      <c r="I155" s="6" t="n"/>
      <c r="J155" s="9" t="n"/>
      <c r="K155" s="11">
        <f>IF(C155="","",N(IFERROR(INDEX(Steps!$E$5:$E$62,MATCH(C155,Steps!$A$5:$A$62,0)),"")))</f>
        <v/>
      </c>
      <c r="L155" s="11">
        <f>IF(AND(C155&lt;&gt;"",E155&lt;&gt;"",I155&lt;&gt;"",OR(Settings!$B$10="No",I155&lt;&gt;E155)),K155*F155,0)</f>
        <v/>
      </c>
      <c r="M155" s="11">
        <f>IF(AND(AND(C155&lt;&gt;"",E155&lt;&gt;"",I155&lt;&gt;"",OR(Settings!$B$10="No",I155&lt;&gt;E155)),G155="Paid a pro",Settings!$B$9="Yes"),MAX(0,H155-K155*F155),0)</f>
        <v/>
      </c>
      <c r="N155" s="3">
        <f>IF(C155="","",IF(B155="","Enter the boat number",IF(B155&gt;Settings!$B$6,"Boat number above the boat count",IF(SUMIFS($F$5:$F$1004,$B$5:$B$1004,B155,$C$5:$C$1004,C155)&gt;1.0001,"Shares for this step add up to over 100%",IF(I155="","Waiting for sign-off",IF(AND(Settings!$B$10="Yes",I155=E155),"Needs a different member to sign off","OK"))))))</f>
        <v/>
      </c>
    </row>
    <row r="156">
      <c r="A156" s="9" t="n"/>
      <c r="B156" s="6" t="n"/>
      <c r="C156" s="6" t="n"/>
      <c r="D156" s="3">
        <f>IF(C156="","",IFERROR(INDEX(Steps!$C$5:$C$62,MATCH(C156,Steps!$A$5:$A$62,0)),""))</f>
        <v/>
      </c>
      <c r="E156" s="6" t="n"/>
      <c r="F156" s="8" t="n"/>
      <c r="G156" s="6" t="n"/>
      <c r="H156" s="7" t="n"/>
      <c r="I156" s="6" t="n"/>
      <c r="J156" s="9" t="n"/>
      <c r="K156" s="11">
        <f>IF(C156="","",N(IFERROR(INDEX(Steps!$E$5:$E$62,MATCH(C156,Steps!$A$5:$A$62,0)),"")))</f>
        <v/>
      </c>
      <c r="L156" s="11">
        <f>IF(AND(C156&lt;&gt;"",E156&lt;&gt;"",I156&lt;&gt;"",OR(Settings!$B$10="No",I156&lt;&gt;E156)),K156*F156,0)</f>
        <v/>
      </c>
      <c r="M156" s="11">
        <f>IF(AND(AND(C156&lt;&gt;"",E156&lt;&gt;"",I156&lt;&gt;"",OR(Settings!$B$10="No",I156&lt;&gt;E156)),G156="Paid a pro",Settings!$B$9="Yes"),MAX(0,H156-K156*F156),0)</f>
        <v/>
      </c>
      <c r="N156" s="3">
        <f>IF(C156="","",IF(B156="","Enter the boat number",IF(B156&gt;Settings!$B$6,"Boat number above the boat count",IF(SUMIFS($F$5:$F$1004,$B$5:$B$1004,B156,$C$5:$C$1004,C156)&gt;1.0001,"Shares for this step add up to over 100%",IF(I156="","Waiting for sign-off",IF(AND(Settings!$B$10="Yes",I156=E156),"Needs a different member to sign off","OK"))))))</f>
        <v/>
      </c>
    </row>
    <row r="157">
      <c r="A157" s="9" t="n"/>
      <c r="B157" s="6" t="n"/>
      <c r="C157" s="6" t="n"/>
      <c r="D157" s="3">
        <f>IF(C157="","",IFERROR(INDEX(Steps!$C$5:$C$62,MATCH(C157,Steps!$A$5:$A$62,0)),""))</f>
        <v/>
      </c>
      <c r="E157" s="6" t="n"/>
      <c r="F157" s="8" t="n"/>
      <c r="G157" s="6" t="n"/>
      <c r="H157" s="7" t="n"/>
      <c r="I157" s="6" t="n"/>
      <c r="J157" s="9" t="n"/>
      <c r="K157" s="11">
        <f>IF(C157="","",N(IFERROR(INDEX(Steps!$E$5:$E$62,MATCH(C157,Steps!$A$5:$A$62,0)),"")))</f>
        <v/>
      </c>
      <c r="L157" s="11">
        <f>IF(AND(C157&lt;&gt;"",E157&lt;&gt;"",I157&lt;&gt;"",OR(Settings!$B$10="No",I157&lt;&gt;E157)),K157*F157,0)</f>
        <v/>
      </c>
      <c r="M157" s="11">
        <f>IF(AND(AND(C157&lt;&gt;"",E157&lt;&gt;"",I157&lt;&gt;"",OR(Settings!$B$10="No",I157&lt;&gt;E157)),G157="Paid a pro",Settings!$B$9="Yes"),MAX(0,H157-K157*F157),0)</f>
        <v/>
      </c>
      <c r="N157" s="3">
        <f>IF(C157="","",IF(B157="","Enter the boat number",IF(B157&gt;Settings!$B$6,"Boat number above the boat count",IF(SUMIFS($F$5:$F$1004,$B$5:$B$1004,B157,$C$5:$C$1004,C157)&gt;1.0001,"Shares for this step add up to over 100%",IF(I157="","Waiting for sign-off",IF(AND(Settings!$B$10="Yes",I157=E157),"Needs a different member to sign off","OK"))))))</f>
        <v/>
      </c>
    </row>
    <row r="158">
      <c r="A158" s="9" t="n"/>
      <c r="B158" s="6" t="n"/>
      <c r="C158" s="6" t="n"/>
      <c r="D158" s="3">
        <f>IF(C158="","",IFERROR(INDEX(Steps!$C$5:$C$62,MATCH(C158,Steps!$A$5:$A$62,0)),""))</f>
        <v/>
      </c>
      <c r="E158" s="6" t="n"/>
      <c r="F158" s="8" t="n"/>
      <c r="G158" s="6" t="n"/>
      <c r="H158" s="7" t="n"/>
      <c r="I158" s="6" t="n"/>
      <c r="J158" s="9" t="n"/>
      <c r="K158" s="11">
        <f>IF(C158="","",N(IFERROR(INDEX(Steps!$E$5:$E$62,MATCH(C158,Steps!$A$5:$A$62,0)),"")))</f>
        <v/>
      </c>
      <c r="L158" s="11">
        <f>IF(AND(C158&lt;&gt;"",E158&lt;&gt;"",I158&lt;&gt;"",OR(Settings!$B$10="No",I158&lt;&gt;E158)),K158*F158,0)</f>
        <v/>
      </c>
      <c r="M158" s="11">
        <f>IF(AND(AND(C158&lt;&gt;"",E158&lt;&gt;"",I158&lt;&gt;"",OR(Settings!$B$10="No",I158&lt;&gt;E158)),G158="Paid a pro",Settings!$B$9="Yes"),MAX(0,H158-K158*F158),0)</f>
        <v/>
      </c>
      <c r="N158" s="3">
        <f>IF(C158="","",IF(B158="","Enter the boat number",IF(B158&gt;Settings!$B$6,"Boat number above the boat count",IF(SUMIFS($F$5:$F$1004,$B$5:$B$1004,B158,$C$5:$C$1004,C158)&gt;1.0001,"Shares for this step add up to over 100%",IF(I158="","Waiting for sign-off",IF(AND(Settings!$B$10="Yes",I158=E158),"Needs a different member to sign off","OK"))))))</f>
        <v/>
      </c>
    </row>
    <row r="159">
      <c r="A159" s="9" t="n"/>
      <c r="B159" s="6" t="n"/>
      <c r="C159" s="6" t="n"/>
      <c r="D159" s="3">
        <f>IF(C159="","",IFERROR(INDEX(Steps!$C$5:$C$62,MATCH(C159,Steps!$A$5:$A$62,0)),""))</f>
        <v/>
      </c>
      <c r="E159" s="6" t="n"/>
      <c r="F159" s="8" t="n"/>
      <c r="G159" s="6" t="n"/>
      <c r="H159" s="7" t="n"/>
      <c r="I159" s="6" t="n"/>
      <c r="J159" s="9" t="n"/>
      <c r="K159" s="11">
        <f>IF(C159="","",N(IFERROR(INDEX(Steps!$E$5:$E$62,MATCH(C159,Steps!$A$5:$A$62,0)),"")))</f>
        <v/>
      </c>
      <c r="L159" s="11">
        <f>IF(AND(C159&lt;&gt;"",E159&lt;&gt;"",I159&lt;&gt;"",OR(Settings!$B$10="No",I159&lt;&gt;E159)),K159*F159,0)</f>
        <v/>
      </c>
      <c r="M159" s="11">
        <f>IF(AND(AND(C159&lt;&gt;"",E159&lt;&gt;"",I159&lt;&gt;"",OR(Settings!$B$10="No",I159&lt;&gt;E159)),G159="Paid a pro",Settings!$B$9="Yes"),MAX(0,H159-K159*F159),0)</f>
        <v/>
      </c>
      <c r="N159" s="3">
        <f>IF(C159="","",IF(B159="","Enter the boat number",IF(B159&gt;Settings!$B$6,"Boat number above the boat count",IF(SUMIFS($F$5:$F$1004,$B$5:$B$1004,B159,$C$5:$C$1004,C159)&gt;1.0001,"Shares for this step add up to over 100%",IF(I159="","Waiting for sign-off",IF(AND(Settings!$B$10="Yes",I159=E159),"Needs a different member to sign off","OK"))))))</f>
        <v/>
      </c>
    </row>
    <row r="160">
      <c r="A160" s="9" t="n"/>
      <c r="B160" s="6" t="n"/>
      <c r="C160" s="6" t="n"/>
      <c r="D160" s="3">
        <f>IF(C160="","",IFERROR(INDEX(Steps!$C$5:$C$62,MATCH(C160,Steps!$A$5:$A$62,0)),""))</f>
        <v/>
      </c>
      <c r="E160" s="6" t="n"/>
      <c r="F160" s="8" t="n"/>
      <c r="G160" s="6" t="n"/>
      <c r="H160" s="7" t="n"/>
      <c r="I160" s="6" t="n"/>
      <c r="J160" s="9" t="n"/>
      <c r="K160" s="11">
        <f>IF(C160="","",N(IFERROR(INDEX(Steps!$E$5:$E$62,MATCH(C160,Steps!$A$5:$A$62,0)),"")))</f>
        <v/>
      </c>
      <c r="L160" s="11">
        <f>IF(AND(C160&lt;&gt;"",E160&lt;&gt;"",I160&lt;&gt;"",OR(Settings!$B$10="No",I160&lt;&gt;E160)),K160*F160,0)</f>
        <v/>
      </c>
      <c r="M160" s="11">
        <f>IF(AND(AND(C160&lt;&gt;"",E160&lt;&gt;"",I160&lt;&gt;"",OR(Settings!$B$10="No",I160&lt;&gt;E160)),G160="Paid a pro",Settings!$B$9="Yes"),MAX(0,H160-K160*F160),0)</f>
        <v/>
      </c>
      <c r="N160" s="3">
        <f>IF(C160="","",IF(B160="","Enter the boat number",IF(B160&gt;Settings!$B$6,"Boat number above the boat count",IF(SUMIFS($F$5:$F$1004,$B$5:$B$1004,B160,$C$5:$C$1004,C160)&gt;1.0001,"Shares for this step add up to over 100%",IF(I160="","Waiting for sign-off",IF(AND(Settings!$B$10="Yes",I160=E160),"Needs a different member to sign off","OK"))))))</f>
        <v/>
      </c>
    </row>
    <row r="161">
      <c r="A161" s="9" t="n"/>
      <c r="B161" s="6" t="n"/>
      <c r="C161" s="6" t="n"/>
      <c r="D161" s="3">
        <f>IF(C161="","",IFERROR(INDEX(Steps!$C$5:$C$62,MATCH(C161,Steps!$A$5:$A$62,0)),""))</f>
        <v/>
      </c>
      <c r="E161" s="6" t="n"/>
      <c r="F161" s="8" t="n"/>
      <c r="G161" s="6" t="n"/>
      <c r="H161" s="7" t="n"/>
      <c r="I161" s="6" t="n"/>
      <c r="J161" s="9" t="n"/>
      <c r="K161" s="11">
        <f>IF(C161="","",N(IFERROR(INDEX(Steps!$E$5:$E$62,MATCH(C161,Steps!$A$5:$A$62,0)),"")))</f>
        <v/>
      </c>
      <c r="L161" s="11">
        <f>IF(AND(C161&lt;&gt;"",E161&lt;&gt;"",I161&lt;&gt;"",OR(Settings!$B$10="No",I161&lt;&gt;E161)),K161*F161,0)</f>
        <v/>
      </c>
      <c r="M161" s="11">
        <f>IF(AND(AND(C161&lt;&gt;"",E161&lt;&gt;"",I161&lt;&gt;"",OR(Settings!$B$10="No",I161&lt;&gt;E161)),G161="Paid a pro",Settings!$B$9="Yes"),MAX(0,H161-K161*F161),0)</f>
        <v/>
      </c>
      <c r="N161" s="3">
        <f>IF(C161="","",IF(B161="","Enter the boat number",IF(B161&gt;Settings!$B$6,"Boat number above the boat count",IF(SUMIFS($F$5:$F$1004,$B$5:$B$1004,B161,$C$5:$C$1004,C161)&gt;1.0001,"Shares for this step add up to over 100%",IF(I161="","Waiting for sign-off",IF(AND(Settings!$B$10="Yes",I161=E161),"Needs a different member to sign off","OK"))))))</f>
        <v/>
      </c>
    </row>
    <row r="162">
      <c r="A162" s="9" t="n"/>
      <c r="B162" s="6" t="n"/>
      <c r="C162" s="6" t="n"/>
      <c r="D162" s="3">
        <f>IF(C162="","",IFERROR(INDEX(Steps!$C$5:$C$62,MATCH(C162,Steps!$A$5:$A$62,0)),""))</f>
        <v/>
      </c>
      <c r="E162" s="6" t="n"/>
      <c r="F162" s="8" t="n"/>
      <c r="G162" s="6" t="n"/>
      <c r="H162" s="7" t="n"/>
      <c r="I162" s="6" t="n"/>
      <c r="J162" s="9" t="n"/>
      <c r="K162" s="11">
        <f>IF(C162="","",N(IFERROR(INDEX(Steps!$E$5:$E$62,MATCH(C162,Steps!$A$5:$A$62,0)),"")))</f>
        <v/>
      </c>
      <c r="L162" s="11">
        <f>IF(AND(C162&lt;&gt;"",E162&lt;&gt;"",I162&lt;&gt;"",OR(Settings!$B$10="No",I162&lt;&gt;E162)),K162*F162,0)</f>
        <v/>
      </c>
      <c r="M162" s="11">
        <f>IF(AND(AND(C162&lt;&gt;"",E162&lt;&gt;"",I162&lt;&gt;"",OR(Settings!$B$10="No",I162&lt;&gt;E162)),G162="Paid a pro",Settings!$B$9="Yes"),MAX(0,H162-K162*F162),0)</f>
        <v/>
      </c>
      <c r="N162" s="3">
        <f>IF(C162="","",IF(B162="","Enter the boat number",IF(B162&gt;Settings!$B$6,"Boat number above the boat count",IF(SUMIFS($F$5:$F$1004,$B$5:$B$1004,B162,$C$5:$C$1004,C162)&gt;1.0001,"Shares for this step add up to over 100%",IF(I162="","Waiting for sign-off",IF(AND(Settings!$B$10="Yes",I162=E162),"Needs a different member to sign off","OK"))))))</f>
        <v/>
      </c>
    </row>
    <row r="163">
      <c r="A163" s="9" t="n"/>
      <c r="B163" s="6" t="n"/>
      <c r="C163" s="6" t="n"/>
      <c r="D163" s="3">
        <f>IF(C163="","",IFERROR(INDEX(Steps!$C$5:$C$62,MATCH(C163,Steps!$A$5:$A$62,0)),""))</f>
        <v/>
      </c>
      <c r="E163" s="6" t="n"/>
      <c r="F163" s="8" t="n"/>
      <c r="G163" s="6" t="n"/>
      <c r="H163" s="7" t="n"/>
      <c r="I163" s="6" t="n"/>
      <c r="J163" s="9" t="n"/>
      <c r="K163" s="11">
        <f>IF(C163="","",N(IFERROR(INDEX(Steps!$E$5:$E$62,MATCH(C163,Steps!$A$5:$A$62,0)),"")))</f>
        <v/>
      </c>
      <c r="L163" s="11">
        <f>IF(AND(C163&lt;&gt;"",E163&lt;&gt;"",I163&lt;&gt;"",OR(Settings!$B$10="No",I163&lt;&gt;E163)),K163*F163,0)</f>
        <v/>
      </c>
      <c r="M163" s="11">
        <f>IF(AND(AND(C163&lt;&gt;"",E163&lt;&gt;"",I163&lt;&gt;"",OR(Settings!$B$10="No",I163&lt;&gt;E163)),G163="Paid a pro",Settings!$B$9="Yes"),MAX(0,H163-K163*F163),0)</f>
        <v/>
      </c>
      <c r="N163" s="3">
        <f>IF(C163="","",IF(B163="","Enter the boat number",IF(B163&gt;Settings!$B$6,"Boat number above the boat count",IF(SUMIFS($F$5:$F$1004,$B$5:$B$1004,B163,$C$5:$C$1004,C163)&gt;1.0001,"Shares for this step add up to over 100%",IF(I163="","Waiting for sign-off",IF(AND(Settings!$B$10="Yes",I163=E163),"Needs a different member to sign off","OK"))))))</f>
        <v/>
      </c>
    </row>
    <row r="164">
      <c r="A164" s="9" t="n"/>
      <c r="B164" s="6" t="n"/>
      <c r="C164" s="6" t="n"/>
      <c r="D164" s="3">
        <f>IF(C164="","",IFERROR(INDEX(Steps!$C$5:$C$62,MATCH(C164,Steps!$A$5:$A$62,0)),""))</f>
        <v/>
      </c>
      <c r="E164" s="6" t="n"/>
      <c r="F164" s="8" t="n"/>
      <c r="G164" s="6" t="n"/>
      <c r="H164" s="7" t="n"/>
      <c r="I164" s="6" t="n"/>
      <c r="J164" s="9" t="n"/>
      <c r="K164" s="11">
        <f>IF(C164="","",N(IFERROR(INDEX(Steps!$E$5:$E$62,MATCH(C164,Steps!$A$5:$A$62,0)),"")))</f>
        <v/>
      </c>
      <c r="L164" s="11">
        <f>IF(AND(C164&lt;&gt;"",E164&lt;&gt;"",I164&lt;&gt;"",OR(Settings!$B$10="No",I164&lt;&gt;E164)),K164*F164,0)</f>
        <v/>
      </c>
      <c r="M164" s="11">
        <f>IF(AND(AND(C164&lt;&gt;"",E164&lt;&gt;"",I164&lt;&gt;"",OR(Settings!$B$10="No",I164&lt;&gt;E164)),G164="Paid a pro",Settings!$B$9="Yes"),MAX(0,H164-K164*F164),0)</f>
        <v/>
      </c>
      <c r="N164" s="3">
        <f>IF(C164="","",IF(B164="","Enter the boat number",IF(B164&gt;Settings!$B$6,"Boat number above the boat count",IF(SUMIFS($F$5:$F$1004,$B$5:$B$1004,B164,$C$5:$C$1004,C164)&gt;1.0001,"Shares for this step add up to over 100%",IF(I164="","Waiting for sign-off",IF(AND(Settings!$B$10="Yes",I164=E164),"Needs a different member to sign off","OK"))))))</f>
        <v/>
      </c>
    </row>
    <row r="165">
      <c r="A165" s="9" t="n"/>
      <c r="B165" s="6" t="n"/>
      <c r="C165" s="6" t="n"/>
      <c r="D165" s="3">
        <f>IF(C165="","",IFERROR(INDEX(Steps!$C$5:$C$62,MATCH(C165,Steps!$A$5:$A$62,0)),""))</f>
        <v/>
      </c>
      <c r="E165" s="6" t="n"/>
      <c r="F165" s="8" t="n"/>
      <c r="G165" s="6" t="n"/>
      <c r="H165" s="7" t="n"/>
      <c r="I165" s="6" t="n"/>
      <c r="J165" s="9" t="n"/>
      <c r="K165" s="11">
        <f>IF(C165="","",N(IFERROR(INDEX(Steps!$E$5:$E$62,MATCH(C165,Steps!$A$5:$A$62,0)),"")))</f>
        <v/>
      </c>
      <c r="L165" s="11">
        <f>IF(AND(C165&lt;&gt;"",E165&lt;&gt;"",I165&lt;&gt;"",OR(Settings!$B$10="No",I165&lt;&gt;E165)),K165*F165,0)</f>
        <v/>
      </c>
      <c r="M165" s="11">
        <f>IF(AND(AND(C165&lt;&gt;"",E165&lt;&gt;"",I165&lt;&gt;"",OR(Settings!$B$10="No",I165&lt;&gt;E165)),G165="Paid a pro",Settings!$B$9="Yes"),MAX(0,H165-K165*F165),0)</f>
        <v/>
      </c>
      <c r="N165" s="3">
        <f>IF(C165="","",IF(B165="","Enter the boat number",IF(B165&gt;Settings!$B$6,"Boat number above the boat count",IF(SUMIFS($F$5:$F$1004,$B$5:$B$1004,B165,$C$5:$C$1004,C165)&gt;1.0001,"Shares for this step add up to over 100%",IF(I165="","Waiting for sign-off",IF(AND(Settings!$B$10="Yes",I165=E165),"Needs a different member to sign off","OK"))))))</f>
        <v/>
      </c>
    </row>
    <row r="166">
      <c r="A166" s="9" t="n"/>
      <c r="B166" s="6" t="n"/>
      <c r="C166" s="6" t="n"/>
      <c r="D166" s="3">
        <f>IF(C166="","",IFERROR(INDEX(Steps!$C$5:$C$62,MATCH(C166,Steps!$A$5:$A$62,0)),""))</f>
        <v/>
      </c>
      <c r="E166" s="6" t="n"/>
      <c r="F166" s="8" t="n"/>
      <c r="G166" s="6" t="n"/>
      <c r="H166" s="7" t="n"/>
      <c r="I166" s="6" t="n"/>
      <c r="J166" s="9" t="n"/>
      <c r="K166" s="11">
        <f>IF(C166="","",N(IFERROR(INDEX(Steps!$E$5:$E$62,MATCH(C166,Steps!$A$5:$A$62,0)),"")))</f>
        <v/>
      </c>
      <c r="L166" s="11">
        <f>IF(AND(C166&lt;&gt;"",E166&lt;&gt;"",I166&lt;&gt;"",OR(Settings!$B$10="No",I166&lt;&gt;E166)),K166*F166,0)</f>
        <v/>
      </c>
      <c r="M166" s="11">
        <f>IF(AND(AND(C166&lt;&gt;"",E166&lt;&gt;"",I166&lt;&gt;"",OR(Settings!$B$10="No",I166&lt;&gt;E166)),G166="Paid a pro",Settings!$B$9="Yes"),MAX(0,H166-K166*F166),0)</f>
        <v/>
      </c>
      <c r="N166" s="3">
        <f>IF(C166="","",IF(B166="","Enter the boat number",IF(B166&gt;Settings!$B$6,"Boat number above the boat count",IF(SUMIFS($F$5:$F$1004,$B$5:$B$1004,B166,$C$5:$C$1004,C166)&gt;1.0001,"Shares for this step add up to over 100%",IF(I166="","Waiting for sign-off",IF(AND(Settings!$B$10="Yes",I166=E166),"Needs a different member to sign off","OK"))))))</f>
        <v/>
      </c>
    </row>
    <row r="167">
      <c r="A167" s="9" t="n"/>
      <c r="B167" s="6" t="n"/>
      <c r="C167" s="6" t="n"/>
      <c r="D167" s="3">
        <f>IF(C167="","",IFERROR(INDEX(Steps!$C$5:$C$62,MATCH(C167,Steps!$A$5:$A$62,0)),""))</f>
        <v/>
      </c>
      <c r="E167" s="6" t="n"/>
      <c r="F167" s="8" t="n"/>
      <c r="G167" s="6" t="n"/>
      <c r="H167" s="7" t="n"/>
      <c r="I167" s="6" t="n"/>
      <c r="J167" s="9" t="n"/>
      <c r="K167" s="11">
        <f>IF(C167="","",N(IFERROR(INDEX(Steps!$E$5:$E$62,MATCH(C167,Steps!$A$5:$A$62,0)),"")))</f>
        <v/>
      </c>
      <c r="L167" s="11">
        <f>IF(AND(C167&lt;&gt;"",E167&lt;&gt;"",I167&lt;&gt;"",OR(Settings!$B$10="No",I167&lt;&gt;E167)),K167*F167,0)</f>
        <v/>
      </c>
      <c r="M167" s="11">
        <f>IF(AND(AND(C167&lt;&gt;"",E167&lt;&gt;"",I167&lt;&gt;"",OR(Settings!$B$10="No",I167&lt;&gt;E167)),G167="Paid a pro",Settings!$B$9="Yes"),MAX(0,H167-K167*F167),0)</f>
        <v/>
      </c>
      <c r="N167" s="3">
        <f>IF(C167="","",IF(B167="","Enter the boat number",IF(B167&gt;Settings!$B$6,"Boat number above the boat count",IF(SUMIFS($F$5:$F$1004,$B$5:$B$1004,B167,$C$5:$C$1004,C167)&gt;1.0001,"Shares for this step add up to over 100%",IF(I167="","Waiting for sign-off",IF(AND(Settings!$B$10="Yes",I167=E167),"Needs a different member to sign off","OK"))))))</f>
        <v/>
      </c>
    </row>
    <row r="168">
      <c r="A168" s="9" t="n"/>
      <c r="B168" s="6" t="n"/>
      <c r="C168" s="6" t="n"/>
      <c r="D168" s="3">
        <f>IF(C168="","",IFERROR(INDEX(Steps!$C$5:$C$62,MATCH(C168,Steps!$A$5:$A$62,0)),""))</f>
        <v/>
      </c>
      <c r="E168" s="6" t="n"/>
      <c r="F168" s="8" t="n"/>
      <c r="G168" s="6" t="n"/>
      <c r="H168" s="7" t="n"/>
      <c r="I168" s="6" t="n"/>
      <c r="J168" s="9" t="n"/>
      <c r="K168" s="11">
        <f>IF(C168="","",N(IFERROR(INDEX(Steps!$E$5:$E$62,MATCH(C168,Steps!$A$5:$A$62,0)),"")))</f>
        <v/>
      </c>
      <c r="L168" s="11">
        <f>IF(AND(C168&lt;&gt;"",E168&lt;&gt;"",I168&lt;&gt;"",OR(Settings!$B$10="No",I168&lt;&gt;E168)),K168*F168,0)</f>
        <v/>
      </c>
      <c r="M168" s="11">
        <f>IF(AND(AND(C168&lt;&gt;"",E168&lt;&gt;"",I168&lt;&gt;"",OR(Settings!$B$10="No",I168&lt;&gt;E168)),G168="Paid a pro",Settings!$B$9="Yes"),MAX(0,H168-K168*F168),0)</f>
        <v/>
      </c>
      <c r="N168" s="3">
        <f>IF(C168="","",IF(B168="","Enter the boat number",IF(B168&gt;Settings!$B$6,"Boat number above the boat count",IF(SUMIFS($F$5:$F$1004,$B$5:$B$1004,B168,$C$5:$C$1004,C168)&gt;1.0001,"Shares for this step add up to over 100%",IF(I168="","Waiting for sign-off",IF(AND(Settings!$B$10="Yes",I168=E168),"Needs a different member to sign off","OK"))))))</f>
        <v/>
      </c>
    </row>
    <row r="169">
      <c r="A169" s="9" t="n"/>
      <c r="B169" s="6" t="n"/>
      <c r="C169" s="6" t="n"/>
      <c r="D169" s="3">
        <f>IF(C169="","",IFERROR(INDEX(Steps!$C$5:$C$62,MATCH(C169,Steps!$A$5:$A$62,0)),""))</f>
        <v/>
      </c>
      <c r="E169" s="6" t="n"/>
      <c r="F169" s="8" t="n"/>
      <c r="G169" s="6" t="n"/>
      <c r="H169" s="7" t="n"/>
      <c r="I169" s="6" t="n"/>
      <c r="J169" s="9" t="n"/>
      <c r="K169" s="11">
        <f>IF(C169="","",N(IFERROR(INDEX(Steps!$E$5:$E$62,MATCH(C169,Steps!$A$5:$A$62,0)),"")))</f>
        <v/>
      </c>
      <c r="L169" s="11">
        <f>IF(AND(C169&lt;&gt;"",E169&lt;&gt;"",I169&lt;&gt;"",OR(Settings!$B$10="No",I169&lt;&gt;E169)),K169*F169,0)</f>
        <v/>
      </c>
      <c r="M169" s="11">
        <f>IF(AND(AND(C169&lt;&gt;"",E169&lt;&gt;"",I169&lt;&gt;"",OR(Settings!$B$10="No",I169&lt;&gt;E169)),G169="Paid a pro",Settings!$B$9="Yes"),MAX(0,H169-K169*F169),0)</f>
        <v/>
      </c>
      <c r="N169" s="3">
        <f>IF(C169="","",IF(B169="","Enter the boat number",IF(B169&gt;Settings!$B$6,"Boat number above the boat count",IF(SUMIFS($F$5:$F$1004,$B$5:$B$1004,B169,$C$5:$C$1004,C169)&gt;1.0001,"Shares for this step add up to over 100%",IF(I169="","Waiting for sign-off",IF(AND(Settings!$B$10="Yes",I169=E169),"Needs a different member to sign off","OK"))))))</f>
        <v/>
      </c>
    </row>
    <row r="170">
      <c r="A170" s="9" t="n"/>
      <c r="B170" s="6" t="n"/>
      <c r="C170" s="6" t="n"/>
      <c r="D170" s="3">
        <f>IF(C170="","",IFERROR(INDEX(Steps!$C$5:$C$62,MATCH(C170,Steps!$A$5:$A$62,0)),""))</f>
        <v/>
      </c>
      <c r="E170" s="6" t="n"/>
      <c r="F170" s="8" t="n"/>
      <c r="G170" s="6" t="n"/>
      <c r="H170" s="7" t="n"/>
      <c r="I170" s="6" t="n"/>
      <c r="J170" s="9" t="n"/>
      <c r="K170" s="11">
        <f>IF(C170="","",N(IFERROR(INDEX(Steps!$E$5:$E$62,MATCH(C170,Steps!$A$5:$A$62,0)),"")))</f>
        <v/>
      </c>
      <c r="L170" s="11">
        <f>IF(AND(C170&lt;&gt;"",E170&lt;&gt;"",I170&lt;&gt;"",OR(Settings!$B$10="No",I170&lt;&gt;E170)),K170*F170,0)</f>
        <v/>
      </c>
      <c r="M170" s="11">
        <f>IF(AND(AND(C170&lt;&gt;"",E170&lt;&gt;"",I170&lt;&gt;"",OR(Settings!$B$10="No",I170&lt;&gt;E170)),G170="Paid a pro",Settings!$B$9="Yes"),MAX(0,H170-K170*F170),0)</f>
        <v/>
      </c>
      <c r="N170" s="3">
        <f>IF(C170="","",IF(B170="","Enter the boat number",IF(B170&gt;Settings!$B$6,"Boat number above the boat count",IF(SUMIFS($F$5:$F$1004,$B$5:$B$1004,B170,$C$5:$C$1004,C170)&gt;1.0001,"Shares for this step add up to over 100%",IF(I170="","Waiting for sign-off",IF(AND(Settings!$B$10="Yes",I170=E170),"Needs a different member to sign off","OK"))))))</f>
        <v/>
      </c>
    </row>
    <row r="171">
      <c r="A171" s="9" t="n"/>
      <c r="B171" s="6" t="n"/>
      <c r="C171" s="6" t="n"/>
      <c r="D171" s="3">
        <f>IF(C171="","",IFERROR(INDEX(Steps!$C$5:$C$62,MATCH(C171,Steps!$A$5:$A$62,0)),""))</f>
        <v/>
      </c>
      <c r="E171" s="6" t="n"/>
      <c r="F171" s="8" t="n"/>
      <c r="G171" s="6" t="n"/>
      <c r="H171" s="7" t="n"/>
      <c r="I171" s="6" t="n"/>
      <c r="J171" s="9" t="n"/>
      <c r="K171" s="11">
        <f>IF(C171="","",N(IFERROR(INDEX(Steps!$E$5:$E$62,MATCH(C171,Steps!$A$5:$A$62,0)),"")))</f>
        <v/>
      </c>
      <c r="L171" s="11">
        <f>IF(AND(C171&lt;&gt;"",E171&lt;&gt;"",I171&lt;&gt;"",OR(Settings!$B$10="No",I171&lt;&gt;E171)),K171*F171,0)</f>
        <v/>
      </c>
      <c r="M171" s="11">
        <f>IF(AND(AND(C171&lt;&gt;"",E171&lt;&gt;"",I171&lt;&gt;"",OR(Settings!$B$10="No",I171&lt;&gt;E171)),G171="Paid a pro",Settings!$B$9="Yes"),MAX(0,H171-K171*F171),0)</f>
        <v/>
      </c>
      <c r="N171" s="3">
        <f>IF(C171="","",IF(B171="","Enter the boat number",IF(B171&gt;Settings!$B$6,"Boat number above the boat count",IF(SUMIFS($F$5:$F$1004,$B$5:$B$1004,B171,$C$5:$C$1004,C171)&gt;1.0001,"Shares for this step add up to over 100%",IF(I171="","Waiting for sign-off",IF(AND(Settings!$B$10="Yes",I171=E171),"Needs a different member to sign off","OK"))))))</f>
        <v/>
      </c>
    </row>
    <row r="172">
      <c r="A172" s="9" t="n"/>
      <c r="B172" s="6" t="n"/>
      <c r="C172" s="6" t="n"/>
      <c r="D172" s="3">
        <f>IF(C172="","",IFERROR(INDEX(Steps!$C$5:$C$62,MATCH(C172,Steps!$A$5:$A$62,0)),""))</f>
        <v/>
      </c>
      <c r="E172" s="6" t="n"/>
      <c r="F172" s="8" t="n"/>
      <c r="G172" s="6" t="n"/>
      <c r="H172" s="7" t="n"/>
      <c r="I172" s="6" t="n"/>
      <c r="J172" s="9" t="n"/>
      <c r="K172" s="11">
        <f>IF(C172="","",N(IFERROR(INDEX(Steps!$E$5:$E$62,MATCH(C172,Steps!$A$5:$A$62,0)),"")))</f>
        <v/>
      </c>
      <c r="L172" s="11">
        <f>IF(AND(C172&lt;&gt;"",E172&lt;&gt;"",I172&lt;&gt;"",OR(Settings!$B$10="No",I172&lt;&gt;E172)),K172*F172,0)</f>
        <v/>
      </c>
      <c r="M172" s="11">
        <f>IF(AND(AND(C172&lt;&gt;"",E172&lt;&gt;"",I172&lt;&gt;"",OR(Settings!$B$10="No",I172&lt;&gt;E172)),G172="Paid a pro",Settings!$B$9="Yes"),MAX(0,H172-K172*F172),0)</f>
        <v/>
      </c>
      <c r="N172" s="3">
        <f>IF(C172="","",IF(B172="","Enter the boat number",IF(B172&gt;Settings!$B$6,"Boat number above the boat count",IF(SUMIFS($F$5:$F$1004,$B$5:$B$1004,B172,$C$5:$C$1004,C172)&gt;1.0001,"Shares for this step add up to over 100%",IF(I172="","Waiting for sign-off",IF(AND(Settings!$B$10="Yes",I172=E172),"Needs a different member to sign off","OK"))))))</f>
        <v/>
      </c>
    </row>
    <row r="173">
      <c r="A173" s="9" t="n"/>
      <c r="B173" s="6" t="n"/>
      <c r="C173" s="6" t="n"/>
      <c r="D173" s="3">
        <f>IF(C173="","",IFERROR(INDEX(Steps!$C$5:$C$62,MATCH(C173,Steps!$A$5:$A$62,0)),""))</f>
        <v/>
      </c>
      <c r="E173" s="6" t="n"/>
      <c r="F173" s="8" t="n"/>
      <c r="G173" s="6" t="n"/>
      <c r="H173" s="7" t="n"/>
      <c r="I173" s="6" t="n"/>
      <c r="J173" s="9" t="n"/>
      <c r="K173" s="11">
        <f>IF(C173="","",N(IFERROR(INDEX(Steps!$E$5:$E$62,MATCH(C173,Steps!$A$5:$A$62,0)),"")))</f>
        <v/>
      </c>
      <c r="L173" s="11">
        <f>IF(AND(C173&lt;&gt;"",E173&lt;&gt;"",I173&lt;&gt;"",OR(Settings!$B$10="No",I173&lt;&gt;E173)),K173*F173,0)</f>
        <v/>
      </c>
      <c r="M173" s="11">
        <f>IF(AND(AND(C173&lt;&gt;"",E173&lt;&gt;"",I173&lt;&gt;"",OR(Settings!$B$10="No",I173&lt;&gt;E173)),G173="Paid a pro",Settings!$B$9="Yes"),MAX(0,H173-K173*F173),0)</f>
        <v/>
      </c>
      <c r="N173" s="3">
        <f>IF(C173="","",IF(B173="","Enter the boat number",IF(B173&gt;Settings!$B$6,"Boat number above the boat count",IF(SUMIFS($F$5:$F$1004,$B$5:$B$1004,B173,$C$5:$C$1004,C173)&gt;1.0001,"Shares for this step add up to over 100%",IF(I173="","Waiting for sign-off",IF(AND(Settings!$B$10="Yes",I173=E173),"Needs a different member to sign off","OK"))))))</f>
        <v/>
      </c>
    </row>
    <row r="174">
      <c r="A174" s="9" t="n"/>
      <c r="B174" s="6" t="n"/>
      <c r="C174" s="6" t="n"/>
      <c r="D174" s="3">
        <f>IF(C174="","",IFERROR(INDEX(Steps!$C$5:$C$62,MATCH(C174,Steps!$A$5:$A$62,0)),""))</f>
        <v/>
      </c>
      <c r="E174" s="6" t="n"/>
      <c r="F174" s="8" t="n"/>
      <c r="G174" s="6" t="n"/>
      <c r="H174" s="7" t="n"/>
      <c r="I174" s="6" t="n"/>
      <c r="J174" s="9" t="n"/>
      <c r="K174" s="11">
        <f>IF(C174="","",N(IFERROR(INDEX(Steps!$E$5:$E$62,MATCH(C174,Steps!$A$5:$A$62,0)),"")))</f>
        <v/>
      </c>
      <c r="L174" s="11">
        <f>IF(AND(C174&lt;&gt;"",E174&lt;&gt;"",I174&lt;&gt;"",OR(Settings!$B$10="No",I174&lt;&gt;E174)),K174*F174,0)</f>
        <v/>
      </c>
      <c r="M174" s="11">
        <f>IF(AND(AND(C174&lt;&gt;"",E174&lt;&gt;"",I174&lt;&gt;"",OR(Settings!$B$10="No",I174&lt;&gt;E174)),G174="Paid a pro",Settings!$B$9="Yes"),MAX(0,H174-K174*F174),0)</f>
        <v/>
      </c>
      <c r="N174" s="3">
        <f>IF(C174="","",IF(B174="","Enter the boat number",IF(B174&gt;Settings!$B$6,"Boat number above the boat count",IF(SUMIFS($F$5:$F$1004,$B$5:$B$1004,B174,$C$5:$C$1004,C174)&gt;1.0001,"Shares for this step add up to over 100%",IF(I174="","Waiting for sign-off",IF(AND(Settings!$B$10="Yes",I174=E174),"Needs a different member to sign off","OK"))))))</f>
        <v/>
      </c>
    </row>
    <row r="175">
      <c r="A175" s="9" t="n"/>
      <c r="B175" s="6" t="n"/>
      <c r="C175" s="6" t="n"/>
      <c r="D175" s="3">
        <f>IF(C175="","",IFERROR(INDEX(Steps!$C$5:$C$62,MATCH(C175,Steps!$A$5:$A$62,0)),""))</f>
        <v/>
      </c>
      <c r="E175" s="6" t="n"/>
      <c r="F175" s="8" t="n"/>
      <c r="G175" s="6" t="n"/>
      <c r="H175" s="7" t="n"/>
      <c r="I175" s="6" t="n"/>
      <c r="J175" s="9" t="n"/>
      <c r="K175" s="11">
        <f>IF(C175="","",N(IFERROR(INDEX(Steps!$E$5:$E$62,MATCH(C175,Steps!$A$5:$A$62,0)),"")))</f>
        <v/>
      </c>
      <c r="L175" s="11">
        <f>IF(AND(C175&lt;&gt;"",E175&lt;&gt;"",I175&lt;&gt;"",OR(Settings!$B$10="No",I175&lt;&gt;E175)),K175*F175,0)</f>
        <v/>
      </c>
      <c r="M175" s="11">
        <f>IF(AND(AND(C175&lt;&gt;"",E175&lt;&gt;"",I175&lt;&gt;"",OR(Settings!$B$10="No",I175&lt;&gt;E175)),G175="Paid a pro",Settings!$B$9="Yes"),MAX(0,H175-K175*F175),0)</f>
        <v/>
      </c>
      <c r="N175" s="3">
        <f>IF(C175="","",IF(B175="","Enter the boat number",IF(B175&gt;Settings!$B$6,"Boat number above the boat count",IF(SUMIFS($F$5:$F$1004,$B$5:$B$1004,B175,$C$5:$C$1004,C175)&gt;1.0001,"Shares for this step add up to over 100%",IF(I175="","Waiting for sign-off",IF(AND(Settings!$B$10="Yes",I175=E175),"Needs a different member to sign off","OK"))))))</f>
        <v/>
      </c>
    </row>
    <row r="176">
      <c r="A176" s="9" t="n"/>
      <c r="B176" s="6" t="n"/>
      <c r="C176" s="6" t="n"/>
      <c r="D176" s="3">
        <f>IF(C176="","",IFERROR(INDEX(Steps!$C$5:$C$62,MATCH(C176,Steps!$A$5:$A$62,0)),""))</f>
        <v/>
      </c>
      <c r="E176" s="6" t="n"/>
      <c r="F176" s="8" t="n"/>
      <c r="G176" s="6" t="n"/>
      <c r="H176" s="7" t="n"/>
      <c r="I176" s="6" t="n"/>
      <c r="J176" s="9" t="n"/>
      <c r="K176" s="11">
        <f>IF(C176="","",N(IFERROR(INDEX(Steps!$E$5:$E$62,MATCH(C176,Steps!$A$5:$A$62,0)),"")))</f>
        <v/>
      </c>
      <c r="L176" s="11">
        <f>IF(AND(C176&lt;&gt;"",E176&lt;&gt;"",I176&lt;&gt;"",OR(Settings!$B$10="No",I176&lt;&gt;E176)),K176*F176,0)</f>
        <v/>
      </c>
      <c r="M176" s="11">
        <f>IF(AND(AND(C176&lt;&gt;"",E176&lt;&gt;"",I176&lt;&gt;"",OR(Settings!$B$10="No",I176&lt;&gt;E176)),G176="Paid a pro",Settings!$B$9="Yes"),MAX(0,H176-K176*F176),0)</f>
        <v/>
      </c>
      <c r="N176" s="3">
        <f>IF(C176="","",IF(B176="","Enter the boat number",IF(B176&gt;Settings!$B$6,"Boat number above the boat count",IF(SUMIFS($F$5:$F$1004,$B$5:$B$1004,B176,$C$5:$C$1004,C176)&gt;1.0001,"Shares for this step add up to over 100%",IF(I176="","Waiting for sign-off",IF(AND(Settings!$B$10="Yes",I176=E176),"Needs a different member to sign off","OK"))))))</f>
        <v/>
      </c>
    </row>
    <row r="177">
      <c r="A177" s="9" t="n"/>
      <c r="B177" s="6" t="n"/>
      <c r="C177" s="6" t="n"/>
      <c r="D177" s="3">
        <f>IF(C177="","",IFERROR(INDEX(Steps!$C$5:$C$62,MATCH(C177,Steps!$A$5:$A$62,0)),""))</f>
        <v/>
      </c>
      <c r="E177" s="6" t="n"/>
      <c r="F177" s="8" t="n"/>
      <c r="G177" s="6" t="n"/>
      <c r="H177" s="7" t="n"/>
      <c r="I177" s="6" t="n"/>
      <c r="J177" s="9" t="n"/>
      <c r="K177" s="11">
        <f>IF(C177="","",N(IFERROR(INDEX(Steps!$E$5:$E$62,MATCH(C177,Steps!$A$5:$A$62,0)),"")))</f>
        <v/>
      </c>
      <c r="L177" s="11">
        <f>IF(AND(C177&lt;&gt;"",E177&lt;&gt;"",I177&lt;&gt;"",OR(Settings!$B$10="No",I177&lt;&gt;E177)),K177*F177,0)</f>
        <v/>
      </c>
      <c r="M177" s="11">
        <f>IF(AND(AND(C177&lt;&gt;"",E177&lt;&gt;"",I177&lt;&gt;"",OR(Settings!$B$10="No",I177&lt;&gt;E177)),G177="Paid a pro",Settings!$B$9="Yes"),MAX(0,H177-K177*F177),0)</f>
        <v/>
      </c>
      <c r="N177" s="3">
        <f>IF(C177="","",IF(B177="","Enter the boat number",IF(B177&gt;Settings!$B$6,"Boat number above the boat count",IF(SUMIFS($F$5:$F$1004,$B$5:$B$1004,B177,$C$5:$C$1004,C177)&gt;1.0001,"Shares for this step add up to over 100%",IF(I177="","Waiting for sign-off",IF(AND(Settings!$B$10="Yes",I177=E177),"Needs a different member to sign off","OK"))))))</f>
        <v/>
      </c>
    </row>
    <row r="178">
      <c r="A178" s="9" t="n"/>
      <c r="B178" s="6" t="n"/>
      <c r="C178" s="6" t="n"/>
      <c r="D178" s="3">
        <f>IF(C178="","",IFERROR(INDEX(Steps!$C$5:$C$62,MATCH(C178,Steps!$A$5:$A$62,0)),""))</f>
        <v/>
      </c>
      <c r="E178" s="6" t="n"/>
      <c r="F178" s="8" t="n"/>
      <c r="G178" s="6" t="n"/>
      <c r="H178" s="7" t="n"/>
      <c r="I178" s="6" t="n"/>
      <c r="J178" s="9" t="n"/>
      <c r="K178" s="11">
        <f>IF(C178="","",N(IFERROR(INDEX(Steps!$E$5:$E$62,MATCH(C178,Steps!$A$5:$A$62,0)),"")))</f>
        <v/>
      </c>
      <c r="L178" s="11">
        <f>IF(AND(C178&lt;&gt;"",E178&lt;&gt;"",I178&lt;&gt;"",OR(Settings!$B$10="No",I178&lt;&gt;E178)),K178*F178,0)</f>
        <v/>
      </c>
      <c r="M178" s="11">
        <f>IF(AND(AND(C178&lt;&gt;"",E178&lt;&gt;"",I178&lt;&gt;"",OR(Settings!$B$10="No",I178&lt;&gt;E178)),G178="Paid a pro",Settings!$B$9="Yes"),MAX(0,H178-K178*F178),0)</f>
        <v/>
      </c>
      <c r="N178" s="3">
        <f>IF(C178="","",IF(B178="","Enter the boat number",IF(B178&gt;Settings!$B$6,"Boat number above the boat count",IF(SUMIFS($F$5:$F$1004,$B$5:$B$1004,B178,$C$5:$C$1004,C178)&gt;1.0001,"Shares for this step add up to over 100%",IF(I178="","Waiting for sign-off",IF(AND(Settings!$B$10="Yes",I178=E178),"Needs a different member to sign off","OK"))))))</f>
        <v/>
      </c>
    </row>
    <row r="179">
      <c r="A179" s="9" t="n"/>
      <c r="B179" s="6" t="n"/>
      <c r="C179" s="6" t="n"/>
      <c r="D179" s="3">
        <f>IF(C179="","",IFERROR(INDEX(Steps!$C$5:$C$62,MATCH(C179,Steps!$A$5:$A$62,0)),""))</f>
        <v/>
      </c>
      <c r="E179" s="6" t="n"/>
      <c r="F179" s="8" t="n"/>
      <c r="G179" s="6" t="n"/>
      <c r="H179" s="7" t="n"/>
      <c r="I179" s="6" t="n"/>
      <c r="J179" s="9" t="n"/>
      <c r="K179" s="11">
        <f>IF(C179="","",N(IFERROR(INDEX(Steps!$E$5:$E$62,MATCH(C179,Steps!$A$5:$A$62,0)),"")))</f>
        <v/>
      </c>
      <c r="L179" s="11">
        <f>IF(AND(C179&lt;&gt;"",E179&lt;&gt;"",I179&lt;&gt;"",OR(Settings!$B$10="No",I179&lt;&gt;E179)),K179*F179,0)</f>
        <v/>
      </c>
      <c r="M179" s="11">
        <f>IF(AND(AND(C179&lt;&gt;"",E179&lt;&gt;"",I179&lt;&gt;"",OR(Settings!$B$10="No",I179&lt;&gt;E179)),G179="Paid a pro",Settings!$B$9="Yes"),MAX(0,H179-K179*F179),0)</f>
        <v/>
      </c>
      <c r="N179" s="3">
        <f>IF(C179="","",IF(B179="","Enter the boat number",IF(B179&gt;Settings!$B$6,"Boat number above the boat count",IF(SUMIFS($F$5:$F$1004,$B$5:$B$1004,B179,$C$5:$C$1004,C179)&gt;1.0001,"Shares for this step add up to over 100%",IF(I179="","Waiting for sign-off",IF(AND(Settings!$B$10="Yes",I179=E179),"Needs a different member to sign off","OK"))))))</f>
        <v/>
      </c>
    </row>
    <row r="180">
      <c r="A180" s="9" t="n"/>
      <c r="B180" s="6" t="n"/>
      <c r="C180" s="6" t="n"/>
      <c r="D180" s="3">
        <f>IF(C180="","",IFERROR(INDEX(Steps!$C$5:$C$62,MATCH(C180,Steps!$A$5:$A$62,0)),""))</f>
        <v/>
      </c>
      <c r="E180" s="6" t="n"/>
      <c r="F180" s="8" t="n"/>
      <c r="G180" s="6" t="n"/>
      <c r="H180" s="7" t="n"/>
      <c r="I180" s="6" t="n"/>
      <c r="J180" s="9" t="n"/>
      <c r="K180" s="11">
        <f>IF(C180="","",N(IFERROR(INDEX(Steps!$E$5:$E$62,MATCH(C180,Steps!$A$5:$A$62,0)),"")))</f>
        <v/>
      </c>
      <c r="L180" s="11">
        <f>IF(AND(C180&lt;&gt;"",E180&lt;&gt;"",I180&lt;&gt;"",OR(Settings!$B$10="No",I180&lt;&gt;E180)),K180*F180,0)</f>
        <v/>
      </c>
      <c r="M180" s="11">
        <f>IF(AND(AND(C180&lt;&gt;"",E180&lt;&gt;"",I180&lt;&gt;"",OR(Settings!$B$10="No",I180&lt;&gt;E180)),G180="Paid a pro",Settings!$B$9="Yes"),MAX(0,H180-K180*F180),0)</f>
        <v/>
      </c>
      <c r="N180" s="3">
        <f>IF(C180="","",IF(B180="","Enter the boat number",IF(B180&gt;Settings!$B$6,"Boat number above the boat count",IF(SUMIFS($F$5:$F$1004,$B$5:$B$1004,B180,$C$5:$C$1004,C180)&gt;1.0001,"Shares for this step add up to over 100%",IF(I180="","Waiting for sign-off",IF(AND(Settings!$B$10="Yes",I180=E180),"Needs a different member to sign off","OK"))))))</f>
        <v/>
      </c>
    </row>
    <row r="181">
      <c r="A181" s="9" t="n"/>
      <c r="B181" s="6" t="n"/>
      <c r="C181" s="6" t="n"/>
      <c r="D181" s="3">
        <f>IF(C181="","",IFERROR(INDEX(Steps!$C$5:$C$62,MATCH(C181,Steps!$A$5:$A$62,0)),""))</f>
        <v/>
      </c>
      <c r="E181" s="6" t="n"/>
      <c r="F181" s="8" t="n"/>
      <c r="G181" s="6" t="n"/>
      <c r="H181" s="7" t="n"/>
      <c r="I181" s="6" t="n"/>
      <c r="J181" s="9" t="n"/>
      <c r="K181" s="11">
        <f>IF(C181="","",N(IFERROR(INDEX(Steps!$E$5:$E$62,MATCH(C181,Steps!$A$5:$A$62,0)),"")))</f>
        <v/>
      </c>
      <c r="L181" s="11">
        <f>IF(AND(C181&lt;&gt;"",E181&lt;&gt;"",I181&lt;&gt;"",OR(Settings!$B$10="No",I181&lt;&gt;E181)),K181*F181,0)</f>
        <v/>
      </c>
      <c r="M181" s="11">
        <f>IF(AND(AND(C181&lt;&gt;"",E181&lt;&gt;"",I181&lt;&gt;"",OR(Settings!$B$10="No",I181&lt;&gt;E181)),G181="Paid a pro",Settings!$B$9="Yes"),MAX(0,H181-K181*F181),0)</f>
        <v/>
      </c>
      <c r="N181" s="3">
        <f>IF(C181="","",IF(B181="","Enter the boat number",IF(B181&gt;Settings!$B$6,"Boat number above the boat count",IF(SUMIFS($F$5:$F$1004,$B$5:$B$1004,B181,$C$5:$C$1004,C181)&gt;1.0001,"Shares for this step add up to over 100%",IF(I181="","Waiting for sign-off",IF(AND(Settings!$B$10="Yes",I181=E181),"Needs a different member to sign off","OK"))))))</f>
        <v/>
      </c>
    </row>
    <row r="182">
      <c r="A182" s="9" t="n"/>
      <c r="B182" s="6" t="n"/>
      <c r="C182" s="6" t="n"/>
      <c r="D182" s="3">
        <f>IF(C182="","",IFERROR(INDEX(Steps!$C$5:$C$62,MATCH(C182,Steps!$A$5:$A$62,0)),""))</f>
        <v/>
      </c>
      <c r="E182" s="6" t="n"/>
      <c r="F182" s="8" t="n"/>
      <c r="G182" s="6" t="n"/>
      <c r="H182" s="7" t="n"/>
      <c r="I182" s="6" t="n"/>
      <c r="J182" s="9" t="n"/>
      <c r="K182" s="11">
        <f>IF(C182="","",N(IFERROR(INDEX(Steps!$E$5:$E$62,MATCH(C182,Steps!$A$5:$A$62,0)),"")))</f>
        <v/>
      </c>
      <c r="L182" s="11">
        <f>IF(AND(C182&lt;&gt;"",E182&lt;&gt;"",I182&lt;&gt;"",OR(Settings!$B$10="No",I182&lt;&gt;E182)),K182*F182,0)</f>
        <v/>
      </c>
      <c r="M182" s="11">
        <f>IF(AND(AND(C182&lt;&gt;"",E182&lt;&gt;"",I182&lt;&gt;"",OR(Settings!$B$10="No",I182&lt;&gt;E182)),G182="Paid a pro",Settings!$B$9="Yes"),MAX(0,H182-K182*F182),0)</f>
        <v/>
      </c>
      <c r="N182" s="3">
        <f>IF(C182="","",IF(B182="","Enter the boat number",IF(B182&gt;Settings!$B$6,"Boat number above the boat count",IF(SUMIFS($F$5:$F$1004,$B$5:$B$1004,B182,$C$5:$C$1004,C182)&gt;1.0001,"Shares for this step add up to over 100%",IF(I182="","Waiting for sign-off",IF(AND(Settings!$B$10="Yes",I182=E182),"Needs a different member to sign off","OK"))))))</f>
        <v/>
      </c>
    </row>
    <row r="183">
      <c r="A183" s="9" t="n"/>
      <c r="B183" s="6" t="n"/>
      <c r="C183" s="6" t="n"/>
      <c r="D183" s="3">
        <f>IF(C183="","",IFERROR(INDEX(Steps!$C$5:$C$62,MATCH(C183,Steps!$A$5:$A$62,0)),""))</f>
        <v/>
      </c>
      <c r="E183" s="6" t="n"/>
      <c r="F183" s="8" t="n"/>
      <c r="G183" s="6" t="n"/>
      <c r="H183" s="7" t="n"/>
      <c r="I183" s="6" t="n"/>
      <c r="J183" s="9" t="n"/>
      <c r="K183" s="11">
        <f>IF(C183="","",N(IFERROR(INDEX(Steps!$E$5:$E$62,MATCH(C183,Steps!$A$5:$A$62,0)),"")))</f>
        <v/>
      </c>
      <c r="L183" s="11">
        <f>IF(AND(C183&lt;&gt;"",E183&lt;&gt;"",I183&lt;&gt;"",OR(Settings!$B$10="No",I183&lt;&gt;E183)),K183*F183,0)</f>
        <v/>
      </c>
      <c r="M183" s="11">
        <f>IF(AND(AND(C183&lt;&gt;"",E183&lt;&gt;"",I183&lt;&gt;"",OR(Settings!$B$10="No",I183&lt;&gt;E183)),G183="Paid a pro",Settings!$B$9="Yes"),MAX(0,H183-K183*F183),0)</f>
        <v/>
      </c>
      <c r="N183" s="3">
        <f>IF(C183="","",IF(B183="","Enter the boat number",IF(B183&gt;Settings!$B$6,"Boat number above the boat count",IF(SUMIFS($F$5:$F$1004,$B$5:$B$1004,B183,$C$5:$C$1004,C183)&gt;1.0001,"Shares for this step add up to over 100%",IF(I183="","Waiting for sign-off",IF(AND(Settings!$B$10="Yes",I183=E183),"Needs a different member to sign off","OK"))))))</f>
        <v/>
      </c>
    </row>
    <row r="184">
      <c r="A184" s="9" t="n"/>
      <c r="B184" s="6" t="n"/>
      <c r="C184" s="6" t="n"/>
      <c r="D184" s="3">
        <f>IF(C184="","",IFERROR(INDEX(Steps!$C$5:$C$62,MATCH(C184,Steps!$A$5:$A$62,0)),""))</f>
        <v/>
      </c>
      <c r="E184" s="6" t="n"/>
      <c r="F184" s="8" t="n"/>
      <c r="G184" s="6" t="n"/>
      <c r="H184" s="7" t="n"/>
      <c r="I184" s="6" t="n"/>
      <c r="J184" s="9" t="n"/>
      <c r="K184" s="11">
        <f>IF(C184="","",N(IFERROR(INDEX(Steps!$E$5:$E$62,MATCH(C184,Steps!$A$5:$A$62,0)),"")))</f>
        <v/>
      </c>
      <c r="L184" s="11">
        <f>IF(AND(C184&lt;&gt;"",E184&lt;&gt;"",I184&lt;&gt;"",OR(Settings!$B$10="No",I184&lt;&gt;E184)),K184*F184,0)</f>
        <v/>
      </c>
      <c r="M184" s="11">
        <f>IF(AND(AND(C184&lt;&gt;"",E184&lt;&gt;"",I184&lt;&gt;"",OR(Settings!$B$10="No",I184&lt;&gt;E184)),G184="Paid a pro",Settings!$B$9="Yes"),MAX(0,H184-K184*F184),0)</f>
        <v/>
      </c>
      <c r="N184" s="3">
        <f>IF(C184="","",IF(B184="","Enter the boat number",IF(B184&gt;Settings!$B$6,"Boat number above the boat count",IF(SUMIFS($F$5:$F$1004,$B$5:$B$1004,B184,$C$5:$C$1004,C184)&gt;1.0001,"Shares for this step add up to over 100%",IF(I184="","Waiting for sign-off",IF(AND(Settings!$B$10="Yes",I184=E184),"Needs a different member to sign off","OK"))))))</f>
        <v/>
      </c>
    </row>
    <row r="185">
      <c r="A185" s="9" t="n"/>
      <c r="B185" s="6" t="n"/>
      <c r="C185" s="6" t="n"/>
      <c r="D185" s="3">
        <f>IF(C185="","",IFERROR(INDEX(Steps!$C$5:$C$62,MATCH(C185,Steps!$A$5:$A$62,0)),""))</f>
        <v/>
      </c>
      <c r="E185" s="6" t="n"/>
      <c r="F185" s="8" t="n"/>
      <c r="G185" s="6" t="n"/>
      <c r="H185" s="7" t="n"/>
      <c r="I185" s="6" t="n"/>
      <c r="J185" s="9" t="n"/>
      <c r="K185" s="11">
        <f>IF(C185="","",N(IFERROR(INDEX(Steps!$E$5:$E$62,MATCH(C185,Steps!$A$5:$A$62,0)),"")))</f>
        <v/>
      </c>
      <c r="L185" s="11">
        <f>IF(AND(C185&lt;&gt;"",E185&lt;&gt;"",I185&lt;&gt;"",OR(Settings!$B$10="No",I185&lt;&gt;E185)),K185*F185,0)</f>
        <v/>
      </c>
      <c r="M185" s="11">
        <f>IF(AND(AND(C185&lt;&gt;"",E185&lt;&gt;"",I185&lt;&gt;"",OR(Settings!$B$10="No",I185&lt;&gt;E185)),G185="Paid a pro",Settings!$B$9="Yes"),MAX(0,H185-K185*F185),0)</f>
        <v/>
      </c>
      <c r="N185" s="3">
        <f>IF(C185="","",IF(B185="","Enter the boat number",IF(B185&gt;Settings!$B$6,"Boat number above the boat count",IF(SUMIFS($F$5:$F$1004,$B$5:$B$1004,B185,$C$5:$C$1004,C185)&gt;1.0001,"Shares for this step add up to over 100%",IF(I185="","Waiting for sign-off",IF(AND(Settings!$B$10="Yes",I185=E185),"Needs a different member to sign off","OK"))))))</f>
        <v/>
      </c>
    </row>
    <row r="186">
      <c r="A186" s="9" t="n"/>
      <c r="B186" s="6" t="n"/>
      <c r="C186" s="6" t="n"/>
      <c r="D186" s="3">
        <f>IF(C186="","",IFERROR(INDEX(Steps!$C$5:$C$62,MATCH(C186,Steps!$A$5:$A$62,0)),""))</f>
        <v/>
      </c>
      <c r="E186" s="6" t="n"/>
      <c r="F186" s="8" t="n"/>
      <c r="G186" s="6" t="n"/>
      <c r="H186" s="7" t="n"/>
      <c r="I186" s="6" t="n"/>
      <c r="J186" s="9" t="n"/>
      <c r="K186" s="11">
        <f>IF(C186="","",N(IFERROR(INDEX(Steps!$E$5:$E$62,MATCH(C186,Steps!$A$5:$A$62,0)),"")))</f>
        <v/>
      </c>
      <c r="L186" s="11">
        <f>IF(AND(C186&lt;&gt;"",E186&lt;&gt;"",I186&lt;&gt;"",OR(Settings!$B$10="No",I186&lt;&gt;E186)),K186*F186,0)</f>
        <v/>
      </c>
      <c r="M186" s="11">
        <f>IF(AND(AND(C186&lt;&gt;"",E186&lt;&gt;"",I186&lt;&gt;"",OR(Settings!$B$10="No",I186&lt;&gt;E186)),G186="Paid a pro",Settings!$B$9="Yes"),MAX(0,H186-K186*F186),0)</f>
        <v/>
      </c>
      <c r="N186" s="3">
        <f>IF(C186="","",IF(B186="","Enter the boat number",IF(B186&gt;Settings!$B$6,"Boat number above the boat count",IF(SUMIFS($F$5:$F$1004,$B$5:$B$1004,B186,$C$5:$C$1004,C186)&gt;1.0001,"Shares for this step add up to over 100%",IF(I186="","Waiting for sign-off",IF(AND(Settings!$B$10="Yes",I186=E186),"Needs a different member to sign off","OK"))))))</f>
        <v/>
      </c>
    </row>
    <row r="187">
      <c r="A187" s="9" t="n"/>
      <c r="B187" s="6" t="n"/>
      <c r="C187" s="6" t="n"/>
      <c r="D187" s="3">
        <f>IF(C187="","",IFERROR(INDEX(Steps!$C$5:$C$62,MATCH(C187,Steps!$A$5:$A$62,0)),""))</f>
        <v/>
      </c>
      <c r="E187" s="6" t="n"/>
      <c r="F187" s="8" t="n"/>
      <c r="G187" s="6" t="n"/>
      <c r="H187" s="7" t="n"/>
      <c r="I187" s="6" t="n"/>
      <c r="J187" s="9" t="n"/>
      <c r="K187" s="11">
        <f>IF(C187="","",N(IFERROR(INDEX(Steps!$E$5:$E$62,MATCH(C187,Steps!$A$5:$A$62,0)),"")))</f>
        <v/>
      </c>
      <c r="L187" s="11">
        <f>IF(AND(C187&lt;&gt;"",E187&lt;&gt;"",I187&lt;&gt;"",OR(Settings!$B$10="No",I187&lt;&gt;E187)),K187*F187,0)</f>
        <v/>
      </c>
      <c r="M187" s="11">
        <f>IF(AND(AND(C187&lt;&gt;"",E187&lt;&gt;"",I187&lt;&gt;"",OR(Settings!$B$10="No",I187&lt;&gt;E187)),G187="Paid a pro",Settings!$B$9="Yes"),MAX(0,H187-K187*F187),0)</f>
        <v/>
      </c>
      <c r="N187" s="3">
        <f>IF(C187="","",IF(B187="","Enter the boat number",IF(B187&gt;Settings!$B$6,"Boat number above the boat count",IF(SUMIFS($F$5:$F$1004,$B$5:$B$1004,B187,$C$5:$C$1004,C187)&gt;1.0001,"Shares for this step add up to over 100%",IF(I187="","Waiting for sign-off",IF(AND(Settings!$B$10="Yes",I187=E187),"Needs a different member to sign off","OK"))))))</f>
        <v/>
      </c>
    </row>
    <row r="188">
      <c r="A188" s="9" t="n"/>
      <c r="B188" s="6" t="n"/>
      <c r="C188" s="6" t="n"/>
      <c r="D188" s="3">
        <f>IF(C188="","",IFERROR(INDEX(Steps!$C$5:$C$62,MATCH(C188,Steps!$A$5:$A$62,0)),""))</f>
        <v/>
      </c>
      <c r="E188" s="6" t="n"/>
      <c r="F188" s="8" t="n"/>
      <c r="G188" s="6" t="n"/>
      <c r="H188" s="7" t="n"/>
      <c r="I188" s="6" t="n"/>
      <c r="J188" s="9" t="n"/>
      <c r="K188" s="11">
        <f>IF(C188="","",N(IFERROR(INDEX(Steps!$E$5:$E$62,MATCH(C188,Steps!$A$5:$A$62,0)),"")))</f>
        <v/>
      </c>
      <c r="L188" s="11">
        <f>IF(AND(C188&lt;&gt;"",E188&lt;&gt;"",I188&lt;&gt;"",OR(Settings!$B$10="No",I188&lt;&gt;E188)),K188*F188,0)</f>
        <v/>
      </c>
      <c r="M188" s="11">
        <f>IF(AND(AND(C188&lt;&gt;"",E188&lt;&gt;"",I188&lt;&gt;"",OR(Settings!$B$10="No",I188&lt;&gt;E188)),G188="Paid a pro",Settings!$B$9="Yes"),MAX(0,H188-K188*F188),0)</f>
        <v/>
      </c>
      <c r="N188" s="3">
        <f>IF(C188="","",IF(B188="","Enter the boat number",IF(B188&gt;Settings!$B$6,"Boat number above the boat count",IF(SUMIFS($F$5:$F$1004,$B$5:$B$1004,B188,$C$5:$C$1004,C188)&gt;1.0001,"Shares for this step add up to over 100%",IF(I188="","Waiting for sign-off",IF(AND(Settings!$B$10="Yes",I188=E188),"Needs a different member to sign off","OK"))))))</f>
        <v/>
      </c>
    </row>
    <row r="189">
      <c r="A189" s="9" t="n"/>
      <c r="B189" s="6" t="n"/>
      <c r="C189" s="6" t="n"/>
      <c r="D189" s="3">
        <f>IF(C189="","",IFERROR(INDEX(Steps!$C$5:$C$62,MATCH(C189,Steps!$A$5:$A$62,0)),""))</f>
        <v/>
      </c>
      <c r="E189" s="6" t="n"/>
      <c r="F189" s="8" t="n"/>
      <c r="G189" s="6" t="n"/>
      <c r="H189" s="7" t="n"/>
      <c r="I189" s="6" t="n"/>
      <c r="J189" s="9" t="n"/>
      <c r="K189" s="11">
        <f>IF(C189="","",N(IFERROR(INDEX(Steps!$E$5:$E$62,MATCH(C189,Steps!$A$5:$A$62,0)),"")))</f>
        <v/>
      </c>
      <c r="L189" s="11">
        <f>IF(AND(C189&lt;&gt;"",E189&lt;&gt;"",I189&lt;&gt;"",OR(Settings!$B$10="No",I189&lt;&gt;E189)),K189*F189,0)</f>
        <v/>
      </c>
      <c r="M189" s="11">
        <f>IF(AND(AND(C189&lt;&gt;"",E189&lt;&gt;"",I189&lt;&gt;"",OR(Settings!$B$10="No",I189&lt;&gt;E189)),G189="Paid a pro",Settings!$B$9="Yes"),MAX(0,H189-K189*F189),0)</f>
        <v/>
      </c>
      <c r="N189" s="3">
        <f>IF(C189="","",IF(B189="","Enter the boat number",IF(B189&gt;Settings!$B$6,"Boat number above the boat count",IF(SUMIFS($F$5:$F$1004,$B$5:$B$1004,B189,$C$5:$C$1004,C189)&gt;1.0001,"Shares for this step add up to over 100%",IF(I189="","Waiting for sign-off",IF(AND(Settings!$B$10="Yes",I189=E189),"Needs a different member to sign off","OK"))))))</f>
        <v/>
      </c>
    </row>
    <row r="190">
      <c r="A190" s="9" t="n"/>
      <c r="B190" s="6" t="n"/>
      <c r="C190" s="6" t="n"/>
      <c r="D190" s="3">
        <f>IF(C190="","",IFERROR(INDEX(Steps!$C$5:$C$62,MATCH(C190,Steps!$A$5:$A$62,0)),""))</f>
        <v/>
      </c>
      <c r="E190" s="6" t="n"/>
      <c r="F190" s="8" t="n"/>
      <c r="G190" s="6" t="n"/>
      <c r="H190" s="7" t="n"/>
      <c r="I190" s="6" t="n"/>
      <c r="J190" s="9" t="n"/>
      <c r="K190" s="11">
        <f>IF(C190="","",N(IFERROR(INDEX(Steps!$E$5:$E$62,MATCH(C190,Steps!$A$5:$A$62,0)),"")))</f>
        <v/>
      </c>
      <c r="L190" s="11">
        <f>IF(AND(C190&lt;&gt;"",E190&lt;&gt;"",I190&lt;&gt;"",OR(Settings!$B$10="No",I190&lt;&gt;E190)),K190*F190,0)</f>
        <v/>
      </c>
      <c r="M190" s="11">
        <f>IF(AND(AND(C190&lt;&gt;"",E190&lt;&gt;"",I190&lt;&gt;"",OR(Settings!$B$10="No",I190&lt;&gt;E190)),G190="Paid a pro",Settings!$B$9="Yes"),MAX(0,H190-K190*F190),0)</f>
        <v/>
      </c>
      <c r="N190" s="3">
        <f>IF(C190="","",IF(B190="","Enter the boat number",IF(B190&gt;Settings!$B$6,"Boat number above the boat count",IF(SUMIFS($F$5:$F$1004,$B$5:$B$1004,B190,$C$5:$C$1004,C190)&gt;1.0001,"Shares for this step add up to over 100%",IF(I190="","Waiting for sign-off",IF(AND(Settings!$B$10="Yes",I190=E190),"Needs a different member to sign off","OK"))))))</f>
        <v/>
      </c>
    </row>
    <row r="191">
      <c r="A191" s="9" t="n"/>
      <c r="B191" s="6" t="n"/>
      <c r="C191" s="6" t="n"/>
      <c r="D191" s="3">
        <f>IF(C191="","",IFERROR(INDEX(Steps!$C$5:$C$62,MATCH(C191,Steps!$A$5:$A$62,0)),""))</f>
        <v/>
      </c>
      <c r="E191" s="6" t="n"/>
      <c r="F191" s="8" t="n"/>
      <c r="G191" s="6" t="n"/>
      <c r="H191" s="7" t="n"/>
      <c r="I191" s="6" t="n"/>
      <c r="J191" s="9" t="n"/>
      <c r="K191" s="11">
        <f>IF(C191="","",N(IFERROR(INDEX(Steps!$E$5:$E$62,MATCH(C191,Steps!$A$5:$A$62,0)),"")))</f>
        <v/>
      </c>
      <c r="L191" s="11">
        <f>IF(AND(C191&lt;&gt;"",E191&lt;&gt;"",I191&lt;&gt;"",OR(Settings!$B$10="No",I191&lt;&gt;E191)),K191*F191,0)</f>
        <v/>
      </c>
      <c r="M191" s="11">
        <f>IF(AND(AND(C191&lt;&gt;"",E191&lt;&gt;"",I191&lt;&gt;"",OR(Settings!$B$10="No",I191&lt;&gt;E191)),G191="Paid a pro",Settings!$B$9="Yes"),MAX(0,H191-K191*F191),0)</f>
        <v/>
      </c>
      <c r="N191" s="3">
        <f>IF(C191="","",IF(B191="","Enter the boat number",IF(B191&gt;Settings!$B$6,"Boat number above the boat count",IF(SUMIFS($F$5:$F$1004,$B$5:$B$1004,B191,$C$5:$C$1004,C191)&gt;1.0001,"Shares for this step add up to over 100%",IF(I191="","Waiting for sign-off",IF(AND(Settings!$B$10="Yes",I191=E191),"Needs a different member to sign off","OK"))))))</f>
        <v/>
      </c>
    </row>
    <row r="192">
      <c r="A192" s="9" t="n"/>
      <c r="B192" s="6" t="n"/>
      <c r="C192" s="6" t="n"/>
      <c r="D192" s="3">
        <f>IF(C192="","",IFERROR(INDEX(Steps!$C$5:$C$62,MATCH(C192,Steps!$A$5:$A$62,0)),""))</f>
        <v/>
      </c>
      <c r="E192" s="6" t="n"/>
      <c r="F192" s="8" t="n"/>
      <c r="G192" s="6" t="n"/>
      <c r="H192" s="7" t="n"/>
      <c r="I192" s="6" t="n"/>
      <c r="J192" s="9" t="n"/>
      <c r="K192" s="11">
        <f>IF(C192="","",N(IFERROR(INDEX(Steps!$E$5:$E$62,MATCH(C192,Steps!$A$5:$A$62,0)),"")))</f>
        <v/>
      </c>
      <c r="L192" s="11">
        <f>IF(AND(C192&lt;&gt;"",E192&lt;&gt;"",I192&lt;&gt;"",OR(Settings!$B$10="No",I192&lt;&gt;E192)),K192*F192,0)</f>
        <v/>
      </c>
      <c r="M192" s="11">
        <f>IF(AND(AND(C192&lt;&gt;"",E192&lt;&gt;"",I192&lt;&gt;"",OR(Settings!$B$10="No",I192&lt;&gt;E192)),G192="Paid a pro",Settings!$B$9="Yes"),MAX(0,H192-K192*F192),0)</f>
        <v/>
      </c>
      <c r="N192" s="3">
        <f>IF(C192="","",IF(B192="","Enter the boat number",IF(B192&gt;Settings!$B$6,"Boat number above the boat count",IF(SUMIFS($F$5:$F$1004,$B$5:$B$1004,B192,$C$5:$C$1004,C192)&gt;1.0001,"Shares for this step add up to over 100%",IF(I192="","Waiting for sign-off",IF(AND(Settings!$B$10="Yes",I192=E192),"Needs a different member to sign off","OK"))))))</f>
        <v/>
      </c>
    </row>
    <row r="193">
      <c r="A193" s="9" t="n"/>
      <c r="B193" s="6" t="n"/>
      <c r="C193" s="6" t="n"/>
      <c r="D193" s="3">
        <f>IF(C193="","",IFERROR(INDEX(Steps!$C$5:$C$62,MATCH(C193,Steps!$A$5:$A$62,0)),""))</f>
        <v/>
      </c>
      <c r="E193" s="6" t="n"/>
      <c r="F193" s="8" t="n"/>
      <c r="G193" s="6" t="n"/>
      <c r="H193" s="7" t="n"/>
      <c r="I193" s="6" t="n"/>
      <c r="J193" s="9" t="n"/>
      <c r="K193" s="11">
        <f>IF(C193="","",N(IFERROR(INDEX(Steps!$E$5:$E$62,MATCH(C193,Steps!$A$5:$A$62,0)),"")))</f>
        <v/>
      </c>
      <c r="L193" s="11">
        <f>IF(AND(C193&lt;&gt;"",E193&lt;&gt;"",I193&lt;&gt;"",OR(Settings!$B$10="No",I193&lt;&gt;E193)),K193*F193,0)</f>
        <v/>
      </c>
      <c r="M193" s="11">
        <f>IF(AND(AND(C193&lt;&gt;"",E193&lt;&gt;"",I193&lt;&gt;"",OR(Settings!$B$10="No",I193&lt;&gt;E193)),G193="Paid a pro",Settings!$B$9="Yes"),MAX(0,H193-K193*F193),0)</f>
        <v/>
      </c>
      <c r="N193" s="3">
        <f>IF(C193="","",IF(B193="","Enter the boat number",IF(B193&gt;Settings!$B$6,"Boat number above the boat count",IF(SUMIFS($F$5:$F$1004,$B$5:$B$1004,B193,$C$5:$C$1004,C193)&gt;1.0001,"Shares for this step add up to over 100%",IF(I193="","Waiting for sign-off",IF(AND(Settings!$B$10="Yes",I193=E193),"Needs a different member to sign off","OK"))))))</f>
        <v/>
      </c>
    </row>
    <row r="194">
      <c r="A194" s="9" t="n"/>
      <c r="B194" s="6" t="n"/>
      <c r="C194" s="6" t="n"/>
      <c r="D194" s="3">
        <f>IF(C194="","",IFERROR(INDEX(Steps!$C$5:$C$62,MATCH(C194,Steps!$A$5:$A$62,0)),""))</f>
        <v/>
      </c>
      <c r="E194" s="6" t="n"/>
      <c r="F194" s="8" t="n"/>
      <c r="G194" s="6" t="n"/>
      <c r="H194" s="7" t="n"/>
      <c r="I194" s="6" t="n"/>
      <c r="J194" s="9" t="n"/>
      <c r="K194" s="11">
        <f>IF(C194="","",N(IFERROR(INDEX(Steps!$E$5:$E$62,MATCH(C194,Steps!$A$5:$A$62,0)),"")))</f>
        <v/>
      </c>
      <c r="L194" s="11">
        <f>IF(AND(C194&lt;&gt;"",E194&lt;&gt;"",I194&lt;&gt;"",OR(Settings!$B$10="No",I194&lt;&gt;E194)),K194*F194,0)</f>
        <v/>
      </c>
      <c r="M194" s="11">
        <f>IF(AND(AND(C194&lt;&gt;"",E194&lt;&gt;"",I194&lt;&gt;"",OR(Settings!$B$10="No",I194&lt;&gt;E194)),G194="Paid a pro",Settings!$B$9="Yes"),MAX(0,H194-K194*F194),0)</f>
        <v/>
      </c>
      <c r="N194" s="3">
        <f>IF(C194="","",IF(B194="","Enter the boat number",IF(B194&gt;Settings!$B$6,"Boat number above the boat count",IF(SUMIFS($F$5:$F$1004,$B$5:$B$1004,B194,$C$5:$C$1004,C194)&gt;1.0001,"Shares for this step add up to over 100%",IF(I194="","Waiting for sign-off",IF(AND(Settings!$B$10="Yes",I194=E194),"Needs a different member to sign off","OK"))))))</f>
        <v/>
      </c>
    </row>
    <row r="195">
      <c r="A195" s="9" t="n"/>
      <c r="B195" s="6" t="n"/>
      <c r="C195" s="6" t="n"/>
      <c r="D195" s="3">
        <f>IF(C195="","",IFERROR(INDEX(Steps!$C$5:$C$62,MATCH(C195,Steps!$A$5:$A$62,0)),""))</f>
        <v/>
      </c>
      <c r="E195" s="6" t="n"/>
      <c r="F195" s="8" t="n"/>
      <c r="G195" s="6" t="n"/>
      <c r="H195" s="7" t="n"/>
      <c r="I195" s="6" t="n"/>
      <c r="J195" s="9" t="n"/>
      <c r="K195" s="11">
        <f>IF(C195="","",N(IFERROR(INDEX(Steps!$E$5:$E$62,MATCH(C195,Steps!$A$5:$A$62,0)),"")))</f>
        <v/>
      </c>
      <c r="L195" s="11">
        <f>IF(AND(C195&lt;&gt;"",E195&lt;&gt;"",I195&lt;&gt;"",OR(Settings!$B$10="No",I195&lt;&gt;E195)),K195*F195,0)</f>
        <v/>
      </c>
      <c r="M195" s="11">
        <f>IF(AND(AND(C195&lt;&gt;"",E195&lt;&gt;"",I195&lt;&gt;"",OR(Settings!$B$10="No",I195&lt;&gt;E195)),G195="Paid a pro",Settings!$B$9="Yes"),MAX(0,H195-K195*F195),0)</f>
        <v/>
      </c>
      <c r="N195" s="3">
        <f>IF(C195="","",IF(B195="","Enter the boat number",IF(B195&gt;Settings!$B$6,"Boat number above the boat count",IF(SUMIFS($F$5:$F$1004,$B$5:$B$1004,B195,$C$5:$C$1004,C195)&gt;1.0001,"Shares for this step add up to over 100%",IF(I195="","Waiting for sign-off",IF(AND(Settings!$B$10="Yes",I195=E195),"Needs a different member to sign off","OK"))))))</f>
        <v/>
      </c>
    </row>
    <row r="196">
      <c r="A196" s="9" t="n"/>
      <c r="B196" s="6" t="n"/>
      <c r="C196" s="6" t="n"/>
      <c r="D196" s="3">
        <f>IF(C196="","",IFERROR(INDEX(Steps!$C$5:$C$62,MATCH(C196,Steps!$A$5:$A$62,0)),""))</f>
        <v/>
      </c>
      <c r="E196" s="6" t="n"/>
      <c r="F196" s="8" t="n"/>
      <c r="G196" s="6" t="n"/>
      <c r="H196" s="7" t="n"/>
      <c r="I196" s="6" t="n"/>
      <c r="J196" s="9" t="n"/>
      <c r="K196" s="11">
        <f>IF(C196="","",N(IFERROR(INDEX(Steps!$E$5:$E$62,MATCH(C196,Steps!$A$5:$A$62,0)),"")))</f>
        <v/>
      </c>
      <c r="L196" s="11">
        <f>IF(AND(C196&lt;&gt;"",E196&lt;&gt;"",I196&lt;&gt;"",OR(Settings!$B$10="No",I196&lt;&gt;E196)),K196*F196,0)</f>
        <v/>
      </c>
      <c r="M196" s="11">
        <f>IF(AND(AND(C196&lt;&gt;"",E196&lt;&gt;"",I196&lt;&gt;"",OR(Settings!$B$10="No",I196&lt;&gt;E196)),G196="Paid a pro",Settings!$B$9="Yes"),MAX(0,H196-K196*F196),0)</f>
        <v/>
      </c>
      <c r="N196" s="3">
        <f>IF(C196="","",IF(B196="","Enter the boat number",IF(B196&gt;Settings!$B$6,"Boat number above the boat count",IF(SUMIFS($F$5:$F$1004,$B$5:$B$1004,B196,$C$5:$C$1004,C196)&gt;1.0001,"Shares for this step add up to over 100%",IF(I196="","Waiting for sign-off",IF(AND(Settings!$B$10="Yes",I196=E196),"Needs a different member to sign off","OK"))))))</f>
        <v/>
      </c>
    </row>
    <row r="197">
      <c r="A197" s="9" t="n"/>
      <c r="B197" s="6" t="n"/>
      <c r="C197" s="6" t="n"/>
      <c r="D197" s="3">
        <f>IF(C197="","",IFERROR(INDEX(Steps!$C$5:$C$62,MATCH(C197,Steps!$A$5:$A$62,0)),""))</f>
        <v/>
      </c>
      <c r="E197" s="6" t="n"/>
      <c r="F197" s="8" t="n"/>
      <c r="G197" s="6" t="n"/>
      <c r="H197" s="7" t="n"/>
      <c r="I197" s="6" t="n"/>
      <c r="J197" s="9" t="n"/>
      <c r="K197" s="11">
        <f>IF(C197="","",N(IFERROR(INDEX(Steps!$E$5:$E$62,MATCH(C197,Steps!$A$5:$A$62,0)),"")))</f>
        <v/>
      </c>
      <c r="L197" s="11">
        <f>IF(AND(C197&lt;&gt;"",E197&lt;&gt;"",I197&lt;&gt;"",OR(Settings!$B$10="No",I197&lt;&gt;E197)),K197*F197,0)</f>
        <v/>
      </c>
      <c r="M197" s="11">
        <f>IF(AND(AND(C197&lt;&gt;"",E197&lt;&gt;"",I197&lt;&gt;"",OR(Settings!$B$10="No",I197&lt;&gt;E197)),G197="Paid a pro",Settings!$B$9="Yes"),MAX(0,H197-K197*F197),0)</f>
        <v/>
      </c>
      <c r="N197" s="3">
        <f>IF(C197="","",IF(B197="","Enter the boat number",IF(B197&gt;Settings!$B$6,"Boat number above the boat count",IF(SUMIFS($F$5:$F$1004,$B$5:$B$1004,B197,$C$5:$C$1004,C197)&gt;1.0001,"Shares for this step add up to over 100%",IF(I197="","Waiting for sign-off",IF(AND(Settings!$B$10="Yes",I197=E197),"Needs a different member to sign off","OK"))))))</f>
        <v/>
      </c>
    </row>
    <row r="198">
      <c r="A198" s="9" t="n"/>
      <c r="B198" s="6" t="n"/>
      <c r="C198" s="6" t="n"/>
      <c r="D198" s="3">
        <f>IF(C198="","",IFERROR(INDEX(Steps!$C$5:$C$62,MATCH(C198,Steps!$A$5:$A$62,0)),""))</f>
        <v/>
      </c>
      <c r="E198" s="6" t="n"/>
      <c r="F198" s="8" t="n"/>
      <c r="G198" s="6" t="n"/>
      <c r="H198" s="7" t="n"/>
      <c r="I198" s="6" t="n"/>
      <c r="J198" s="9" t="n"/>
      <c r="K198" s="11">
        <f>IF(C198="","",N(IFERROR(INDEX(Steps!$E$5:$E$62,MATCH(C198,Steps!$A$5:$A$62,0)),"")))</f>
        <v/>
      </c>
      <c r="L198" s="11">
        <f>IF(AND(C198&lt;&gt;"",E198&lt;&gt;"",I198&lt;&gt;"",OR(Settings!$B$10="No",I198&lt;&gt;E198)),K198*F198,0)</f>
        <v/>
      </c>
      <c r="M198" s="11">
        <f>IF(AND(AND(C198&lt;&gt;"",E198&lt;&gt;"",I198&lt;&gt;"",OR(Settings!$B$10="No",I198&lt;&gt;E198)),G198="Paid a pro",Settings!$B$9="Yes"),MAX(0,H198-K198*F198),0)</f>
        <v/>
      </c>
      <c r="N198" s="3">
        <f>IF(C198="","",IF(B198="","Enter the boat number",IF(B198&gt;Settings!$B$6,"Boat number above the boat count",IF(SUMIFS($F$5:$F$1004,$B$5:$B$1004,B198,$C$5:$C$1004,C198)&gt;1.0001,"Shares for this step add up to over 100%",IF(I198="","Waiting for sign-off",IF(AND(Settings!$B$10="Yes",I198=E198),"Needs a different member to sign off","OK"))))))</f>
        <v/>
      </c>
    </row>
    <row r="199">
      <c r="A199" s="9" t="n"/>
      <c r="B199" s="6" t="n"/>
      <c r="C199" s="6" t="n"/>
      <c r="D199" s="3">
        <f>IF(C199="","",IFERROR(INDEX(Steps!$C$5:$C$62,MATCH(C199,Steps!$A$5:$A$62,0)),""))</f>
        <v/>
      </c>
      <c r="E199" s="6" t="n"/>
      <c r="F199" s="8" t="n"/>
      <c r="G199" s="6" t="n"/>
      <c r="H199" s="7" t="n"/>
      <c r="I199" s="6" t="n"/>
      <c r="J199" s="9" t="n"/>
      <c r="K199" s="11">
        <f>IF(C199="","",N(IFERROR(INDEX(Steps!$E$5:$E$62,MATCH(C199,Steps!$A$5:$A$62,0)),"")))</f>
        <v/>
      </c>
      <c r="L199" s="11">
        <f>IF(AND(C199&lt;&gt;"",E199&lt;&gt;"",I199&lt;&gt;"",OR(Settings!$B$10="No",I199&lt;&gt;E199)),K199*F199,0)</f>
        <v/>
      </c>
      <c r="M199" s="11">
        <f>IF(AND(AND(C199&lt;&gt;"",E199&lt;&gt;"",I199&lt;&gt;"",OR(Settings!$B$10="No",I199&lt;&gt;E199)),G199="Paid a pro",Settings!$B$9="Yes"),MAX(0,H199-K199*F199),0)</f>
        <v/>
      </c>
      <c r="N199" s="3">
        <f>IF(C199="","",IF(B199="","Enter the boat number",IF(B199&gt;Settings!$B$6,"Boat number above the boat count",IF(SUMIFS($F$5:$F$1004,$B$5:$B$1004,B199,$C$5:$C$1004,C199)&gt;1.0001,"Shares for this step add up to over 100%",IF(I199="","Waiting for sign-off",IF(AND(Settings!$B$10="Yes",I199=E199),"Needs a different member to sign off","OK"))))))</f>
        <v/>
      </c>
    </row>
    <row r="200">
      <c r="A200" s="9" t="n"/>
      <c r="B200" s="6" t="n"/>
      <c r="C200" s="6" t="n"/>
      <c r="D200" s="3">
        <f>IF(C200="","",IFERROR(INDEX(Steps!$C$5:$C$62,MATCH(C200,Steps!$A$5:$A$62,0)),""))</f>
        <v/>
      </c>
      <c r="E200" s="6" t="n"/>
      <c r="F200" s="8" t="n"/>
      <c r="G200" s="6" t="n"/>
      <c r="H200" s="7" t="n"/>
      <c r="I200" s="6" t="n"/>
      <c r="J200" s="9" t="n"/>
      <c r="K200" s="11">
        <f>IF(C200="","",N(IFERROR(INDEX(Steps!$E$5:$E$62,MATCH(C200,Steps!$A$5:$A$62,0)),"")))</f>
        <v/>
      </c>
      <c r="L200" s="11">
        <f>IF(AND(C200&lt;&gt;"",E200&lt;&gt;"",I200&lt;&gt;"",OR(Settings!$B$10="No",I200&lt;&gt;E200)),K200*F200,0)</f>
        <v/>
      </c>
      <c r="M200" s="11">
        <f>IF(AND(AND(C200&lt;&gt;"",E200&lt;&gt;"",I200&lt;&gt;"",OR(Settings!$B$10="No",I200&lt;&gt;E200)),G200="Paid a pro",Settings!$B$9="Yes"),MAX(0,H200-K200*F200),0)</f>
        <v/>
      </c>
      <c r="N200" s="3">
        <f>IF(C200="","",IF(B200="","Enter the boat number",IF(B200&gt;Settings!$B$6,"Boat number above the boat count",IF(SUMIFS($F$5:$F$1004,$B$5:$B$1004,B200,$C$5:$C$1004,C200)&gt;1.0001,"Shares for this step add up to over 100%",IF(I200="","Waiting for sign-off",IF(AND(Settings!$B$10="Yes",I200=E200),"Needs a different member to sign off","OK"))))))</f>
        <v/>
      </c>
    </row>
    <row r="201">
      <c r="A201" s="9" t="n"/>
      <c r="B201" s="6" t="n"/>
      <c r="C201" s="6" t="n"/>
      <c r="D201" s="3">
        <f>IF(C201="","",IFERROR(INDEX(Steps!$C$5:$C$62,MATCH(C201,Steps!$A$5:$A$62,0)),""))</f>
        <v/>
      </c>
      <c r="E201" s="6" t="n"/>
      <c r="F201" s="8" t="n"/>
      <c r="G201" s="6" t="n"/>
      <c r="H201" s="7" t="n"/>
      <c r="I201" s="6" t="n"/>
      <c r="J201" s="9" t="n"/>
      <c r="K201" s="11">
        <f>IF(C201="","",N(IFERROR(INDEX(Steps!$E$5:$E$62,MATCH(C201,Steps!$A$5:$A$62,0)),"")))</f>
        <v/>
      </c>
      <c r="L201" s="11">
        <f>IF(AND(C201&lt;&gt;"",E201&lt;&gt;"",I201&lt;&gt;"",OR(Settings!$B$10="No",I201&lt;&gt;E201)),K201*F201,0)</f>
        <v/>
      </c>
      <c r="M201" s="11">
        <f>IF(AND(AND(C201&lt;&gt;"",E201&lt;&gt;"",I201&lt;&gt;"",OR(Settings!$B$10="No",I201&lt;&gt;E201)),G201="Paid a pro",Settings!$B$9="Yes"),MAX(0,H201-K201*F201),0)</f>
        <v/>
      </c>
      <c r="N201" s="3">
        <f>IF(C201="","",IF(B201="","Enter the boat number",IF(B201&gt;Settings!$B$6,"Boat number above the boat count",IF(SUMIFS($F$5:$F$1004,$B$5:$B$1004,B201,$C$5:$C$1004,C201)&gt;1.0001,"Shares for this step add up to over 100%",IF(I201="","Waiting for sign-off",IF(AND(Settings!$B$10="Yes",I201=E201),"Needs a different member to sign off","OK"))))))</f>
        <v/>
      </c>
    </row>
    <row r="202">
      <c r="A202" s="9" t="n"/>
      <c r="B202" s="6" t="n"/>
      <c r="C202" s="6" t="n"/>
      <c r="D202" s="3">
        <f>IF(C202="","",IFERROR(INDEX(Steps!$C$5:$C$62,MATCH(C202,Steps!$A$5:$A$62,0)),""))</f>
        <v/>
      </c>
      <c r="E202" s="6" t="n"/>
      <c r="F202" s="8" t="n"/>
      <c r="G202" s="6" t="n"/>
      <c r="H202" s="7" t="n"/>
      <c r="I202" s="6" t="n"/>
      <c r="J202" s="9" t="n"/>
      <c r="K202" s="11">
        <f>IF(C202="","",N(IFERROR(INDEX(Steps!$E$5:$E$62,MATCH(C202,Steps!$A$5:$A$62,0)),"")))</f>
        <v/>
      </c>
      <c r="L202" s="11">
        <f>IF(AND(C202&lt;&gt;"",E202&lt;&gt;"",I202&lt;&gt;"",OR(Settings!$B$10="No",I202&lt;&gt;E202)),K202*F202,0)</f>
        <v/>
      </c>
      <c r="M202" s="11">
        <f>IF(AND(AND(C202&lt;&gt;"",E202&lt;&gt;"",I202&lt;&gt;"",OR(Settings!$B$10="No",I202&lt;&gt;E202)),G202="Paid a pro",Settings!$B$9="Yes"),MAX(0,H202-K202*F202),0)</f>
        <v/>
      </c>
      <c r="N202" s="3">
        <f>IF(C202="","",IF(B202="","Enter the boat number",IF(B202&gt;Settings!$B$6,"Boat number above the boat count",IF(SUMIFS($F$5:$F$1004,$B$5:$B$1004,B202,$C$5:$C$1004,C202)&gt;1.0001,"Shares for this step add up to over 100%",IF(I202="","Waiting for sign-off",IF(AND(Settings!$B$10="Yes",I202=E202),"Needs a different member to sign off","OK"))))))</f>
        <v/>
      </c>
    </row>
    <row r="203">
      <c r="A203" s="9" t="n"/>
      <c r="B203" s="6" t="n"/>
      <c r="C203" s="6" t="n"/>
      <c r="D203" s="3">
        <f>IF(C203="","",IFERROR(INDEX(Steps!$C$5:$C$62,MATCH(C203,Steps!$A$5:$A$62,0)),""))</f>
        <v/>
      </c>
      <c r="E203" s="6" t="n"/>
      <c r="F203" s="8" t="n"/>
      <c r="G203" s="6" t="n"/>
      <c r="H203" s="7" t="n"/>
      <c r="I203" s="6" t="n"/>
      <c r="J203" s="9" t="n"/>
      <c r="K203" s="11">
        <f>IF(C203="","",N(IFERROR(INDEX(Steps!$E$5:$E$62,MATCH(C203,Steps!$A$5:$A$62,0)),"")))</f>
        <v/>
      </c>
      <c r="L203" s="11">
        <f>IF(AND(C203&lt;&gt;"",E203&lt;&gt;"",I203&lt;&gt;"",OR(Settings!$B$10="No",I203&lt;&gt;E203)),K203*F203,0)</f>
        <v/>
      </c>
      <c r="M203" s="11">
        <f>IF(AND(AND(C203&lt;&gt;"",E203&lt;&gt;"",I203&lt;&gt;"",OR(Settings!$B$10="No",I203&lt;&gt;E203)),G203="Paid a pro",Settings!$B$9="Yes"),MAX(0,H203-K203*F203),0)</f>
        <v/>
      </c>
      <c r="N203" s="3">
        <f>IF(C203="","",IF(B203="","Enter the boat number",IF(B203&gt;Settings!$B$6,"Boat number above the boat count",IF(SUMIFS($F$5:$F$1004,$B$5:$B$1004,B203,$C$5:$C$1004,C203)&gt;1.0001,"Shares for this step add up to over 100%",IF(I203="","Waiting for sign-off",IF(AND(Settings!$B$10="Yes",I203=E203),"Needs a different member to sign off","OK"))))))</f>
        <v/>
      </c>
    </row>
    <row r="204">
      <c r="A204" s="9" t="n"/>
      <c r="B204" s="6" t="n"/>
      <c r="C204" s="6" t="n"/>
      <c r="D204" s="3">
        <f>IF(C204="","",IFERROR(INDEX(Steps!$C$5:$C$62,MATCH(C204,Steps!$A$5:$A$62,0)),""))</f>
        <v/>
      </c>
      <c r="E204" s="6" t="n"/>
      <c r="F204" s="8" t="n"/>
      <c r="G204" s="6" t="n"/>
      <c r="H204" s="7" t="n"/>
      <c r="I204" s="6" t="n"/>
      <c r="J204" s="9" t="n"/>
      <c r="K204" s="11">
        <f>IF(C204="","",N(IFERROR(INDEX(Steps!$E$5:$E$62,MATCH(C204,Steps!$A$5:$A$62,0)),"")))</f>
        <v/>
      </c>
      <c r="L204" s="11">
        <f>IF(AND(C204&lt;&gt;"",E204&lt;&gt;"",I204&lt;&gt;"",OR(Settings!$B$10="No",I204&lt;&gt;E204)),K204*F204,0)</f>
        <v/>
      </c>
      <c r="M204" s="11">
        <f>IF(AND(AND(C204&lt;&gt;"",E204&lt;&gt;"",I204&lt;&gt;"",OR(Settings!$B$10="No",I204&lt;&gt;E204)),G204="Paid a pro",Settings!$B$9="Yes"),MAX(0,H204-K204*F204),0)</f>
        <v/>
      </c>
      <c r="N204" s="3">
        <f>IF(C204="","",IF(B204="","Enter the boat number",IF(B204&gt;Settings!$B$6,"Boat number above the boat count",IF(SUMIFS($F$5:$F$1004,$B$5:$B$1004,B204,$C$5:$C$1004,C204)&gt;1.0001,"Shares for this step add up to over 100%",IF(I204="","Waiting for sign-off",IF(AND(Settings!$B$10="Yes",I204=E204),"Needs a different member to sign off","OK"))))))</f>
        <v/>
      </c>
    </row>
    <row r="205">
      <c r="A205" s="9" t="n"/>
      <c r="B205" s="6" t="n"/>
      <c r="C205" s="6" t="n"/>
      <c r="D205" s="3">
        <f>IF(C205="","",IFERROR(INDEX(Steps!$C$5:$C$62,MATCH(C205,Steps!$A$5:$A$62,0)),""))</f>
        <v/>
      </c>
      <c r="E205" s="6" t="n"/>
      <c r="F205" s="8" t="n"/>
      <c r="G205" s="6" t="n"/>
      <c r="H205" s="7" t="n"/>
      <c r="I205" s="6" t="n"/>
      <c r="J205" s="9" t="n"/>
      <c r="K205" s="11">
        <f>IF(C205="","",N(IFERROR(INDEX(Steps!$E$5:$E$62,MATCH(C205,Steps!$A$5:$A$62,0)),"")))</f>
        <v/>
      </c>
      <c r="L205" s="11">
        <f>IF(AND(C205&lt;&gt;"",E205&lt;&gt;"",I205&lt;&gt;"",OR(Settings!$B$10="No",I205&lt;&gt;E205)),K205*F205,0)</f>
        <v/>
      </c>
      <c r="M205" s="11">
        <f>IF(AND(AND(C205&lt;&gt;"",E205&lt;&gt;"",I205&lt;&gt;"",OR(Settings!$B$10="No",I205&lt;&gt;E205)),G205="Paid a pro",Settings!$B$9="Yes"),MAX(0,H205-K205*F205),0)</f>
        <v/>
      </c>
      <c r="N205" s="3">
        <f>IF(C205="","",IF(B205="","Enter the boat number",IF(B205&gt;Settings!$B$6,"Boat number above the boat count",IF(SUMIFS($F$5:$F$1004,$B$5:$B$1004,B205,$C$5:$C$1004,C205)&gt;1.0001,"Shares for this step add up to over 100%",IF(I205="","Waiting for sign-off",IF(AND(Settings!$B$10="Yes",I205=E205),"Needs a different member to sign off","OK"))))))</f>
        <v/>
      </c>
    </row>
    <row r="206">
      <c r="A206" s="9" t="n"/>
      <c r="B206" s="6" t="n"/>
      <c r="C206" s="6" t="n"/>
      <c r="D206" s="3">
        <f>IF(C206="","",IFERROR(INDEX(Steps!$C$5:$C$62,MATCH(C206,Steps!$A$5:$A$62,0)),""))</f>
        <v/>
      </c>
      <c r="E206" s="6" t="n"/>
      <c r="F206" s="8" t="n"/>
      <c r="G206" s="6" t="n"/>
      <c r="H206" s="7" t="n"/>
      <c r="I206" s="6" t="n"/>
      <c r="J206" s="9" t="n"/>
      <c r="K206" s="11">
        <f>IF(C206="","",N(IFERROR(INDEX(Steps!$E$5:$E$62,MATCH(C206,Steps!$A$5:$A$62,0)),"")))</f>
        <v/>
      </c>
      <c r="L206" s="11">
        <f>IF(AND(C206&lt;&gt;"",E206&lt;&gt;"",I206&lt;&gt;"",OR(Settings!$B$10="No",I206&lt;&gt;E206)),K206*F206,0)</f>
        <v/>
      </c>
      <c r="M206" s="11">
        <f>IF(AND(AND(C206&lt;&gt;"",E206&lt;&gt;"",I206&lt;&gt;"",OR(Settings!$B$10="No",I206&lt;&gt;E206)),G206="Paid a pro",Settings!$B$9="Yes"),MAX(0,H206-K206*F206),0)</f>
        <v/>
      </c>
      <c r="N206" s="3">
        <f>IF(C206="","",IF(B206="","Enter the boat number",IF(B206&gt;Settings!$B$6,"Boat number above the boat count",IF(SUMIFS($F$5:$F$1004,$B$5:$B$1004,B206,$C$5:$C$1004,C206)&gt;1.0001,"Shares for this step add up to over 100%",IF(I206="","Waiting for sign-off",IF(AND(Settings!$B$10="Yes",I206=E206),"Needs a different member to sign off","OK"))))))</f>
        <v/>
      </c>
    </row>
    <row r="207">
      <c r="A207" s="9" t="n"/>
      <c r="B207" s="6" t="n"/>
      <c r="C207" s="6" t="n"/>
      <c r="D207" s="3">
        <f>IF(C207="","",IFERROR(INDEX(Steps!$C$5:$C$62,MATCH(C207,Steps!$A$5:$A$62,0)),""))</f>
        <v/>
      </c>
      <c r="E207" s="6" t="n"/>
      <c r="F207" s="8" t="n"/>
      <c r="G207" s="6" t="n"/>
      <c r="H207" s="7" t="n"/>
      <c r="I207" s="6" t="n"/>
      <c r="J207" s="9" t="n"/>
      <c r="K207" s="11">
        <f>IF(C207="","",N(IFERROR(INDEX(Steps!$E$5:$E$62,MATCH(C207,Steps!$A$5:$A$62,0)),"")))</f>
        <v/>
      </c>
      <c r="L207" s="11">
        <f>IF(AND(C207&lt;&gt;"",E207&lt;&gt;"",I207&lt;&gt;"",OR(Settings!$B$10="No",I207&lt;&gt;E207)),K207*F207,0)</f>
        <v/>
      </c>
      <c r="M207" s="11">
        <f>IF(AND(AND(C207&lt;&gt;"",E207&lt;&gt;"",I207&lt;&gt;"",OR(Settings!$B$10="No",I207&lt;&gt;E207)),G207="Paid a pro",Settings!$B$9="Yes"),MAX(0,H207-K207*F207),0)</f>
        <v/>
      </c>
      <c r="N207" s="3">
        <f>IF(C207="","",IF(B207="","Enter the boat number",IF(B207&gt;Settings!$B$6,"Boat number above the boat count",IF(SUMIFS($F$5:$F$1004,$B$5:$B$1004,B207,$C$5:$C$1004,C207)&gt;1.0001,"Shares for this step add up to over 100%",IF(I207="","Waiting for sign-off",IF(AND(Settings!$B$10="Yes",I207=E207),"Needs a different member to sign off","OK"))))))</f>
        <v/>
      </c>
    </row>
    <row r="208">
      <c r="A208" s="9" t="n"/>
      <c r="B208" s="6" t="n"/>
      <c r="C208" s="6" t="n"/>
      <c r="D208" s="3">
        <f>IF(C208="","",IFERROR(INDEX(Steps!$C$5:$C$62,MATCH(C208,Steps!$A$5:$A$62,0)),""))</f>
        <v/>
      </c>
      <c r="E208" s="6" t="n"/>
      <c r="F208" s="8" t="n"/>
      <c r="G208" s="6" t="n"/>
      <c r="H208" s="7" t="n"/>
      <c r="I208" s="6" t="n"/>
      <c r="J208" s="9" t="n"/>
      <c r="K208" s="11">
        <f>IF(C208="","",N(IFERROR(INDEX(Steps!$E$5:$E$62,MATCH(C208,Steps!$A$5:$A$62,0)),"")))</f>
        <v/>
      </c>
      <c r="L208" s="11">
        <f>IF(AND(C208&lt;&gt;"",E208&lt;&gt;"",I208&lt;&gt;"",OR(Settings!$B$10="No",I208&lt;&gt;E208)),K208*F208,0)</f>
        <v/>
      </c>
      <c r="M208" s="11">
        <f>IF(AND(AND(C208&lt;&gt;"",E208&lt;&gt;"",I208&lt;&gt;"",OR(Settings!$B$10="No",I208&lt;&gt;E208)),G208="Paid a pro",Settings!$B$9="Yes"),MAX(0,H208-K208*F208),0)</f>
        <v/>
      </c>
      <c r="N208" s="3">
        <f>IF(C208="","",IF(B208="","Enter the boat number",IF(B208&gt;Settings!$B$6,"Boat number above the boat count",IF(SUMIFS($F$5:$F$1004,$B$5:$B$1004,B208,$C$5:$C$1004,C208)&gt;1.0001,"Shares for this step add up to over 100%",IF(I208="","Waiting for sign-off",IF(AND(Settings!$B$10="Yes",I208=E208),"Needs a different member to sign off","OK"))))))</f>
        <v/>
      </c>
    </row>
    <row r="209">
      <c r="A209" s="9" t="n"/>
      <c r="B209" s="6" t="n"/>
      <c r="C209" s="6" t="n"/>
      <c r="D209" s="3">
        <f>IF(C209="","",IFERROR(INDEX(Steps!$C$5:$C$62,MATCH(C209,Steps!$A$5:$A$62,0)),""))</f>
        <v/>
      </c>
      <c r="E209" s="6" t="n"/>
      <c r="F209" s="8" t="n"/>
      <c r="G209" s="6" t="n"/>
      <c r="H209" s="7" t="n"/>
      <c r="I209" s="6" t="n"/>
      <c r="J209" s="9" t="n"/>
      <c r="K209" s="11">
        <f>IF(C209="","",N(IFERROR(INDEX(Steps!$E$5:$E$62,MATCH(C209,Steps!$A$5:$A$62,0)),"")))</f>
        <v/>
      </c>
      <c r="L209" s="11">
        <f>IF(AND(C209&lt;&gt;"",E209&lt;&gt;"",I209&lt;&gt;"",OR(Settings!$B$10="No",I209&lt;&gt;E209)),K209*F209,0)</f>
        <v/>
      </c>
      <c r="M209" s="11">
        <f>IF(AND(AND(C209&lt;&gt;"",E209&lt;&gt;"",I209&lt;&gt;"",OR(Settings!$B$10="No",I209&lt;&gt;E209)),G209="Paid a pro",Settings!$B$9="Yes"),MAX(0,H209-K209*F209),0)</f>
        <v/>
      </c>
      <c r="N209" s="3">
        <f>IF(C209="","",IF(B209="","Enter the boat number",IF(B209&gt;Settings!$B$6,"Boat number above the boat count",IF(SUMIFS($F$5:$F$1004,$B$5:$B$1004,B209,$C$5:$C$1004,C209)&gt;1.0001,"Shares for this step add up to over 100%",IF(I209="","Waiting for sign-off",IF(AND(Settings!$B$10="Yes",I209=E209),"Needs a different member to sign off","OK"))))))</f>
        <v/>
      </c>
    </row>
    <row r="210">
      <c r="A210" s="9" t="n"/>
      <c r="B210" s="6" t="n"/>
      <c r="C210" s="6" t="n"/>
      <c r="D210" s="3">
        <f>IF(C210="","",IFERROR(INDEX(Steps!$C$5:$C$62,MATCH(C210,Steps!$A$5:$A$62,0)),""))</f>
        <v/>
      </c>
      <c r="E210" s="6" t="n"/>
      <c r="F210" s="8" t="n"/>
      <c r="G210" s="6" t="n"/>
      <c r="H210" s="7" t="n"/>
      <c r="I210" s="6" t="n"/>
      <c r="J210" s="9" t="n"/>
      <c r="K210" s="11">
        <f>IF(C210="","",N(IFERROR(INDEX(Steps!$E$5:$E$62,MATCH(C210,Steps!$A$5:$A$62,0)),"")))</f>
        <v/>
      </c>
      <c r="L210" s="11">
        <f>IF(AND(C210&lt;&gt;"",E210&lt;&gt;"",I210&lt;&gt;"",OR(Settings!$B$10="No",I210&lt;&gt;E210)),K210*F210,0)</f>
        <v/>
      </c>
      <c r="M210" s="11">
        <f>IF(AND(AND(C210&lt;&gt;"",E210&lt;&gt;"",I210&lt;&gt;"",OR(Settings!$B$10="No",I210&lt;&gt;E210)),G210="Paid a pro",Settings!$B$9="Yes"),MAX(0,H210-K210*F210),0)</f>
        <v/>
      </c>
      <c r="N210" s="3">
        <f>IF(C210="","",IF(B210="","Enter the boat number",IF(B210&gt;Settings!$B$6,"Boat number above the boat count",IF(SUMIFS($F$5:$F$1004,$B$5:$B$1004,B210,$C$5:$C$1004,C210)&gt;1.0001,"Shares for this step add up to over 100%",IF(I210="","Waiting for sign-off",IF(AND(Settings!$B$10="Yes",I210=E210),"Needs a different member to sign off","OK"))))))</f>
        <v/>
      </c>
    </row>
    <row r="211">
      <c r="A211" s="9" t="n"/>
      <c r="B211" s="6" t="n"/>
      <c r="C211" s="6" t="n"/>
      <c r="D211" s="3">
        <f>IF(C211="","",IFERROR(INDEX(Steps!$C$5:$C$62,MATCH(C211,Steps!$A$5:$A$62,0)),""))</f>
        <v/>
      </c>
      <c r="E211" s="6" t="n"/>
      <c r="F211" s="8" t="n"/>
      <c r="G211" s="6" t="n"/>
      <c r="H211" s="7" t="n"/>
      <c r="I211" s="6" t="n"/>
      <c r="J211" s="9" t="n"/>
      <c r="K211" s="11">
        <f>IF(C211="","",N(IFERROR(INDEX(Steps!$E$5:$E$62,MATCH(C211,Steps!$A$5:$A$62,0)),"")))</f>
        <v/>
      </c>
      <c r="L211" s="11">
        <f>IF(AND(C211&lt;&gt;"",E211&lt;&gt;"",I211&lt;&gt;"",OR(Settings!$B$10="No",I211&lt;&gt;E211)),K211*F211,0)</f>
        <v/>
      </c>
      <c r="M211" s="11">
        <f>IF(AND(AND(C211&lt;&gt;"",E211&lt;&gt;"",I211&lt;&gt;"",OR(Settings!$B$10="No",I211&lt;&gt;E211)),G211="Paid a pro",Settings!$B$9="Yes"),MAX(0,H211-K211*F211),0)</f>
        <v/>
      </c>
      <c r="N211" s="3">
        <f>IF(C211="","",IF(B211="","Enter the boat number",IF(B211&gt;Settings!$B$6,"Boat number above the boat count",IF(SUMIFS($F$5:$F$1004,$B$5:$B$1004,B211,$C$5:$C$1004,C211)&gt;1.0001,"Shares for this step add up to over 100%",IF(I211="","Waiting for sign-off",IF(AND(Settings!$B$10="Yes",I211=E211),"Needs a different member to sign off","OK"))))))</f>
        <v/>
      </c>
    </row>
    <row r="212">
      <c r="A212" s="9" t="n"/>
      <c r="B212" s="6" t="n"/>
      <c r="C212" s="6" t="n"/>
      <c r="D212" s="3">
        <f>IF(C212="","",IFERROR(INDEX(Steps!$C$5:$C$62,MATCH(C212,Steps!$A$5:$A$62,0)),""))</f>
        <v/>
      </c>
      <c r="E212" s="6" t="n"/>
      <c r="F212" s="8" t="n"/>
      <c r="G212" s="6" t="n"/>
      <c r="H212" s="7" t="n"/>
      <c r="I212" s="6" t="n"/>
      <c r="J212" s="9" t="n"/>
      <c r="K212" s="11">
        <f>IF(C212="","",N(IFERROR(INDEX(Steps!$E$5:$E$62,MATCH(C212,Steps!$A$5:$A$62,0)),"")))</f>
        <v/>
      </c>
      <c r="L212" s="11">
        <f>IF(AND(C212&lt;&gt;"",E212&lt;&gt;"",I212&lt;&gt;"",OR(Settings!$B$10="No",I212&lt;&gt;E212)),K212*F212,0)</f>
        <v/>
      </c>
      <c r="M212" s="11">
        <f>IF(AND(AND(C212&lt;&gt;"",E212&lt;&gt;"",I212&lt;&gt;"",OR(Settings!$B$10="No",I212&lt;&gt;E212)),G212="Paid a pro",Settings!$B$9="Yes"),MAX(0,H212-K212*F212),0)</f>
        <v/>
      </c>
      <c r="N212" s="3">
        <f>IF(C212="","",IF(B212="","Enter the boat number",IF(B212&gt;Settings!$B$6,"Boat number above the boat count",IF(SUMIFS($F$5:$F$1004,$B$5:$B$1004,B212,$C$5:$C$1004,C212)&gt;1.0001,"Shares for this step add up to over 100%",IF(I212="","Waiting for sign-off",IF(AND(Settings!$B$10="Yes",I212=E212),"Needs a different member to sign off","OK"))))))</f>
        <v/>
      </c>
    </row>
    <row r="213">
      <c r="A213" s="9" t="n"/>
      <c r="B213" s="6" t="n"/>
      <c r="C213" s="6" t="n"/>
      <c r="D213" s="3">
        <f>IF(C213="","",IFERROR(INDEX(Steps!$C$5:$C$62,MATCH(C213,Steps!$A$5:$A$62,0)),""))</f>
        <v/>
      </c>
      <c r="E213" s="6" t="n"/>
      <c r="F213" s="8" t="n"/>
      <c r="G213" s="6" t="n"/>
      <c r="H213" s="7" t="n"/>
      <c r="I213" s="6" t="n"/>
      <c r="J213" s="9" t="n"/>
      <c r="K213" s="11">
        <f>IF(C213="","",N(IFERROR(INDEX(Steps!$E$5:$E$62,MATCH(C213,Steps!$A$5:$A$62,0)),"")))</f>
        <v/>
      </c>
      <c r="L213" s="11">
        <f>IF(AND(C213&lt;&gt;"",E213&lt;&gt;"",I213&lt;&gt;"",OR(Settings!$B$10="No",I213&lt;&gt;E213)),K213*F213,0)</f>
        <v/>
      </c>
      <c r="M213" s="11">
        <f>IF(AND(AND(C213&lt;&gt;"",E213&lt;&gt;"",I213&lt;&gt;"",OR(Settings!$B$10="No",I213&lt;&gt;E213)),G213="Paid a pro",Settings!$B$9="Yes"),MAX(0,H213-K213*F213),0)</f>
        <v/>
      </c>
      <c r="N213" s="3">
        <f>IF(C213="","",IF(B213="","Enter the boat number",IF(B213&gt;Settings!$B$6,"Boat number above the boat count",IF(SUMIFS($F$5:$F$1004,$B$5:$B$1004,B213,$C$5:$C$1004,C213)&gt;1.0001,"Shares for this step add up to over 100%",IF(I213="","Waiting for sign-off",IF(AND(Settings!$B$10="Yes",I213=E213),"Needs a different member to sign off","OK"))))))</f>
        <v/>
      </c>
    </row>
    <row r="214">
      <c r="A214" s="9" t="n"/>
      <c r="B214" s="6" t="n"/>
      <c r="C214" s="6" t="n"/>
      <c r="D214" s="3">
        <f>IF(C214="","",IFERROR(INDEX(Steps!$C$5:$C$62,MATCH(C214,Steps!$A$5:$A$62,0)),""))</f>
        <v/>
      </c>
      <c r="E214" s="6" t="n"/>
      <c r="F214" s="8" t="n"/>
      <c r="G214" s="6" t="n"/>
      <c r="H214" s="7" t="n"/>
      <c r="I214" s="6" t="n"/>
      <c r="J214" s="9" t="n"/>
      <c r="K214" s="11">
        <f>IF(C214="","",N(IFERROR(INDEX(Steps!$E$5:$E$62,MATCH(C214,Steps!$A$5:$A$62,0)),"")))</f>
        <v/>
      </c>
      <c r="L214" s="11">
        <f>IF(AND(C214&lt;&gt;"",E214&lt;&gt;"",I214&lt;&gt;"",OR(Settings!$B$10="No",I214&lt;&gt;E214)),K214*F214,0)</f>
        <v/>
      </c>
      <c r="M214" s="11">
        <f>IF(AND(AND(C214&lt;&gt;"",E214&lt;&gt;"",I214&lt;&gt;"",OR(Settings!$B$10="No",I214&lt;&gt;E214)),G214="Paid a pro",Settings!$B$9="Yes"),MAX(0,H214-K214*F214),0)</f>
        <v/>
      </c>
      <c r="N214" s="3">
        <f>IF(C214="","",IF(B214="","Enter the boat number",IF(B214&gt;Settings!$B$6,"Boat number above the boat count",IF(SUMIFS($F$5:$F$1004,$B$5:$B$1004,B214,$C$5:$C$1004,C214)&gt;1.0001,"Shares for this step add up to over 100%",IF(I214="","Waiting for sign-off",IF(AND(Settings!$B$10="Yes",I214=E214),"Needs a different member to sign off","OK"))))))</f>
        <v/>
      </c>
    </row>
    <row r="215">
      <c r="A215" s="9" t="n"/>
      <c r="B215" s="6" t="n"/>
      <c r="C215" s="6" t="n"/>
      <c r="D215" s="3">
        <f>IF(C215="","",IFERROR(INDEX(Steps!$C$5:$C$62,MATCH(C215,Steps!$A$5:$A$62,0)),""))</f>
        <v/>
      </c>
      <c r="E215" s="6" t="n"/>
      <c r="F215" s="8" t="n"/>
      <c r="G215" s="6" t="n"/>
      <c r="H215" s="7" t="n"/>
      <c r="I215" s="6" t="n"/>
      <c r="J215" s="9" t="n"/>
      <c r="K215" s="11">
        <f>IF(C215="","",N(IFERROR(INDEX(Steps!$E$5:$E$62,MATCH(C215,Steps!$A$5:$A$62,0)),"")))</f>
        <v/>
      </c>
      <c r="L215" s="11">
        <f>IF(AND(C215&lt;&gt;"",E215&lt;&gt;"",I215&lt;&gt;"",OR(Settings!$B$10="No",I215&lt;&gt;E215)),K215*F215,0)</f>
        <v/>
      </c>
      <c r="M215" s="11">
        <f>IF(AND(AND(C215&lt;&gt;"",E215&lt;&gt;"",I215&lt;&gt;"",OR(Settings!$B$10="No",I215&lt;&gt;E215)),G215="Paid a pro",Settings!$B$9="Yes"),MAX(0,H215-K215*F215),0)</f>
        <v/>
      </c>
      <c r="N215" s="3">
        <f>IF(C215="","",IF(B215="","Enter the boat number",IF(B215&gt;Settings!$B$6,"Boat number above the boat count",IF(SUMIFS($F$5:$F$1004,$B$5:$B$1004,B215,$C$5:$C$1004,C215)&gt;1.0001,"Shares for this step add up to over 100%",IF(I215="","Waiting for sign-off",IF(AND(Settings!$B$10="Yes",I215=E215),"Needs a different member to sign off","OK"))))))</f>
        <v/>
      </c>
    </row>
    <row r="216">
      <c r="A216" s="9" t="n"/>
      <c r="B216" s="6" t="n"/>
      <c r="C216" s="6" t="n"/>
      <c r="D216" s="3">
        <f>IF(C216="","",IFERROR(INDEX(Steps!$C$5:$C$62,MATCH(C216,Steps!$A$5:$A$62,0)),""))</f>
        <v/>
      </c>
      <c r="E216" s="6" t="n"/>
      <c r="F216" s="8" t="n"/>
      <c r="G216" s="6" t="n"/>
      <c r="H216" s="7" t="n"/>
      <c r="I216" s="6" t="n"/>
      <c r="J216" s="9" t="n"/>
      <c r="K216" s="11">
        <f>IF(C216="","",N(IFERROR(INDEX(Steps!$E$5:$E$62,MATCH(C216,Steps!$A$5:$A$62,0)),"")))</f>
        <v/>
      </c>
      <c r="L216" s="11">
        <f>IF(AND(C216&lt;&gt;"",E216&lt;&gt;"",I216&lt;&gt;"",OR(Settings!$B$10="No",I216&lt;&gt;E216)),K216*F216,0)</f>
        <v/>
      </c>
      <c r="M216" s="11">
        <f>IF(AND(AND(C216&lt;&gt;"",E216&lt;&gt;"",I216&lt;&gt;"",OR(Settings!$B$10="No",I216&lt;&gt;E216)),G216="Paid a pro",Settings!$B$9="Yes"),MAX(0,H216-K216*F216),0)</f>
        <v/>
      </c>
      <c r="N216" s="3">
        <f>IF(C216="","",IF(B216="","Enter the boat number",IF(B216&gt;Settings!$B$6,"Boat number above the boat count",IF(SUMIFS($F$5:$F$1004,$B$5:$B$1004,B216,$C$5:$C$1004,C216)&gt;1.0001,"Shares for this step add up to over 100%",IF(I216="","Waiting for sign-off",IF(AND(Settings!$B$10="Yes",I216=E216),"Needs a different member to sign off","OK"))))))</f>
        <v/>
      </c>
    </row>
    <row r="217">
      <c r="A217" s="9" t="n"/>
      <c r="B217" s="6" t="n"/>
      <c r="C217" s="6" t="n"/>
      <c r="D217" s="3">
        <f>IF(C217="","",IFERROR(INDEX(Steps!$C$5:$C$62,MATCH(C217,Steps!$A$5:$A$62,0)),""))</f>
        <v/>
      </c>
      <c r="E217" s="6" t="n"/>
      <c r="F217" s="8" t="n"/>
      <c r="G217" s="6" t="n"/>
      <c r="H217" s="7" t="n"/>
      <c r="I217" s="6" t="n"/>
      <c r="J217" s="9" t="n"/>
      <c r="K217" s="11">
        <f>IF(C217="","",N(IFERROR(INDEX(Steps!$E$5:$E$62,MATCH(C217,Steps!$A$5:$A$62,0)),"")))</f>
        <v/>
      </c>
      <c r="L217" s="11">
        <f>IF(AND(C217&lt;&gt;"",E217&lt;&gt;"",I217&lt;&gt;"",OR(Settings!$B$10="No",I217&lt;&gt;E217)),K217*F217,0)</f>
        <v/>
      </c>
      <c r="M217" s="11">
        <f>IF(AND(AND(C217&lt;&gt;"",E217&lt;&gt;"",I217&lt;&gt;"",OR(Settings!$B$10="No",I217&lt;&gt;E217)),G217="Paid a pro",Settings!$B$9="Yes"),MAX(0,H217-K217*F217),0)</f>
        <v/>
      </c>
      <c r="N217" s="3">
        <f>IF(C217="","",IF(B217="","Enter the boat number",IF(B217&gt;Settings!$B$6,"Boat number above the boat count",IF(SUMIFS($F$5:$F$1004,$B$5:$B$1004,B217,$C$5:$C$1004,C217)&gt;1.0001,"Shares for this step add up to over 100%",IF(I217="","Waiting for sign-off",IF(AND(Settings!$B$10="Yes",I217=E217),"Needs a different member to sign off","OK"))))))</f>
        <v/>
      </c>
    </row>
    <row r="218">
      <c r="A218" s="9" t="n"/>
      <c r="B218" s="6" t="n"/>
      <c r="C218" s="6" t="n"/>
      <c r="D218" s="3">
        <f>IF(C218="","",IFERROR(INDEX(Steps!$C$5:$C$62,MATCH(C218,Steps!$A$5:$A$62,0)),""))</f>
        <v/>
      </c>
      <c r="E218" s="6" t="n"/>
      <c r="F218" s="8" t="n"/>
      <c r="G218" s="6" t="n"/>
      <c r="H218" s="7" t="n"/>
      <c r="I218" s="6" t="n"/>
      <c r="J218" s="9" t="n"/>
      <c r="K218" s="11">
        <f>IF(C218="","",N(IFERROR(INDEX(Steps!$E$5:$E$62,MATCH(C218,Steps!$A$5:$A$62,0)),"")))</f>
        <v/>
      </c>
      <c r="L218" s="11">
        <f>IF(AND(C218&lt;&gt;"",E218&lt;&gt;"",I218&lt;&gt;"",OR(Settings!$B$10="No",I218&lt;&gt;E218)),K218*F218,0)</f>
        <v/>
      </c>
      <c r="M218" s="11">
        <f>IF(AND(AND(C218&lt;&gt;"",E218&lt;&gt;"",I218&lt;&gt;"",OR(Settings!$B$10="No",I218&lt;&gt;E218)),G218="Paid a pro",Settings!$B$9="Yes"),MAX(0,H218-K218*F218),0)</f>
        <v/>
      </c>
      <c r="N218" s="3">
        <f>IF(C218="","",IF(B218="","Enter the boat number",IF(B218&gt;Settings!$B$6,"Boat number above the boat count",IF(SUMIFS($F$5:$F$1004,$B$5:$B$1004,B218,$C$5:$C$1004,C218)&gt;1.0001,"Shares for this step add up to over 100%",IF(I218="","Waiting for sign-off",IF(AND(Settings!$B$10="Yes",I218=E218),"Needs a different member to sign off","OK"))))))</f>
        <v/>
      </c>
    </row>
    <row r="219">
      <c r="A219" s="9" t="n"/>
      <c r="B219" s="6" t="n"/>
      <c r="C219" s="6" t="n"/>
      <c r="D219" s="3">
        <f>IF(C219="","",IFERROR(INDEX(Steps!$C$5:$C$62,MATCH(C219,Steps!$A$5:$A$62,0)),""))</f>
        <v/>
      </c>
      <c r="E219" s="6" t="n"/>
      <c r="F219" s="8" t="n"/>
      <c r="G219" s="6" t="n"/>
      <c r="H219" s="7" t="n"/>
      <c r="I219" s="6" t="n"/>
      <c r="J219" s="9" t="n"/>
      <c r="K219" s="11">
        <f>IF(C219="","",N(IFERROR(INDEX(Steps!$E$5:$E$62,MATCH(C219,Steps!$A$5:$A$62,0)),"")))</f>
        <v/>
      </c>
      <c r="L219" s="11">
        <f>IF(AND(C219&lt;&gt;"",E219&lt;&gt;"",I219&lt;&gt;"",OR(Settings!$B$10="No",I219&lt;&gt;E219)),K219*F219,0)</f>
        <v/>
      </c>
      <c r="M219" s="11">
        <f>IF(AND(AND(C219&lt;&gt;"",E219&lt;&gt;"",I219&lt;&gt;"",OR(Settings!$B$10="No",I219&lt;&gt;E219)),G219="Paid a pro",Settings!$B$9="Yes"),MAX(0,H219-K219*F219),0)</f>
        <v/>
      </c>
      <c r="N219" s="3">
        <f>IF(C219="","",IF(B219="","Enter the boat number",IF(B219&gt;Settings!$B$6,"Boat number above the boat count",IF(SUMIFS($F$5:$F$1004,$B$5:$B$1004,B219,$C$5:$C$1004,C219)&gt;1.0001,"Shares for this step add up to over 100%",IF(I219="","Waiting for sign-off",IF(AND(Settings!$B$10="Yes",I219=E219),"Needs a different member to sign off","OK"))))))</f>
        <v/>
      </c>
    </row>
    <row r="220">
      <c r="A220" s="9" t="n"/>
      <c r="B220" s="6" t="n"/>
      <c r="C220" s="6" t="n"/>
      <c r="D220" s="3">
        <f>IF(C220="","",IFERROR(INDEX(Steps!$C$5:$C$62,MATCH(C220,Steps!$A$5:$A$62,0)),""))</f>
        <v/>
      </c>
      <c r="E220" s="6" t="n"/>
      <c r="F220" s="8" t="n"/>
      <c r="G220" s="6" t="n"/>
      <c r="H220" s="7" t="n"/>
      <c r="I220" s="6" t="n"/>
      <c r="J220" s="9" t="n"/>
      <c r="K220" s="11">
        <f>IF(C220="","",N(IFERROR(INDEX(Steps!$E$5:$E$62,MATCH(C220,Steps!$A$5:$A$62,0)),"")))</f>
        <v/>
      </c>
      <c r="L220" s="11">
        <f>IF(AND(C220&lt;&gt;"",E220&lt;&gt;"",I220&lt;&gt;"",OR(Settings!$B$10="No",I220&lt;&gt;E220)),K220*F220,0)</f>
        <v/>
      </c>
      <c r="M220" s="11">
        <f>IF(AND(AND(C220&lt;&gt;"",E220&lt;&gt;"",I220&lt;&gt;"",OR(Settings!$B$10="No",I220&lt;&gt;E220)),G220="Paid a pro",Settings!$B$9="Yes"),MAX(0,H220-K220*F220),0)</f>
        <v/>
      </c>
      <c r="N220" s="3">
        <f>IF(C220="","",IF(B220="","Enter the boat number",IF(B220&gt;Settings!$B$6,"Boat number above the boat count",IF(SUMIFS($F$5:$F$1004,$B$5:$B$1004,B220,$C$5:$C$1004,C220)&gt;1.0001,"Shares for this step add up to over 100%",IF(I220="","Waiting for sign-off",IF(AND(Settings!$B$10="Yes",I220=E220),"Needs a different member to sign off","OK"))))))</f>
        <v/>
      </c>
    </row>
    <row r="221">
      <c r="A221" s="9" t="n"/>
      <c r="B221" s="6" t="n"/>
      <c r="C221" s="6" t="n"/>
      <c r="D221" s="3">
        <f>IF(C221="","",IFERROR(INDEX(Steps!$C$5:$C$62,MATCH(C221,Steps!$A$5:$A$62,0)),""))</f>
        <v/>
      </c>
      <c r="E221" s="6" t="n"/>
      <c r="F221" s="8" t="n"/>
      <c r="G221" s="6" t="n"/>
      <c r="H221" s="7" t="n"/>
      <c r="I221" s="6" t="n"/>
      <c r="J221" s="9" t="n"/>
      <c r="K221" s="11">
        <f>IF(C221="","",N(IFERROR(INDEX(Steps!$E$5:$E$62,MATCH(C221,Steps!$A$5:$A$62,0)),"")))</f>
        <v/>
      </c>
      <c r="L221" s="11">
        <f>IF(AND(C221&lt;&gt;"",E221&lt;&gt;"",I221&lt;&gt;"",OR(Settings!$B$10="No",I221&lt;&gt;E221)),K221*F221,0)</f>
        <v/>
      </c>
      <c r="M221" s="11">
        <f>IF(AND(AND(C221&lt;&gt;"",E221&lt;&gt;"",I221&lt;&gt;"",OR(Settings!$B$10="No",I221&lt;&gt;E221)),G221="Paid a pro",Settings!$B$9="Yes"),MAX(0,H221-K221*F221),0)</f>
        <v/>
      </c>
      <c r="N221" s="3">
        <f>IF(C221="","",IF(B221="","Enter the boat number",IF(B221&gt;Settings!$B$6,"Boat number above the boat count",IF(SUMIFS($F$5:$F$1004,$B$5:$B$1004,B221,$C$5:$C$1004,C221)&gt;1.0001,"Shares for this step add up to over 100%",IF(I221="","Waiting for sign-off",IF(AND(Settings!$B$10="Yes",I221=E221),"Needs a different member to sign off","OK"))))))</f>
        <v/>
      </c>
    </row>
    <row r="222">
      <c r="A222" s="9" t="n"/>
      <c r="B222" s="6" t="n"/>
      <c r="C222" s="6" t="n"/>
      <c r="D222" s="3">
        <f>IF(C222="","",IFERROR(INDEX(Steps!$C$5:$C$62,MATCH(C222,Steps!$A$5:$A$62,0)),""))</f>
        <v/>
      </c>
      <c r="E222" s="6" t="n"/>
      <c r="F222" s="8" t="n"/>
      <c r="G222" s="6" t="n"/>
      <c r="H222" s="7" t="n"/>
      <c r="I222" s="6" t="n"/>
      <c r="J222" s="9" t="n"/>
      <c r="K222" s="11">
        <f>IF(C222="","",N(IFERROR(INDEX(Steps!$E$5:$E$62,MATCH(C222,Steps!$A$5:$A$62,0)),"")))</f>
        <v/>
      </c>
      <c r="L222" s="11">
        <f>IF(AND(C222&lt;&gt;"",E222&lt;&gt;"",I222&lt;&gt;"",OR(Settings!$B$10="No",I222&lt;&gt;E222)),K222*F222,0)</f>
        <v/>
      </c>
      <c r="M222" s="11">
        <f>IF(AND(AND(C222&lt;&gt;"",E222&lt;&gt;"",I222&lt;&gt;"",OR(Settings!$B$10="No",I222&lt;&gt;E222)),G222="Paid a pro",Settings!$B$9="Yes"),MAX(0,H222-K222*F222),0)</f>
        <v/>
      </c>
      <c r="N222" s="3">
        <f>IF(C222="","",IF(B222="","Enter the boat number",IF(B222&gt;Settings!$B$6,"Boat number above the boat count",IF(SUMIFS($F$5:$F$1004,$B$5:$B$1004,B222,$C$5:$C$1004,C222)&gt;1.0001,"Shares for this step add up to over 100%",IF(I222="","Waiting for sign-off",IF(AND(Settings!$B$10="Yes",I222=E222),"Needs a different member to sign off","OK"))))))</f>
        <v/>
      </c>
    </row>
    <row r="223">
      <c r="A223" s="9" t="n"/>
      <c r="B223" s="6" t="n"/>
      <c r="C223" s="6" t="n"/>
      <c r="D223" s="3">
        <f>IF(C223="","",IFERROR(INDEX(Steps!$C$5:$C$62,MATCH(C223,Steps!$A$5:$A$62,0)),""))</f>
        <v/>
      </c>
      <c r="E223" s="6" t="n"/>
      <c r="F223" s="8" t="n"/>
      <c r="G223" s="6" t="n"/>
      <c r="H223" s="7" t="n"/>
      <c r="I223" s="6" t="n"/>
      <c r="J223" s="9" t="n"/>
      <c r="K223" s="11">
        <f>IF(C223="","",N(IFERROR(INDEX(Steps!$E$5:$E$62,MATCH(C223,Steps!$A$5:$A$62,0)),"")))</f>
        <v/>
      </c>
      <c r="L223" s="11">
        <f>IF(AND(C223&lt;&gt;"",E223&lt;&gt;"",I223&lt;&gt;"",OR(Settings!$B$10="No",I223&lt;&gt;E223)),K223*F223,0)</f>
        <v/>
      </c>
      <c r="M223" s="11">
        <f>IF(AND(AND(C223&lt;&gt;"",E223&lt;&gt;"",I223&lt;&gt;"",OR(Settings!$B$10="No",I223&lt;&gt;E223)),G223="Paid a pro",Settings!$B$9="Yes"),MAX(0,H223-K223*F223),0)</f>
        <v/>
      </c>
      <c r="N223" s="3">
        <f>IF(C223="","",IF(B223="","Enter the boat number",IF(B223&gt;Settings!$B$6,"Boat number above the boat count",IF(SUMIFS($F$5:$F$1004,$B$5:$B$1004,B223,$C$5:$C$1004,C223)&gt;1.0001,"Shares for this step add up to over 100%",IF(I223="","Waiting for sign-off",IF(AND(Settings!$B$10="Yes",I223=E223),"Needs a different member to sign off","OK"))))))</f>
        <v/>
      </c>
    </row>
    <row r="224">
      <c r="A224" s="9" t="n"/>
      <c r="B224" s="6" t="n"/>
      <c r="C224" s="6" t="n"/>
      <c r="D224" s="3">
        <f>IF(C224="","",IFERROR(INDEX(Steps!$C$5:$C$62,MATCH(C224,Steps!$A$5:$A$62,0)),""))</f>
        <v/>
      </c>
      <c r="E224" s="6" t="n"/>
      <c r="F224" s="8" t="n"/>
      <c r="G224" s="6" t="n"/>
      <c r="H224" s="7" t="n"/>
      <c r="I224" s="6" t="n"/>
      <c r="J224" s="9" t="n"/>
      <c r="K224" s="11">
        <f>IF(C224="","",N(IFERROR(INDEX(Steps!$E$5:$E$62,MATCH(C224,Steps!$A$5:$A$62,0)),"")))</f>
        <v/>
      </c>
      <c r="L224" s="11">
        <f>IF(AND(C224&lt;&gt;"",E224&lt;&gt;"",I224&lt;&gt;"",OR(Settings!$B$10="No",I224&lt;&gt;E224)),K224*F224,0)</f>
        <v/>
      </c>
      <c r="M224" s="11">
        <f>IF(AND(AND(C224&lt;&gt;"",E224&lt;&gt;"",I224&lt;&gt;"",OR(Settings!$B$10="No",I224&lt;&gt;E224)),G224="Paid a pro",Settings!$B$9="Yes"),MAX(0,H224-K224*F224),0)</f>
        <v/>
      </c>
      <c r="N224" s="3">
        <f>IF(C224="","",IF(B224="","Enter the boat number",IF(B224&gt;Settings!$B$6,"Boat number above the boat count",IF(SUMIFS($F$5:$F$1004,$B$5:$B$1004,B224,$C$5:$C$1004,C224)&gt;1.0001,"Shares for this step add up to over 100%",IF(I224="","Waiting for sign-off",IF(AND(Settings!$B$10="Yes",I224=E224),"Needs a different member to sign off","OK"))))))</f>
        <v/>
      </c>
    </row>
    <row r="225">
      <c r="A225" s="9" t="n"/>
      <c r="B225" s="6" t="n"/>
      <c r="C225" s="6" t="n"/>
      <c r="D225" s="3">
        <f>IF(C225="","",IFERROR(INDEX(Steps!$C$5:$C$62,MATCH(C225,Steps!$A$5:$A$62,0)),""))</f>
        <v/>
      </c>
      <c r="E225" s="6" t="n"/>
      <c r="F225" s="8" t="n"/>
      <c r="G225" s="6" t="n"/>
      <c r="H225" s="7" t="n"/>
      <c r="I225" s="6" t="n"/>
      <c r="J225" s="9" t="n"/>
      <c r="K225" s="11">
        <f>IF(C225="","",N(IFERROR(INDEX(Steps!$E$5:$E$62,MATCH(C225,Steps!$A$5:$A$62,0)),"")))</f>
        <v/>
      </c>
      <c r="L225" s="11">
        <f>IF(AND(C225&lt;&gt;"",E225&lt;&gt;"",I225&lt;&gt;"",OR(Settings!$B$10="No",I225&lt;&gt;E225)),K225*F225,0)</f>
        <v/>
      </c>
      <c r="M225" s="11">
        <f>IF(AND(AND(C225&lt;&gt;"",E225&lt;&gt;"",I225&lt;&gt;"",OR(Settings!$B$10="No",I225&lt;&gt;E225)),G225="Paid a pro",Settings!$B$9="Yes"),MAX(0,H225-K225*F225),0)</f>
        <v/>
      </c>
      <c r="N225" s="3">
        <f>IF(C225="","",IF(B225="","Enter the boat number",IF(B225&gt;Settings!$B$6,"Boat number above the boat count",IF(SUMIFS($F$5:$F$1004,$B$5:$B$1004,B225,$C$5:$C$1004,C225)&gt;1.0001,"Shares for this step add up to over 100%",IF(I225="","Waiting for sign-off",IF(AND(Settings!$B$10="Yes",I225=E225),"Needs a different member to sign off","OK"))))))</f>
        <v/>
      </c>
    </row>
    <row r="226">
      <c r="A226" s="9" t="n"/>
      <c r="B226" s="6" t="n"/>
      <c r="C226" s="6" t="n"/>
      <c r="D226" s="3">
        <f>IF(C226="","",IFERROR(INDEX(Steps!$C$5:$C$62,MATCH(C226,Steps!$A$5:$A$62,0)),""))</f>
        <v/>
      </c>
      <c r="E226" s="6" t="n"/>
      <c r="F226" s="8" t="n"/>
      <c r="G226" s="6" t="n"/>
      <c r="H226" s="7" t="n"/>
      <c r="I226" s="6" t="n"/>
      <c r="J226" s="9" t="n"/>
      <c r="K226" s="11">
        <f>IF(C226="","",N(IFERROR(INDEX(Steps!$E$5:$E$62,MATCH(C226,Steps!$A$5:$A$62,0)),"")))</f>
        <v/>
      </c>
      <c r="L226" s="11">
        <f>IF(AND(C226&lt;&gt;"",E226&lt;&gt;"",I226&lt;&gt;"",OR(Settings!$B$10="No",I226&lt;&gt;E226)),K226*F226,0)</f>
        <v/>
      </c>
      <c r="M226" s="11">
        <f>IF(AND(AND(C226&lt;&gt;"",E226&lt;&gt;"",I226&lt;&gt;"",OR(Settings!$B$10="No",I226&lt;&gt;E226)),G226="Paid a pro",Settings!$B$9="Yes"),MAX(0,H226-K226*F226),0)</f>
        <v/>
      </c>
      <c r="N226" s="3">
        <f>IF(C226="","",IF(B226="","Enter the boat number",IF(B226&gt;Settings!$B$6,"Boat number above the boat count",IF(SUMIFS($F$5:$F$1004,$B$5:$B$1004,B226,$C$5:$C$1004,C226)&gt;1.0001,"Shares for this step add up to over 100%",IF(I226="","Waiting for sign-off",IF(AND(Settings!$B$10="Yes",I226=E226),"Needs a different member to sign off","OK"))))))</f>
        <v/>
      </c>
    </row>
    <row r="227">
      <c r="A227" s="9" t="n"/>
      <c r="B227" s="6" t="n"/>
      <c r="C227" s="6" t="n"/>
      <c r="D227" s="3">
        <f>IF(C227="","",IFERROR(INDEX(Steps!$C$5:$C$62,MATCH(C227,Steps!$A$5:$A$62,0)),""))</f>
        <v/>
      </c>
      <c r="E227" s="6" t="n"/>
      <c r="F227" s="8" t="n"/>
      <c r="G227" s="6" t="n"/>
      <c r="H227" s="7" t="n"/>
      <c r="I227" s="6" t="n"/>
      <c r="J227" s="9" t="n"/>
      <c r="K227" s="11">
        <f>IF(C227="","",N(IFERROR(INDEX(Steps!$E$5:$E$62,MATCH(C227,Steps!$A$5:$A$62,0)),"")))</f>
        <v/>
      </c>
      <c r="L227" s="11">
        <f>IF(AND(C227&lt;&gt;"",E227&lt;&gt;"",I227&lt;&gt;"",OR(Settings!$B$10="No",I227&lt;&gt;E227)),K227*F227,0)</f>
        <v/>
      </c>
      <c r="M227" s="11">
        <f>IF(AND(AND(C227&lt;&gt;"",E227&lt;&gt;"",I227&lt;&gt;"",OR(Settings!$B$10="No",I227&lt;&gt;E227)),G227="Paid a pro",Settings!$B$9="Yes"),MAX(0,H227-K227*F227),0)</f>
        <v/>
      </c>
      <c r="N227" s="3">
        <f>IF(C227="","",IF(B227="","Enter the boat number",IF(B227&gt;Settings!$B$6,"Boat number above the boat count",IF(SUMIFS($F$5:$F$1004,$B$5:$B$1004,B227,$C$5:$C$1004,C227)&gt;1.0001,"Shares for this step add up to over 100%",IF(I227="","Waiting for sign-off",IF(AND(Settings!$B$10="Yes",I227=E227),"Needs a different member to sign off","OK"))))))</f>
        <v/>
      </c>
    </row>
    <row r="228">
      <c r="A228" s="9" t="n"/>
      <c r="B228" s="6" t="n"/>
      <c r="C228" s="6" t="n"/>
      <c r="D228" s="3">
        <f>IF(C228="","",IFERROR(INDEX(Steps!$C$5:$C$62,MATCH(C228,Steps!$A$5:$A$62,0)),""))</f>
        <v/>
      </c>
      <c r="E228" s="6" t="n"/>
      <c r="F228" s="8" t="n"/>
      <c r="G228" s="6" t="n"/>
      <c r="H228" s="7" t="n"/>
      <c r="I228" s="6" t="n"/>
      <c r="J228" s="9" t="n"/>
      <c r="K228" s="11">
        <f>IF(C228="","",N(IFERROR(INDEX(Steps!$E$5:$E$62,MATCH(C228,Steps!$A$5:$A$62,0)),"")))</f>
        <v/>
      </c>
      <c r="L228" s="11">
        <f>IF(AND(C228&lt;&gt;"",E228&lt;&gt;"",I228&lt;&gt;"",OR(Settings!$B$10="No",I228&lt;&gt;E228)),K228*F228,0)</f>
        <v/>
      </c>
      <c r="M228" s="11">
        <f>IF(AND(AND(C228&lt;&gt;"",E228&lt;&gt;"",I228&lt;&gt;"",OR(Settings!$B$10="No",I228&lt;&gt;E228)),G228="Paid a pro",Settings!$B$9="Yes"),MAX(0,H228-K228*F228),0)</f>
        <v/>
      </c>
      <c r="N228" s="3">
        <f>IF(C228="","",IF(B228="","Enter the boat number",IF(B228&gt;Settings!$B$6,"Boat number above the boat count",IF(SUMIFS($F$5:$F$1004,$B$5:$B$1004,B228,$C$5:$C$1004,C228)&gt;1.0001,"Shares for this step add up to over 100%",IF(I228="","Waiting for sign-off",IF(AND(Settings!$B$10="Yes",I228=E228),"Needs a different member to sign off","OK"))))))</f>
        <v/>
      </c>
    </row>
    <row r="229">
      <c r="A229" s="9" t="n"/>
      <c r="B229" s="6" t="n"/>
      <c r="C229" s="6" t="n"/>
      <c r="D229" s="3">
        <f>IF(C229="","",IFERROR(INDEX(Steps!$C$5:$C$62,MATCH(C229,Steps!$A$5:$A$62,0)),""))</f>
        <v/>
      </c>
      <c r="E229" s="6" t="n"/>
      <c r="F229" s="8" t="n"/>
      <c r="G229" s="6" t="n"/>
      <c r="H229" s="7" t="n"/>
      <c r="I229" s="6" t="n"/>
      <c r="J229" s="9" t="n"/>
      <c r="K229" s="11">
        <f>IF(C229="","",N(IFERROR(INDEX(Steps!$E$5:$E$62,MATCH(C229,Steps!$A$5:$A$62,0)),"")))</f>
        <v/>
      </c>
      <c r="L229" s="11">
        <f>IF(AND(C229&lt;&gt;"",E229&lt;&gt;"",I229&lt;&gt;"",OR(Settings!$B$10="No",I229&lt;&gt;E229)),K229*F229,0)</f>
        <v/>
      </c>
      <c r="M229" s="11">
        <f>IF(AND(AND(C229&lt;&gt;"",E229&lt;&gt;"",I229&lt;&gt;"",OR(Settings!$B$10="No",I229&lt;&gt;E229)),G229="Paid a pro",Settings!$B$9="Yes"),MAX(0,H229-K229*F229),0)</f>
        <v/>
      </c>
      <c r="N229" s="3">
        <f>IF(C229="","",IF(B229="","Enter the boat number",IF(B229&gt;Settings!$B$6,"Boat number above the boat count",IF(SUMIFS($F$5:$F$1004,$B$5:$B$1004,B229,$C$5:$C$1004,C229)&gt;1.0001,"Shares for this step add up to over 100%",IF(I229="","Waiting for sign-off",IF(AND(Settings!$B$10="Yes",I229=E229),"Needs a different member to sign off","OK"))))))</f>
        <v/>
      </c>
    </row>
    <row r="230">
      <c r="A230" s="9" t="n"/>
      <c r="B230" s="6" t="n"/>
      <c r="C230" s="6" t="n"/>
      <c r="D230" s="3">
        <f>IF(C230="","",IFERROR(INDEX(Steps!$C$5:$C$62,MATCH(C230,Steps!$A$5:$A$62,0)),""))</f>
        <v/>
      </c>
      <c r="E230" s="6" t="n"/>
      <c r="F230" s="8" t="n"/>
      <c r="G230" s="6" t="n"/>
      <c r="H230" s="7" t="n"/>
      <c r="I230" s="6" t="n"/>
      <c r="J230" s="9" t="n"/>
      <c r="K230" s="11">
        <f>IF(C230="","",N(IFERROR(INDEX(Steps!$E$5:$E$62,MATCH(C230,Steps!$A$5:$A$62,0)),"")))</f>
        <v/>
      </c>
      <c r="L230" s="11">
        <f>IF(AND(C230&lt;&gt;"",E230&lt;&gt;"",I230&lt;&gt;"",OR(Settings!$B$10="No",I230&lt;&gt;E230)),K230*F230,0)</f>
        <v/>
      </c>
      <c r="M230" s="11">
        <f>IF(AND(AND(C230&lt;&gt;"",E230&lt;&gt;"",I230&lt;&gt;"",OR(Settings!$B$10="No",I230&lt;&gt;E230)),G230="Paid a pro",Settings!$B$9="Yes"),MAX(0,H230-K230*F230),0)</f>
        <v/>
      </c>
      <c r="N230" s="3">
        <f>IF(C230="","",IF(B230="","Enter the boat number",IF(B230&gt;Settings!$B$6,"Boat number above the boat count",IF(SUMIFS($F$5:$F$1004,$B$5:$B$1004,B230,$C$5:$C$1004,C230)&gt;1.0001,"Shares for this step add up to over 100%",IF(I230="","Waiting for sign-off",IF(AND(Settings!$B$10="Yes",I230=E230),"Needs a different member to sign off","OK"))))))</f>
        <v/>
      </c>
    </row>
    <row r="231">
      <c r="A231" s="9" t="n"/>
      <c r="B231" s="6" t="n"/>
      <c r="C231" s="6" t="n"/>
      <c r="D231" s="3">
        <f>IF(C231="","",IFERROR(INDEX(Steps!$C$5:$C$62,MATCH(C231,Steps!$A$5:$A$62,0)),""))</f>
        <v/>
      </c>
      <c r="E231" s="6" t="n"/>
      <c r="F231" s="8" t="n"/>
      <c r="G231" s="6" t="n"/>
      <c r="H231" s="7" t="n"/>
      <c r="I231" s="6" t="n"/>
      <c r="J231" s="9" t="n"/>
      <c r="K231" s="11">
        <f>IF(C231="","",N(IFERROR(INDEX(Steps!$E$5:$E$62,MATCH(C231,Steps!$A$5:$A$62,0)),"")))</f>
        <v/>
      </c>
      <c r="L231" s="11">
        <f>IF(AND(C231&lt;&gt;"",E231&lt;&gt;"",I231&lt;&gt;"",OR(Settings!$B$10="No",I231&lt;&gt;E231)),K231*F231,0)</f>
        <v/>
      </c>
      <c r="M231" s="11">
        <f>IF(AND(AND(C231&lt;&gt;"",E231&lt;&gt;"",I231&lt;&gt;"",OR(Settings!$B$10="No",I231&lt;&gt;E231)),G231="Paid a pro",Settings!$B$9="Yes"),MAX(0,H231-K231*F231),0)</f>
        <v/>
      </c>
      <c r="N231" s="3">
        <f>IF(C231="","",IF(B231="","Enter the boat number",IF(B231&gt;Settings!$B$6,"Boat number above the boat count",IF(SUMIFS($F$5:$F$1004,$B$5:$B$1004,B231,$C$5:$C$1004,C231)&gt;1.0001,"Shares for this step add up to over 100%",IF(I231="","Waiting for sign-off",IF(AND(Settings!$B$10="Yes",I231=E231),"Needs a different member to sign off","OK"))))))</f>
        <v/>
      </c>
    </row>
    <row r="232">
      <c r="A232" s="9" t="n"/>
      <c r="B232" s="6" t="n"/>
      <c r="C232" s="6" t="n"/>
      <c r="D232" s="3">
        <f>IF(C232="","",IFERROR(INDEX(Steps!$C$5:$C$62,MATCH(C232,Steps!$A$5:$A$62,0)),""))</f>
        <v/>
      </c>
      <c r="E232" s="6" t="n"/>
      <c r="F232" s="8" t="n"/>
      <c r="G232" s="6" t="n"/>
      <c r="H232" s="7" t="n"/>
      <c r="I232" s="6" t="n"/>
      <c r="J232" s="9" t="n"/>
      <c r="K232" s="11">
        <f>IF(C232="","",N(IFERROR(INDEX(Steps!$E$5:$E$62,MATCH(C232,Steps!$A$5:$A$62,0)),"")))</f>
        <v/>
      </c>
      <c r="L232" s="11">
        <f>IF(AND(C232&lt;&gt;"",E232&lt;&gt;"",I232&lt;&gt;"",OR(Settings!$B$10="No",I232&lt;&gt;E232)),K232*F232,0)</f>
        <v/>
      </c>
      <c r="M232" s="11">
        <f>IF(AND(AND(C232&lt;&gt;"",E232&lt;&gt;"",I232&lt;&gt;"",OR(Settings!$B$10="No",I232&lt;&gt;E232)),G232="Paid a pro",Settings!$B$9="Yes"),MAX(0,H232-K232*F232),0)</f>
        <v/>
      </c>
      <c r="N232" s="3">
        <f>IF(C232="","",IF(B232="","Enter the boat number",IF(B232&gt;Settings!$B$6,"Boat number above the boat count",IF(SUMIFS($F$5:$F$1004,$B$5:$B$1004,B232,$C$5:$C$1004,C232)&gt;1.0001,"Shares for this step add up to over 100%",IF(I232="","Waiting for sign-off",IF(AND(Settings!$B$10="Yes",I232=E232),"Needs a different member to sign off","OK"))))))</f>
        <v/>
      </c>
    </row>
    <row r="233">
      <c r="A233" s="9" t="n"/>
      <c r="B233" s="6" t="n"/>
      <c r="C233" s="6" t="n"/>
      <c r="D233" s="3">
        <f>IF(C233="","",IFERROR(INDEX(Steps!$C$5:$C$62,MATCH(C233,Steps!$A$5:$A$62,0)),""))</f>
        <v/>
      </c>
      <c r="E233" s="6" t="n"/>
      <c r="F233" s="8" t="n"/>
      <c r="G233" s="6" t="n"/>
      <c r="H233" s="7" t="n"/>
      <c r="I233" s="6" t="n"/>
      <c r="J233" s="9" t="n"/>
      <c r="K233" s="11">
        <f>IF(C233="","",N(IFERROR(INDEX(Steps!$E$5:$E$62,MATCH(C233,Steps!$A$5:$A$62,0)),"")))</f>
        <v/>
      </c>
      <c r="L233" s="11">
        <f>IF(AND(C233&lt;&gt;"",E233&lt;&gt;"",I233&lt;&gt;"",OR(Settings!$B$10="No",I233&lt;&gt;E233)),K233*F233,0)</f>
        <v/>
      </c>
      <c r="M233" s="11">
        <f>IF(AND(AND(C233&lt;&gt;"",E233&lt;&gt;"",I233&lt;&gt;"",OR(Settings!$B$10="No",I233&lt;&gt;E233)),G233="Paid a pro",Settings!$B$9="Yes"),MAX(0,H233-K233*F233),0)</f>
        <v/>
      </c>
      <c r="N233" s="3">
        <f>IF(C233="","",IF(B233="","Enter the boat number",IF(B233&gt;Settings!$B$6,"Boat number above the boat count",IF(SUMIFS($F$5:$F$1004,$B$5:$B$1004,B233,$C$5:$C$1004,C233)&gt;1.0001,"Shares for this step add up to over 100%",IF(I233="","Waiting for sign-off",IF(AND(Settings!$B$10="Yes",I233=E233),"Needs a different member to sign off","OK"))))))</f>
        <v/>
      </c>
    </row>
    <row r="234">
      <c r="A234" s="9" t="n"/>
      <c r="B234" s="6" t="n"/>
      <c r="C234" s="6" t="n"/>
      <c r="D234" s="3">
        <f>IF(C234="","",IFERROR(INDEX(Steps!$C$5:$C$62,MATCH(C234,Steps!$A$5:$A$62,0)),""))</f>
        <v/>
      </c>
      <c r="E234" s="6" t="n"/>
      <c r="F234" s="8" t="n"/>
      <c r="G234" s="6" t="n"/>
      <c r="H234" s="7" t="n"/>
      <c r="I234" s="6" t="n"/>
      <c r="J234" s="9" t="n"/>
      <c r="K234" s="11">
        <f>IF(C234="","",N(IFERROR(INDEX(Steps!$E$5:$E$62,MATCH(C234,Steps!$A$5:$A$62,0)),"")))</f>
        <v/>
      </c>
      <c r="L234" s="11">
        <f>IF(AND(C234&lt;&gt;"",E234&lt;&gt;"",I234&lt;&gt;"",OR(Settings!$B$10="No",I234&lt;&gt;E234)),K234*F234,0)</f>
        <v/>
      </c>
      <c r="M234" s="11">
        <f>IF(AND(AND(C234&lt;&gt;"",E234&lt;&gt;"",I234&lt;&gt;"",OR(Settings!$B$10="No",I234&lt;&gt;E234)),G234="Paid a pro",Settings!$B$9="Yes"),MAX(0,H234-K234*F234),0)</f>
        <v/>
      </c>
      <c r="N234" s="3">
        <f>IF(C234="","",IF(B234="","Enter the boat number",IF(B234&gt;Settings!$B$6,"Boat number above the boat count",IF(SUMIFS($F$5:$F$1004,$B$5:$B$1004,B234,$C$5:$C$1004,C234)&gt;1.0001,"Shares for this step add up to over 100%",IF(I234="","Waiting for sign-off",IF(AND(Settings!$B$10="Yes",I234=E234),"Needs a different member to sign off","OK"))))))</f>
        <v/>
      </c>
    </row>
    <row r="235">
      <c r="A235" s="9" t="n"/>
      <c r="B235" s="6" t="n"/>
      <c r="C235" s="6" t="n"/>
      <c r="D235" s="3">
        <f>IF(C235="","",IFERROR(INDEX(Steps!$C$5:$C$62,MATCH(C235,Steps!$A$5:$A$62,0)),""))</f>
        <v/>
      </c>
      <c r="E235" s="6" t="n"/>
      <c r="F235" s="8" t="n"/>
      <c r="G235" s="6" t="n"/>
      <c r="H235" s="7" t="n"/>
      <c r="I235" s="6" t="n"/>
      <c r="J235" s="9" t="n"/>
      <c r="K235" s="11">
        <f>IF(C235="","",N(IFERROR(INDEX(Steps!$E$5:$E$62,MATCH(C235,Steps!$A$5:$A$62,0)),"")))</f>
        <v/>
      </c>
      <c r="L235" s="11">
        <f>IF(AND(C235&lt;&gt;"",E235&lt;&gt;"",I235&lt;&gt;"",OR(Settings!$B$10="No",I235&lt;&gt;E235)),K235*F235,0)</f>
        <v/>
      </c>
      <c r="M235" s="11">
        <f>IF(AND(AND(C235&lt;&gt;"",E235&lt;&gt;"",I235&lt;&gt;"",OR(Settings!$B$10="No",I235&lt;&gt;E235)),G235="Paid a pro",Settings!$B$9="Yes"),MAX(0,H235-K235*F235),0)</f>
        <v/>
      </c>
      <c r="N235" s="3">
        <f>IF(C235="","",IF(B235="","Enter the boat number",IF(B235&gt;Settings!$B$6,"Boat number above the boat count",IF(SUMIFS($F$5:$F$1004,$B$5:$B$1004,B235,$C$5:$C$1004,C235)&gt;1.0001,"Shares for this step add up to over 100%",IF(I235="","Waiting for sign-off",IF(AND(Settings!$B$10="Yes",I235=E235),"Needs a different member to sign off","OK"))))))</f>
        <v/>
      </c>
    </row>
    <row r="236">
      <c r="A236" s="9" t="n"/>
      <c r="B236" s="6" t="n"/>
      <c r="C236" s="6" t="n"/>
      <c r="D236" s="3">
        <f>IF(C236="","",IFERROR(INDEX(Steps!$C$5:$C$62,MATCH(C236,Steps!$A$5:$A$62,0)),""))</f>
        <v/>
      </c>
      <c r="E236" s="6" t="n"/>
      <c r="F236" s="8" t="n"/>
      <c r="G236" s="6" t="n"/>
      <c r="H236" s="7" t="n"/>
      <c r="I236" s="6" t="n"/>
      <c r="J236" s="9" t="n"/>
      <c r="K236" s="11">
        <f>IF(C236="","",N(IFERROR(INDEX(Steps!$E$5:$E$62,MATCH(C236,Steps!$A$5:$A$62,0)),"")))</f>
        <v/>
      </c>
      <c r="L236" s="11">
        <f>IF(AND(C236&lt;&gt;"",E236&lt;&gt;"",I236&lt;&gt;"",OR(Settings!$B$10="No",I236&lt;&gt;E236)),K236*F236,0)</f>
        <v/>
      </c>
      <c r="M236" s="11">
        <f>IF(AND(AND(C236&lt;&gt;"",E236&lt;&gt;"",I236&lt;&gt;"",OR(Settings!$B$10="No",I236&lt;&gt;E236)),G236="Paid a pro",Settings!$B$9="Yes"),MAX(0,H236-K236*F236),0)</f>
        <v/>
      </c>
      <c r="N236" s="3">
        <f>IF(C236="","",IF(B236="","Enter the boat number",IF(B236&gt;Settings!$B$6,"Boat number above the boat count",IF(SUMIFS($F$5:$F$1004,$B$5:$B$1004,B236,$C$5:$C$1004,C236)&gt;1.0001,"Shares for this step add up to over 100%",IF(I236="","Waiting for sign-off",IF(AND(Settings!$B$10="Yes",I236=E236),"Needs a different member to sign off","OK"))))))</f>
        <v/>
      </c>
    </row>
    <row r="237">
      <c r="A237" s="9" t="n"/>
      <c r="B237" s="6" t="n"/>
      <c r="C237" s="6" t="n"/>
      <c r="D237" s="3">
        <f>IF(C237="","",IFERROR(INDEX(Steps!$C$5:$C$62,MATCH(C237,Steps!$A$5:$A$62,0)),""))</f>
        <v/>
      </c>
      <c r="E237" s="6" t="n"/>
      <c r="F237" s="8" t="n"/>
      <c r="G237" s="6" t="n"/>
      <c r="H237" s="7" t="n"/>
      <c r="I237" s="6" t="n"/>
      <c r="J237" s="9" t="n"/>
      <c r="K237" s="11">
        <f>IF(C237="","",N(IFERROR(INDEX(Steps!$E$5:$E$62,MATCH(C237,Steps!$A$5:$A$62,0)),"")))</f>
        <v/>
      </c>
      <c r="L237" s="11">
        <f>IF(AND(C237&lt;&gt;"",E237&lt;&gt;"",I237&lt;&gt;"",OR(Settings!$B$10="No",I237&lt;&gt;E237)),K237*F237,0)</f>
        <v/>
      </c>
      <c r="M237" s="11">
        <f>IF(AND(AND(C237&lt;&gt;"",E237&lt;&gt;"",I237&lt;&gt;"",OR(Settings!$B$10="No",I237&lt;&gt;E237)),G237="Paid a pro",Settings!$B$9="Yes"),MAX(0,H237-K237*F237),0)</f>
        <v/>
      </c>
      <c r="N237" s="3">
        <f>IF(C237="","",IF(B237="","Enter the boat number",IF(B237&gt;Settings!$B$6,"Boat number above the boat count",IF(SUMIFS($F$5:$F$1004,$B$5:$B$1004,B237,$C$5:$C$1004,C237)&gt;1.0001,"Shares for this step add up to over 100%",IF(I237="","Waiting for sign-off",IF(AND(Settings!$B$10="Yes",I237=E237),"Needs a different member to sign off","OK"))))))</f>
        <v/>
      </c>
    </row>
    <row r="238">
      <c r="A238" s="9" t="n"/>
      <c r="B238" s="6" t="n"/>
      <c r="C238" s="6" t="n"/>
      <c r="D238" s="3">
        <f>IF(C238="","",IFERROR(INDEX(Steps!$C$5:$C$62,MATCH(C238,Steps!$A$5:$A$62,0)),""))</f>
        <v/>
      </c>
      <c r="E238" s="6" t="n"/>
      <c r="F238" s="8" t="n"/>
      <c r="G238" s="6" t="n"/>
      <c r="H238" s="7" t="n"/>
      <c r="I238" s="6" t="n"/>
      <c r="J238" s="9" t="n"/>
      <c r="K238" s="11">
        <f>IF(C238="","",N(IFERROR(INDEX(Steps!$E$5:$E$62,MATCH(C238,Steps!$A$5:$A$62,0)),"")))</f>
        <v/>
      </c>
      <c r="L238" s="11">
        <f>IF(AND(C238&lt;&gt;"",E238&lt;&gt;"",I238&lt;&gt;"",OR(Settings!$B$10="No",I238&lt;&gt;E238)),K238*F238,0)</f>
        <v/>
      </c>
      <c r="M238" s="11">
        <f>IF(AND(AND(C238&lt;&gt;"",E238&lt;&gt;"",I238&lt;&gt;"",OR(Settings!$B$10="No",I238&lt;&gt;E238)),G238="Paid a pro",Settings!$B$9="Yes"),MAX(0,H238-K238*F238),0)</f>
        <v/>
      </c>
      <c r="N238" s="3">
        <f>IF(C238="","",IF(B238="","Enter the boat number",IF(B238&gt;Settings!$B$6,"Boat number above the boat count",IF(SUMIFS($F$5:$F$1004,$B$5:$B$1004,B238,$C$5:$C$1004,C238)&gt;1.0001,"Shares for this step add up to over 100%",IF(I238="","Waiting for sign-off",IF(AND(Settings!$B$10="Yes",I238=E238),"Needs a different member to sign off","OK"))))))</f>
        <v/>
      </c>
    </row>
    <row r="239">
      <c r="A239" s="9" t="n"/>
      <c r="B239" s="6" t="n"/>
      <c r="C239" s="6" t="n"/>
      <c r="D239" s="3">
        <f>IF(C239="","",IFERROR(INDEX(Steps!$C$5:$C$62,MATCH(C239,Steps!$A$5:$A$62,0)),""))</f>
        <v/>
      </c>
      <c r="E239" s="6" t="n"/>
      <c r="F239" s="8" t="n"/>
      <c r="G239" s="6" t="n"/>
      <c r="H239" s="7" t="n"/>
      <c r="I239" s="6" t="n"/>
      <c r="J239" s="9" t="n"/>
      <c r="K239" s="11">
        <f>IF(C239="","",N(IFERROR(INDEX(Steps!$E$5:$E$62,MATCH(C239,Steps!$A$5:$A$62,0)),"")))</f>
        <v/>
      </c>
      <c r="L239" s="11">
        <f>IF(AND(C239&lt;&gt;"",E239&lt;&gt;"",I239&lt;&gt;"",OR(Settings!$B$10="No",I239&lt;&gt;E239)),K239*F239,0)</f>
        <v/>
      </c>
      <c r="M239" s="11">
        <f>IF(AND(AND(C239&lt;&gt;"",E239&lt;&gt;"",I239&lt;&gt;"",OR(Settings!$B$10="No",I239&lt;&gt;E239)),G239="Paid a pro",Settings!$B$9="Yes"),MAX(0,H239-K239*F239),0)</f>
        <v/>
      </c>
      <c r="N239" s="3">
        <f>IF(C239="","",IF(B239="","Enter the boat number",IF(B239&gt;Settings!$B$6,"Boat number above the boat count",IF(SUMIFS($F$5:$F$1004,$B$5:$B$1004,B239,$C$5:$C$1004,C239)&gt;1.0001,"Shares for this step add up to over 100%",IF(I239="","Waiting for sign-off",IF(AND(Settings!$B$10="Yes",I239=E239),"Needs a different member to sign off","OK"))))))</f>
        <v/>
      </c>
    </row>
    <row r="240">
      <c r="A240" s="9" t="n"/>
      <c r="B240" s="6" t="n"/>
      <c r="C240" s="6" t="n"/>
      <c r="D240" s="3">
        <f>IF(C240="","",IFERROR(INDEX(Steps!$C$5:$C$62,MATCH(C240,Steps!$A$5:$A$62,0)),""))</f>
        <v/>
      </c>
      <c r="E240" s="6" t="n"/>
      <c r="F240" s="8" t="n"/>
      <c r="G240" s="6" t="n"/>
      <c r="H240" s="7" t="n"/>
      <c r="I240" s="6" t="n"/>
      <c r="J240" s="9" t="n"/>
      <c r="K240" s="11">
        <f>IF(C240="","",N(IFERROR(INDEX(Steps!$E$5:$E$62,MATCH(C240,Steps!$A$5:$A$62,0)),"")))</f>
        <v/>
      </c>
      <c r="L240" s="11">
        <f>IF(AND(C240&lt;&gt;"",E240&lt;&gt;"",I240&lt;&gt;"",OR(Settings!$B$10="No",I240&lt;&gt;E240)),K240*F240,0)</f>
        <v/>
      </c>
      <c r="M240" s="11">
        <f>IF(AND(AND(C240&lt;&gt;"",E240&lt;&gt;"",I240&lt;&gt;"",OR(Settings!$B$10="No",I240&lt;&gt;E240)),G240="Paid a pro",Settings!$B$9="Yes"),MAX(0,H240-K240*F240),0)</f>
        <v/>
      </c>
      <c r="N240" s="3">
        <f>IF(C240="","",IF(B240="","Enter the boat number",IF(B240&gt;Settings!$B$6,"Boat number above the boat count",IF(SUMIFS($F$5:$F$1004,$B$5:$B$1004,B240,$C$5:$C$1004,C240)&gt;1.0001,"Shares for this step add up to over 100%",IF(I240="","Waiting for sign-off",IF(AND(Settings!$B$10="Yes",I240=E240),"Needs a different member to sign off","OK"))))))</f>
        <v/>
      </c>
    </row>
    <row r="241">
      <c r="A241" s="9" t="n"/>
      <c r="B241" s="6" t="n"/>
      <c r="C241" s="6" t="n"/>
      <c r="D241" s="3">
        <f>IF(C241="","",IFERROR(INDEX(Steps!$C$5:$C$62,MATCH(C241,Steps!$A$5:$A$62,0)),""))</f>
        <v/>
      </c>
      <c r="E241" s="6" t="n"/>
      <c r="F241" s="8" t="n"/>
      <c r="G241" s="6" t="n"/>
      <c r="H241" s="7" t="n"/>
      <c r="I241" s="6" t="n"/>
      <c r="J241" s="9" t="n"/>
      <c r="K241" s="11">
        <f>IF(C241="","",N(IFERROR(INDEX(Steps!$E$5:$E$62,MATCH(C241,Steps!$A$5:$A$62,0)),"")))</f>
        <v/>
      </c>
      <c r="L241" s="11">
        <f>IF(AND(C241&lt;&gt;"",E241&lt;&gt;"",I241&lt;&gt;"",OR(Settings!$B$10="No",I241&lt;&gt;E241)),K241*F241,0)</f>
        <v/>
      </c>
      <c r="M241" s="11">
        <f>IF(AND(AND(C241&lt;&gt;"",E241&lt;&gt;"",I241&lt;&gt;"",OR(Settings!$B$10="No",I241&lt;&gt;E241)),G241="Paid a pro",Settings!$B$9="Yes"),MAX(0,H241-K241*F241),0)</f>
        <v/>
      </c>
      <c r="N241" s="3">
        <f>IF(C241="","",IF(B241="","Enter the boat number",IF(B241&gt;Settings!$B$6,"Boat number above the boat count",IF(SUMIFS($F$5:$F$1004,$B$5:$B$1004,B241,$C$5:$C$1004,C241)&gt;1.0001,"Shares for this step add up to over 100%",IF(I241="","Waiting for sign-off",IF(AND(Settings!$B$10="Yes",I241=E241),"Needs a different member to sign off","OK"))))))</f>
        <v/>
      </c>
    </row>
    <row r="242">
      <c r="A242" s="9" t="n"/>
      <c r="B242" s="6" t="n"/>
      <c r="C242" s="6" t="n"/>
      <c r="D242" s="3">
        <f>IF(C242="","",IFERROR(INDEX(Steps!$C$5:$C$62,MATCH(C242,Steps!$A$5:$A$62,0)),""))</f>
        <v/>
      </c>
      <c r="E242" s="6" t="n"/>
      <c r="F242" s="8" t="n"/>
      <c r="G242" s="6" t="n"/>
      <c r="H242" s="7" t="n"/>
      <c r="I242" s="6" t="n"/>
      <c r="J242" s="9" t="n"/>
      <c r="K242" s="11">
        <f>IF(C242="","",N(IFERROR(INDEX(Steps!$E$5:$E$62,MATCH(C242,Steps!$A$5:$A$62,0)),"")))</f>
        <v/>
      </c>
      <c r="L242" s="11">
        <f>IF(AND(C242&lt;&gt;"",E242&lt;&gt;"",I242&lt;&gt;"",OR(Settings!$B$10="No",I242&lt;&gt;E242)),K242*F242,0)</f>
        <v/>
      </c>
      <c r="M242" s="11">
        <f>IF(AND(AND(C242&lt;&gt;"",E242&lt;&gt;"",I242&lt;&gt;"",OR(Settings!$B$10="No",I242&lt;&gt;E242)),G242="Paid a pro",Settings!$B$9="Yes"),MAX(0,H242-K242*F242),0)</f>
        <v/>
      </c>
      <c r="N242" s="3">
        <f>IF(C242="","",IF(B242="","Enter the boat number",IF(B242&gt;Settings!$B$6,"Boat number above the boat count",IF(SUMIFS($F$5:$F$1004,$B$5:$B$1004,B242,$C$5:$C$1004,C242)&gt;1.0001,"Shares for this step add up to over 100%",IF(I242="","Waiting for sign-off",IF(AND(Settings!$B$10="Yes",I242=E242),"Needs a different member to sign off","OK"))))))</f>
        <v/>
      </c>
    </row>
    <row r="243">
      <c r="A243" s="9" t="n"/>
      <c r="B243" s="6" t="n"/>
      <c r="C243" s="6" t="n"/>
      <c r="D243" s="3">
        <f>IF(C243="","",IFERROR(INDEX(Steps!$C$5:$C$62,MATCH(C243,Steps!$A$5:$A$62,0)),""))</f>
        <v/>
      </c>
      <c r="E243" s="6" t="n"/>
      <c r="F243" s="8" t="n"/>
      <c r="G243" s="6" t="n"/>
      <c r="H243" s="7" t="n"/>
      <c r="I243" s="6" t="n"/>
      <c r="J243" s="9" t="n"/>
      <c r="K243" s="11">
        <f>IF(C243="","",N(IFERROR(INDEX(Steps!$E$5:$E$62,MATCH(C243,Steps!$A$5:$A$62,0)),"")))</f>
        <v/>
      </c>
      <c r="L243" s="11">
        <f>IF(AND(C243&lt;&gt;"",E243&lt;&gt;"",I243&lt;&gt;"",OR(Settings!$B$10="No",I243&lt;&gt;E243)),K243*F243,0)</f>
        <v/>
      </c>
      <c r="M243" s="11">
        <f>IF(AND(AND(C243&lt;&gt;"",E243&lt;&gt;"",I243&lt;&gt;"",OR(Settings!$B$10="No",I243&lt;&gt;E243)),G243="Paid a pro",Settings!$B$9="Yes"),MAX(0,H243-K243*F243),0)</f>
        <v/>
      </c>
      <c r="N243" s="3">
        <f>IF(C243="","",IF(B243="","Enter the boat number",IF(B243&gt;Settings!$B$6,"Boat number above the boat count",IF(SUMIFS($F$5:$F$1004,$B$5:$B$1004,B243,$C$5:$C$1004,C243)&gt;1.0001,"Shares for this step add up to over 100%",IF(I243="","Waiting for sign-off",IF(AND(Settings!$B$10="Yes",I243=E243),"Needs a different member to sign off","OK"))))))</f>
        <v/>
      </c>
    </row>
    <row r="244">
      <c r="A244" s="9" t="n"/>
      <c r="B244" s="6" t="n"/>
      <c r="C244" s="6" t="n"/>
      <c r="D244" s="3">
        <f>IF(C244="","",IFERROR(INDEX(Steps!$C$5:$C$62,MATCH(C244,Steps!$A$5:$A$62,0)),""))</f>
        <v/>
      </c>
      <c r="E244" s="6" t="n"/>
      <c r="F244" s="8" t="n"/>
      <c r="G244" s="6" t="n"/>
      <c r="H244" s="7" t="n"/>
      <c r="I244" s="6" t="n"/>
      <c r="J244" s="9" t="n"/>
      <c r="K244" s="11">
        <f>IF(C244="","",N(IFERROR(INDEX(Steps!$E$5:$E$62,MATCH(C244,Steps!$A$5:$A$62,0)),"")))</f>
        <v/>
      </c>
      <c r="L244" s="11">
        <f>IF(AND(C244&lt;&gt;"",E244&lt;&gt;"",I244&lt;&gt;"",OR(Settings!$B$10="No",I244&lt;&gt;E244)),K244*F244,0)</f>
        <v/>
      </c>
      <c r="M244" s="11">
        <f>IF(AND(AND(C244&lt;&gt;"",E244&lt;&gt;"",I244&lt;&gt;"",OR(Settings!$B$10="No",I244&lt;&gt;E244)),G244="Paid a pro",Settings!$B$9="Yes"),MAX(0,H244-K244*F244),0)</f>
        <v/>
      </c>
      <c r="N244" s="3">
        <f>IF(C244="","",IF(B244="","Enter the boat number",IF(B244&gt;Settings!$B$6,"Boat number above the boat count",IF(SUMIFS($F$5:$F$1004,$B$5:$B$1004,B244,$C$5:$C$1004,C244)&gt;1.0001,"Shares for this step add up to over 100%",IF(I244="","Waiting for sign-off",IF(AND(Settings!$B$10="Yes",I244=E244),"Needs a different member to sign off","OK"))))))</f>
        <v/>
      </c>
    </row>
    <row r="245">
      <c r="A245" s="9" t="n"/>
      <c r="B245" s="6" t="n"/>
      <c r="C245" s="6" t="n"/>
      <c r="D245" s="3">
        <f>IF(C245="","",IFERROR(INDEX(Steps!$C$5:$C$62,MATCH(C245,Steps!$A$5:$A$62,0)),""))</f>
        <v/>
      </c>
      <c r="E245" s="6" t="n"/>
      <c r="F245" s="8" t="n"/>
      <c r="G245" s="6" t="n"/>
      <c r="H245" s="7" t="n"/>
      <c r="I245" s="6" t="n"/>
      <c r="J245" s="9" t="n"/>
      <c r="K245" s="11">
        <f>IF(C245="","",N(IFERROR(INDEX(Steps!$E$5:$E$62,MATCH(C245,Steps!$A$5:$A$62,0)),"")))</f>
        <v/>
      </c>
      <c r="L245" s="11">
        <f>IF(AND(C245&lt;&gt;"",E245&lt;&gt;"",I245&lt;&gt;"",OR(Settings!$B$10="No",I245&lt;&gt;E245)),K245*F245,0)</f>
        <v/>
      </c>
      <c r="M245" s="11">
        <f>IF(AND(AND(C245&lt;&gt;"",E245&lt;&gt;"",I245&lt;&gt;"",OR(Settings!$B$10="No",I245&lt;&gt;E245)),G245="Paid a pro",Settings!$B$9="Yes"),MAX(0,H245-K245*F245),0)</f>
        <v/>
      </c>
      <c r="N245" s="3">
        <f>IF(C245="","",IF(B245="","Enter the boat number",IF(B245&gt;Settings!$B$6,"Boat number above the boat count",IF(SUMIFS($F$5:$F$1004,$B$5:$B$1004,B245,$C$5:$C$1004,C245)&gt;1.0001,"Shares for this step add up to over 100%",IF(I245="","Waiting for sign-off",IF(AND(Settings!$B$10="Yes",I245=E245),"Needs a different member to sign off","OK"))))))</f>
        <v/>
      </c>
    </row>
    <row r="246">
      <c r="A246" s="9" t="n"/>
      <c r="B246" s="6" t="n"/>
      <c r="C246" s="6" t="n"/>
      <c r="D246" s="3">
        <f>IF(C246="","",IFERROR(INDEX(Steps!$C$5:$C$62,MATCH(C246,Steps!$A$5:$A$62,0)),""))</f>
        <v/>
      </c>
      <c r="E246" s="6" t="n"/>
      <c r="F246" s="8" t="n"/>
      <c r="G246" s="6" t="n"/>
      <c r="H246" s="7" t="n"/>
      <c r="I246" s="6" t="n"/>
      <c r="J246" s="9" t="n"/>
      <c r="K246" s="11">
        <f>IF(C246="","",N(IFERROR(INDEX(Steps!$E$5:$E$62,MATCH(C246,Steps!$A$5:$A$62,0)),"")))</f>
        <v/>
      </c>
      <c r="L246" s="11">
        <f>IF(AND(C246&lt;&gt;"",E246&lt;&gt;"",I246&lt;&gt;"",OR(Settings!$B$10="No",I246&lt;&gt;E246)),K246*F246,0)</f>
        <v/>
      </c>
      <c r="M246" s="11">
        <f>IF(AND(AND(C246&lt;&gt;"",E246&lt;&gt;"",I246&lt;&gt;"",OR(Settings!$B$10="No",I246&lt;&gt;E246)),G246="Paid a pro",Settings!$B$9="Yes"),MAX(0,H246-K246*F246),0)</f>
        <v/>
      </c>
      <c r="N246" s="3">
        <f>IF(C246="","",IF(B246="","Enter the boat number",IF(B246&gt;Settings!$B$6,"Boat number above the boat count",IF(SUMIFS($F$5:$F$1004,$B$5:$B$1004,B246,$C$5:$C$1004,C246)&gt;1.0001,"Shares for this step add up to over 100%",IF(I246="","Waiting for sign-off",IF(AND(Settings!$B$10="Yes",I246=E246),"Needs a different member to sign off","OK"))))))</f>
        <v/>
      </c>
    </row>
    <row r="247">
      <c r="A247" s="9" t="n"/>
      <c r="B247" s="6" t="n"/>
      <c r="C247" s="6" t="n"/>
      <c r="D247" s="3">
        <f>IF(C247="","",IFERROR(INDEX(Steps!$C$5:$C$62,MATCH(C247,Steps!$A$5:$A$62,0)),""))</f>
        <v/>
      </c>
      <c r="E247" s="6" t="n"/>
      <c r="F247" s="8" t="n"/>
      <c r="G247" s="6" t="n"/>
      <c r="H247" s="7" t="n"/>
      <c r="I247" s="6" t="n"/>
      <c r="J247" s="9" t="n"/>
      <c r="K247" s="11">
        <f>IF(C247="","",N(IFERROR(INDEX(Steps!$E$5:$E$62,MATCH(C247,Steps!$A$5:$A$62,0)),"")))</f>
        <v/>
      </c>
      <c r="L247" s="11">
        <f>IF(AND(C247&lt;&gt;"",E247&lt;&gt;"",I247&lt;&gt;"",OR(Settings!$B$10="No",I247&lt;&gt;E247)),K247*F247,0)</f>
        <v/>
      </c>
      <c r="M247" s="11">
        <f>IF(AND(AND(C247&lt;&gt;"",E247&lt;&gt;"",I247&lt;&gt;"",OR(Settings!$B$10="No",I247&lt;&gt;E247)),G247="Paid a pro",Settings!$B$9="Yes"),MAX(0,H247-K247*F247),0)</f>
        <v/>
      </c>
      <c r="N247" s="3">
        <f>IF(C247="","",IF(B247="","Enter the boat number",IF(B247&gt;Settings!$B$6,"Boat number above the boat count",IF(SUMIFS($F$5:$F$1004,$B$5:$B$1004,B247,$C$5:$C$1004,C247)&gt;1.0001,"Shares for this step add up to over 100%",IF(I247="","Waiting for sign-off",IF(AND(Settings!$B$10="Yes",I247=E247),"Needs a different member to sign off","OK"))))))</f>
        <v/>
      </c>
    </row>
    <row r="248">
      <c r="A248" s="9" t="n"/>
      <c r="B248" s="6" t="n"/>
      <c r="C248" s="6" t="n"/>
      <c r="D248" s="3">
        <f>IF(C248="","",IFERROR(INDEX(Steps!$C$5:$C$62,MATCH(C248,Steps!$A$5:$A$62,0)),""))</f>
        <v/>
      </c>
      <c r="E248" s="6" t="n"/>
      <c r="F248" s="8" t="n"/>
      <c r="G248" s="6" t="n"/>
      <c r="H248" s="7" t="n"/>
      <c r="I248" s="6" t="n"/>
      <c r="J248" s="9" t="n"/>
      <c r="K248" s="11">
        <f>IF(C248="","",N(IFERROR(INDEX(Steps!$E$5:$E$62,MATCH(C248,Steps!$A$5:$A$62,0)),"")))</f>
        <v/>
      </c>
      <c r="L248" s="11">
        <f>IF(AND(C248&lt;&gt;"",E248&lt;&gt;"",I248&lt;&gt;"",OR(Settings!$B$10="No",I248&lt;&gt;E248)),K248*F248,0)</f>
        <v/>
      </c>
      <c r="M248" s="11">
        <f>IF(AND(AND(C248&lt;&gt;"",E248&lt;&gt;"",I248&lt;&gt;"",OR(Settings!$B$10="No",I248&lt;&gt;E248)),G248="Paid a pro",Settings!$B$9="Yes"),MAX(0,H248-K248*F248),0)</f>
        <v/>
      </c>
      <c r="N248" s="3">
        <f>IF(C248="","",IF(B248="","Enter the boat number",IF(B248&gt;Settings!$B$6,"Boat number above the boat count",IF(SUMIFS($F$5:$F$1004,$B$5:$B$1004,B248,$C$5:$C$1004,C248)&gt;1.0001,"Shares for this step add up to over 100%",IF(I248="","Waiting for sign-off",IF(AND(Settings!$B$10="Yes",I248=E248),"Needs a different member to sign off","OK"))))))</f>
        <v/>
      </c>
    </row>
    <row r="249">
      <c r="A249" s="9" t="n"/>
      <c r="B249" s="6" t="n"/>
      <c r="C249" s="6" t="n"/>
      <c r="D249" s="3">
        <f>IF(C249="","",IFERROR(INDEX(Steps!$C$5:$C$62,MATCH(C249,Steps!$A$5:$A$62,0)),""))</f>
        <v/>
      </c>
      <c r="E249" s="6" t="n"/>
      <c r="F249" s="8" t="n"/>
      <c r="G249" s="6" t="n"/>
      <c r="H249" s="7" t="n"/>
      <c r="I249" s="6" t="n"/>
      <c r="J249" s="9" t="n"/>
      <c r="K249" s="11">
        <f>IF(C249="","",N(IFERROR(INDEX(Steps!$E$5:$E$62,MATCH(C249,Steps!$A$5:$A$62,0)),"")))</f>
        <v/>
      </c>
      <c r="L249" s="11">
        <f>IF(AND(C249&lt;&gt;"",E249&lt;&gt;"",I249&lt;&gt;"",OR(Settings!$B$10="No",I249&lt;&gt;E249)),K249*F249,0)</f>
        <v/>
      </c>
      <c r="M249" s="11">
        <f>IF(AND(AND(C249&lt;&gt;"",E249&lt;&gt;"",I249&lt;&gt;"",OR(Settings!$B$10="No",I249&lt;&gt;E249)),G249="Paid a pro",Settings!$B$9="Yes"),MAX(0,H249-K249*F249),0)</f>
        <v/>
      </c>
      <c r="N249" s="3">
        <f>IF(C249="","",IF(B249="","Enter the boat number",IF(B249&gt;Settings!$B$6,"Boat number above the boat count",IF(SUMIFS($F$5:$F$1004,$B$5:$B$1004,B249,$C$5:$C$1004,C249)&gt;1.0001,"Shares for this step add up to over 100%",IF(I249="","Waiting for sign-off",IF(AND(Settings!$B$10="Yes",I249=E249),"Needs a different member to sign off","OK"))))))</f>
        <v/>
      </c>
    </row>
    <row r="250">
      <c r="A250" s="9" t="n"/>
      <c r="B250" s="6" t="n"/>
      <c r="C250" s="6" t="n"/>
      <c r="D250" s="3">
        <f>IF(C250="","",IFERROR(INDEX(Steps!$C$5:$C$62,MATCH(C250,Steps!$A$5:$A$62,0)),""))</f>
        <v/>
      </c>
      <c r="E250" s="6" t="n"/>
      <c r="F250" s="8" t="n"/>
      <c r="G250" s="6" t="n"/>
      <c r="H250" s="7" t="n"/>
      <c r="I250" s="6" t="n"/>
      <c r="J250" s="9" t="n"/>
      <c r="K250" s="11">
        <f>IF(C250="","",N(IFERROR(INDEX(Steps!$E$5:$E$62,MATCH(C250,Steps!$A$5:$A$62,0)),"")))</f>
        <v/>
      </c>
      <c r="L250" s="11">
        <f>IF(AND(C250&lt;&gt;"",E250&lt;&gt;"",I250&lt;&gt;"",OR(Settings!$B$10="No",I250&lt;&gt;E250)),K250*F250,0)</f>
        <v/>
      </c>
      <c r="M250" s="11">
        <f>IF(AND(AND(C250&lt;&gt;"",E250&lt;&gt;"",I250&lt;&gt;"",OR(Settings!$B$10="No",I250&lt;&gt;E250)),G250="Paid a pro",Settings!$B$9="Yes"),MAX(0,H250-K250*F250),0)</f>
        <v/>
      </c>
      <c r="N250" s="3">
        <f>IF(C250="","",IF(B250="","Enter the boat number",IF(B250&gt;Settings!$B$6,"Boat number above the boat count",IF(SUMIFS($F$5:$F$1004,$B$5:$B$1004,B250,$C$5:$C$1004,C250)&gt;1.0001,"Shares for this step add up to over 100%",IF(I250="","Waiting for sign-off",IF(AND(Settings!$B$10="Yes",I250=E250),"Needs a different member to sign off","OK"))))))</f>
        <v/>
      </c>
    </row>
    <row r="251">
      <c r="A251" s="9" t="n"/>
      <c r="B251" s="6" t="n"/>
      <c r="C251" s="6" t="n"/>
      <c r="D251" s="3">
        <f>IF(C251="","",IFERROR(INDEX(Steps!$C$5:$C$62,MATCH(C251,Steps!$A$5:$A$62,0)),""))</f>
        <v/>
      </c>
      <c r="E251" s="6" t="n"/>
      <c r="F251" s="8" t="n"/>
      <c r="G251" s="6" t="n"/>
      <c r="H251" s="7" t="n"/>
      <c r="I251" s="6" t="n"/>
      <c r="J251" s="9" t="n"/>
      <c r="K251" s="11">
        <f>IF(C251="","",N(IFERROR(INDEX(Steps!$E$5:$E$62,MATCH(C251,Steps!$A$5:$A$62,0)),"")))</f>
        <v/>
      </c>
      <c r="L251" s="11">
        <f>IF(AND(C251&lt;&gt;"",E251&lt;&gt;"",I251&lt;&gt;"",OR(Settings!$B$10="No",I251&lt;&gt;E251)),K251*F251,0)</f>
        <v/>
      </c>
      <c r="M251" s="11">
        <f>IF(AND(AND(C251&lt;&gt;"",E251&lt;&gt;"",I251&lt;&gt;"",OR(Settings!$B$10="No",I251&lt;&gt;E251)),G251="Paid a pro",Settings!$B$9="Yes"),MAX(0,H251-K251*F251),0)</f>
        <v/>
      </c>
      <c r="N251" s="3">
        <f>IF(C251="","",IF(B251="","Enter the boat number",IF(B251&gt;Settings!$B$6,"Boat number above the boat count",IF(SUMIFS($F$5:$F$1004,$B$5:$B$1004,B251,$C$5:$C$1004,C251)&gt;1.0001,"Shares for this step add up to over 100%",IF(I251="","Waiting for sign-off",IF(AND(Settings!$B$10="Yes",I251=E251),"Needs a different member to sign off","OK"))))))</f>
        <v/>
      </c>
    </row>
    <row r="252">
      <c r="A252" s="9" t="n"/>
      <c r="B252" s="6" t="n"/>
      <c r="C252" s="6" t="n"/>
      <c r="D252" s="3">
        <f>IF(C252="","",IFERROR(INDEX(Steps!$C$5:$C$62,MATCH(C252,Steps!$A$5:$A$62,0)),""))</f>
        <v/>
      </c>
      <c r="E252" s="6" t="n"/>
      <c r="F252" s="8" t="n"/>
      <c r="G252" s="6" t="n"/>
      <c r="H252" s="7" t="n"/>
      <c r="I252" s="6" t="n"/>
      <c r="J252" s="9" t="n"/>
      <c r="K252" s="11">
        <f>IF(C252="","",N(IFERROR(INDEX(Steps!$E$5:$E$62,MATCH(C252,Steps!$A$5:$A$62,0)),"")))</f>
        <v/>
      </c>
      <c r="L252" s="11">
        <f>IF(AND(C252&lt;&gt;"",E252&lt;&gt;"",I252&lt;&gt;"",OR(Settings!$B$10="No",I252&lt;&gt;E252)),K252*F252,0)</f>
        <v/>
      </c>
      <c r="M252" s="11">
        <f>IF(AND(AND(C252&lt;&gt;"",E252&lt;&gt;"",I252&lt;&gt;"",OR(Settings!$B$10="No",I252&lt;&gt;E252)),G252="Paid a pro",Settings!$B$9="Yes"),MAX(0,H252-K252*F252),0)</f>
        <v/>
      </c>
      <c r="N252" s="3">
        <f>IF(C252="","",IF(B252="","Enter the boat number",IF(B252&gt;Settings!$B$6,"Boat number above the boat count",IF(SUMIFS($F$5:$F$1004,$B$5:$B$1004,B252,$C$5:$C$1004,C252)&gt;1.0001,"Shares for this step add up to over 100%",IF(I252="","Waiting for sign-off",IF(AND(Settings!$B$10="Yes",I252=E252),"Needs a different member to sign off","OK"))))))</f>
        <v/>
      </c>
    </row>
    <row r="253">
      <c r="A253" s="9" t="n"/>
      <c r="B253" s="6" t="n"/>
      <c r="C253" s="6" t="n"/>
      <c r="D253" s="3">
        <f>IF(C253="","",IFERROR(INDEX(Steps!$C$5:$C$62,MATCH(C253,Steps!$A$5:$A$62,0)),""))</f>
        <v/>
      </c>
      <c r="E253" s="6" t="n"/>
      <c r="F253" s="8" t="n"/>
      <c r="G253" s="6" t="n"/>
      <c r="H253" s="7" t="n"/>
      <c r="I253" s="6" t="n"/>
      <c r="J253" s="9" t="n"/>
      <c r="K253" s="11">
        <f>IF(C253="","",N(IFERROR(INDEX(Steps!$E$5:$E$62,MATCH(C253,Steps!$A$5:$A$62,0)),"")))</f>
        <v/>
      </c>
      <c r="L253" s="11">
        <f>IF(AND(C253&lt;&gt;"",E253&lt;&gt;"",I253&lt;&gt;"",OR(Settings!$B$10="No",I253&lt;&gt;E253)),K253*F253,0)</f>
        <v/>
      </c>
      <c r="M253" s="11">
        <f>IF(AND(AND(C253&lt;&gt;"",E253&lt;&gt;"",I253&lt;&gt;"",OR(Settings!$B$10="No",I253&lt;&gt;E253)),G253="Paid a pro",Settings!$B$9="Yes"),MAX(0,H253-K253*F253),0)</f>
        <v/>
      </c>
      <c r="N253" s="3">
        <f>IF(C253="","",IF(B253="","Enter the boat number",IF(B253&gt;Settings!$B$6,"Boat number above the boat count",IF(SUMIFS($F$5:$F$1004,$B$5:$B$1004,B253,$C$5:$C$1004,C253)&gt;1.0001,"Shares for this step add up to over 100%",IF(I253="","Waiting for sign-off",IF(AND(Settings!$B$10="Yes",I253=E253),"Needs a different member to sign off","OK"))))))</f>
        <v/>
      </c>
    </row>
    <row r="254">
      <c r="A254" s="9" t="n"/>
      <c r="B254" s="6" t="n"/>
      <c r="C254" s="6" t="n"/>
      <c r="D254" s="3">
        <f>IF(C254="","",IFERROR(INDEX(Steps!$C$5:$C$62,MATCH(C254,Steps!$A$5:$A$62,0)),""))</f>
        <v/>
      </c>
      <c r="E254" s="6" t="n"/>
      <c r="F254" s="8" t="n"/>
      <c r="G254" s="6" t="n"/>
      <c r="H254" s="7" t="n"/>
      <c r="I254" s="6" t="n"/>
      <c r="J254" s="9" t="n"/>
      <c r="K254" s="11">
        <f>IF(C254="","",N(IFERROR(INDEX(Steps!$E$5:$E$62,MATCH(C254,Steps!$A$5:$A$62,0)),"")))</f>
        <v/>
      </c>
      <c r="L254" s="11">
        <f>IF(AND(C254&lt;&gt;"",E254&lt;&gt;"",I254&lt;&gt;"",OR(Settings!$B$10="No",I254&lt;&gt;E254)),K254*F254,0)</f>
        <v/>
      </c>
      <c r="M254" s="11">
        <f>IF(AND(AND(C254&lt;&gt;"",E254&lt;&gt;"",I254&lt;&gt;"",OR(Settings!$B$10="No",I254&lt;&gt;E254)),G254="Paid a pro",Settings!$B$9="Yes"),MAX(0,H254-K254*F254),0)</f>
        <v/>
      </c>
      <c r="N254" s="3">
        <f>IF(C254="","",IF(B254="","Enter the boat number",IF(B254&gt;Settings!$B$6,"Boat number above the boat count",IF(SUMIFS($F$5:$F$1004,$B$5:$B$1004,B254,$C$5:$C$1004,C254)&gt;1.0001,"Shares for this step add up to over 100%",IF(I254="","Waiting for sign-off",IF(AND(Settings!$B$10="Yes",I254=E254),"Needs a different member to sign off","OK"))))))</f>
        <v/>
      </c>
    </row>
    <row r="255">
      <c r="A255" s="9" t="n"/>
      <c r="B255" s="6" t="n"/>
      <c r="C255" s="6" t="n"/>
      <c r="D255" s="3">
        <f>IF(C255="","",IFERROR(INDEX(Steps!$C$5:$C$62,MATCH(C255,Steps!$A$5:$A$62,0)),""))</f>
        <v/>
      </c>
      <c r="E255" s="6" t="n"/>
      <c r="F255" s="8" t="n"/>
      <c r="G255" s="6" t="n"/>
      <c r="H255" s="7" t="n"/>
      <c r="I255" s="6" t="n"/>
      <c r="J255" s="9" t="n"/>
      <c r="K255" s="11">
        <f>IF(C255="","",N(IFERROR(INDEX(Steps!$E$5:$E$62,MATCH(C255,Steps!$A$5:$A$62,0)),"")))</f>
        <v/>
      </c>
      <c r="L255" s="11">
        <f>IF(AND(C255&lt;&gt;"",E255&lt;&gt;"",I255&lt;&gt;"",OR(Settings!$B$10="No",I255&lt;&gt;E255)),K255*F255,0)</f>
        <v/>
      </c>
      <c r="M255" s="11">
        <f>IF(AND(AND(C255&lt;&gt;"",E255&lt;&gt;"",I255&lt;&gt;"",OR(Settings!$B$10="No",I255&lt;&gt;E255)),G255="Paid a pro",Settings!$B$9="Yes"),MAX(0,H255-K255*F255),0)</f>
        <v/>
      </c>
      <c r="N255" s="3">
        <f>IF(C255="","",IF(B255="","Enter the boat number",IF(B255&gt;Settings!$B$6,"Boat number above the boat count",IF(SUMIFS($F$5:$F$1004,$B$5:$B$1004,B255,$C$5:$C$1004,C255)&gt;1.0001,"Shares for this step add up to over 100%",IF(I255="","Waiting for sign-off",IF(AND(Settings!$B$10="Yes",I255=E255),"Needs a different member to sign off","OK"))))))</f>
        <v/>
      </c>
    </row>
    <row r="256">
      <c r="A256" s="9" t="n"/>
      <c r="B256" s="6" t="n"/>
      <c r="C256" s="6" t="n"/>
      <c r="D256" s="3">
        <f>IF(C256="","",IFERROR(INDEX(Steps!$C$5:$C$62,MATCH(C256,Steps!$A$5:$A$62,0)),""))</f>
        <v/>
      </c>
      <c r="E256" s="6" t="n"/>
      <c r="F256" s="8" t="n"/>
      <c r="G256" s="6" t="n"/>
      <c r="H256" s="7" t="n"/>
      <c r="I256" s="6" t="n"/>
      <c r="J256" s="9" t="n"/>
      <c r="K256" s="11">
        <f>IF(C256="","",N(IFERROR(INDEX(Steps!$E$5:$E$62,MATCH(C256,Steps!$A$5:$A$62,0)),"")))</f>
        <v/>
      </c>
      <c r="L256" s="11">
        <f>IF(AND(C256&lt;&gt;"",E256&lt;&gt;"",I256&lt;&gt;"",OR(Settings!$B$10="No",I256&lt;&gt;E256)),K256*F256,0)</f>
        <v/>
      </c>
      <c r="M256" s="11">
        <f>IF(AND(AND(C256&lt;&gt;"",E256&lt;&gt;"",I256&lt;&gt;"",OR(Settings!$B$10="No",I256&lt;&gt;E256)),G256="Paid a pro",Settings!$B$9="Yes"),MAX(0,H256-K256*F256),0)</f>
        <v/>
      </c>
      <c r="N256" s="3">
        <f>IF(C256="","",IF(B256="","Enter the boat number",IF(B256&gt;Settings!$B$6,"Boat number above the boat count",IF(SUMIFS($F$5:$F$1004,$B$5:$B$1004,B256,$C$5:$C$1004,C256)&gt;1.0001,"Shares for this step add up to over 100%",IF(I256="","Waiting for sign-off",IF(AND(Settings!$B$10="Yes",I256=E256),"Needs a different member to sign off","OK"))))))</f>
        <v/>
      </c>
    </row>
    <row r="257">
      <c r="A257" s="9" t="n"/>
      <c r="B257" s="6" t="n"/>
      <c r="C257" s="6" t="n"/>
      <c r="D257" s="3">
        <f>IF(C257="","",IFERROR(INDEX(Steps!$C$5:$C$62,MATCH(C257,Steps!$A$5:$A$62,0)),""))</f>
        <v/>
      </c>
      <c r="E257" s="6" t="n"/>
      <c r="F257" s="8" t="n"/>
      <c r="G257" s="6" t="n"/>
      <c r="H257" s="7" t="n"/>
      <c r="I257" s="6" t="n"/>
      <c r="J257" s="9" t="n"/>
      <c r="K257" s="11">
        <f>IF(C257="","",N(IFERROR(INDEX(Steps!$E$5:$E$62,MATCH(C257,Steps!$A$5:$A$62,0)),"")))</f>
        <v/>
      </c>
      <c r="L257" s="11">
        <f>IF(AND(C257&lt;&gt;"",E257&lt;&gt;"",I257&lt;&gt;"",OR(Settings!$B$10="No",I257&lt;&gt;E257)),K257*F257,0)</f>
        <v/>
      </c>
      <c r="M257" s="11">
        <f>IF(AND(AND(C257&lt;&gt;"",E257&lt;&gt;"",I257&lt;&gt;"",OR(Settings!$B$10="No",I257&lt;&gt;E257)),G257="Paid a pro",Settings!$B$9="Yes"),MAX(0,H257-K257*F257),0)</f>
        <v/>
      </c>
      <c r="N257" s="3">
        <f>IF(C257="","",IF(B257="","Enter the boat number",IF(B257&gt;Settings!$B$6,"Boat number above the boat count",IF(SUMIFS($F$5:$F$1004,$B$5:$B$1004,B257,$C$5:$C$1004,C257)&gt;1.0001,"Shares for this step add up to over 100%",IF(I257="","Waiting for sign-off",IF(AND(Settings!$B$10="Yes",I257=E257),"Needs a different member to sign off","OK"))))))</f>
        <v/>
      </c>
    </row>
    <row r="258">
      <c r="A258" s="9" t="n"/>
      <c r="B258" s="6" t="n"/>
      <c r="C258" s="6" t="n"/>
      <c r="D258" s="3">
        <f>IF(C258="","",IFERROR(INDEX(Steps!$C$5:$C$62,MATCH(C258,Steps!$A$5:$A$62,0)),""))</f>
        <v/>
      </c>
      <c r="E258" s="6" t="n"/>
      <c r="F258" s="8" t="n"/>
      <c r="G258" s="6" t="n"/>
      <c r="H258" s="7" t="n"/>
      <c r="I258" s="6" t="n"/>
      <c r="J258" s="9" t="n"/>
      <c r="K258" s="11">
        <f>IF(C258="","",N(IFERROR(INDEX(Steps!$E$5:$E$62,MATCH(C258,Steps!$A$5:$A$62,0)),"")))</f>
        <v/>
      </c>
      <c r="L258" s="11">
        <f>IF(AND(C258&lt;&gt;"",E258&lt;&gt;"",I258&lt;&gt;"",OR(Settings!$B$10="No",I258&lt;&gt;E258)),K258*F258,0)</f>
        <v/>
      </c>
      <c r="M258" s="11">
        <f>IF(AND(AND(C258&lt;&gt;"",E258&lt;&gt;"",I258&lt;&gt;"",OR(Settings!$B$10="No",I258&lt;&gt;E258)),G258="Paid a pro",Settings!$B$9="Yes"),MAX(0,H258-K258*F258),0)</f>
        <v/>
      </c>
      <c r="N258" s="3">
        <f>IF(C258="","",IF(B258="","Enter the boat number",IF(B258&gt;Settings!$B$6,"Boat number above the boat count",IF(SUMIFS($F$5:$F$1004,$B$5:$B$1004,B258,$C$5:$C$1004,C258)&gt;1.0001,"Shares for this step add up to over 100%",IF(I258="","Waiting for sign-off",IF(AND(Settings!$B$10="Yes",I258=E258),"Needs a different member to sign off","OK"))))))</f>
        <v/>
      </c>
    </row>
    <row r="259">
      <c r="A259" s="9" t="n"/>
      <c r="B259" s="6" t="n"/>
      <c r="C259" s="6" t="n"/>
      <c r="D259" s="3">
        <f>IF(C259="","",IFERROR(INDEX(Steps!$C$5:$C$62,MATCH(C259,Steps!$A$5:$A$62,0)),""))</f>
        <v/>
      </c>
      <c r="E259" s="6" t="n"/>
      <c r="F259" s="8" t="n"/>
      <c r="G259" s="6" t="n"/>
      <c r="H259" s="7" t="n"/>
      <c r="I259" s="6" t="n"/>
      <c r="J259" s="9" t="n"/>
      <c r="K259" s="11">
        <f>IF(C259="","",N(IFERROR(INDEX(Steps!$E$5:$E$62,MATCH(C259,Steps!$A$5:$A$62,0)),"")))</f>
        <v/>
      </c>
      <c r="L259" s="11">
        <f>IF(AND(C259&lt;&gt;"",E259&lt;&gt;"",I259&lt;&gt;"",OR(Settings!$B$10="No",I259&lt;&gt;E259)),K259*F259,0)</f>
        <v/>
      </c>
      <c r="M259" s="11">
        <f>IF(AND(AND(C259&lt;&gt;"",E259&lt;&gt;"",I259&lt;&gt;"",OR(Settings!$B$10="No",I259&lt;&gt;E259)),G259="Paid a pro",Settings!$B$9="Yes"),MAX(0,H259-K259*F259),0)</f>
        <v/>
      </c>
      <c r="N259" s="3">
        <f>IF(C259="","",IF(B259="","Enter the boat number",IF(B259&gt;Settings!$B$6,"Boat number above the boat count",IF(SUMIFS($F$5:$F$1004,$B$5:$B$1004,B259,$C$5:$C$1004,C259)&gt;1.0001,"Shares for this step add up to over 100%",IF(I259="","Waiting for sign-off",IF(AND(Settings!$B$10="Yes",I259=E259),"Needs a different member to sign off","OK"))))))</f>
        <v/>
      </c>
    </row>
    <row r="260">
      <c r="A260" s="9" t="n"/>
      <c r="B260" s="6" t="n"/>
      <c r="C260" s="6" t="n"/>
      <c r="D260" s="3">
        <f>IF(C260="","",IFERROR(INDEX(Steps!$C$5:$C$62,MATCH(C260,Steps!$A$5:$A$62,0)),""))</f>
        <v/>
      </c>
      <c r="E260" s="6" t="n"/>
      <c r="F260" s="8" t="n"/>
      <c r="G260" s="6" t="n"/>
      <c r="H260" s="7" t="n"/>
      <c r="I260" s="6" t="n"/>
      <c r="J260" s="9" t="n"/>
      <c r="K260" s="11">
        <f>IF(C260="","",N(IFERROR(INDEX(Steps!$E$5:$E$62,MATCH(C260,Steps!$A$5:$A$62,0)),"")))</f>
        <v/>
      </c>
      <c r="L260" s="11">
        <f>IF(AND(C260&lt;&gt;"",E260&lt;&gt;"",I260&lt;&gt;"",OR(Settings!$B$10="No",I260&lt;&gt;E260)),K260*F260,0)</f>
        <v/>
      </c>
      <c r="M260" s="11">
        <f>IF(AND(AND(C260&lt;&gt;"",E260&lt;&gt;"",I260&lt;&gt;"",OR(Settings!$B$10="No",I260&lt;&gt;E260)),G260="Paid a pro",Settings!$B$9="Yes"),MAX(0,H260-K260*F260),0)</f>
        <v/>
      </c>
      <c r="N260" s="3">
        <f>IF(C260="","",IF(B260="","Enter the boat number",IF(B260&gt;Settings!$B$6,"Boat number above the boat count",IF(SUMIFS($F$5:$F$1004,$B$5:$B$1004,B260,$C$5:$C$1004,C260)&gt;1.0001,"Shares for this step add up to over 100%",IF(I260="","Waiting for sign-off",IF(AND(Settings!$B$10="Yes",I260=E260),"Needs a different member to sign off","OK"))))))</f>
        <v/>
      </c>
    </row>
    <row r="261">
      <c r="A261" s="9" t="n"/>
      <c r="B261" s="6" t="n"/>
      <c r="C261" s="6" t="n"/>
      <c r="D261" s="3">
        <f>IF(C261="","",IFERROR(INDEX(Steps!$C$5:$C$62,MATCH(C261,Steps!$A$5:$A$62,0)),""))</f>
        <v/>
      </c>
      <c r="E261" s="6" t="n"/>
      <c r="F261" s="8" t="n"/>
      <c r="G261" s="6" t="n"/>
      <c r="H261" s="7" t="n"/>
      <c r="I261" s="6" t="n"/>
      <c r="J261" s="9" t="n"/>
      <c r="K261" s="11">
        <f>IF(C261="","",N(IFERROR(INDEX(Steps!$E$5:$E$62,MATCH(C261,Steps!$A$5:$A$62,0)),"")))</f>
        <v/>
      </c>
      <c r="L261" s="11">
        <f>IF(AND(C261&lt;&gt;"",E261&lt;&gt;"",I261&lt;&gt;"",OR(Settings!$B$10="No",I261&lt;&gt;E261)),K261*F261,0)</f>
        <v/>
      </c>
      <c r="M261" s="11">
        <f>IF(AND(AND(C261&lt;&gt;"",E261&lt;&gt;"",I261&lt;&gt;"",OR(Settings!$B$10="No",I261&lt;&gt;E261)),G261="Paid a pro",Settings!$B$9="Yes"),MAX(0,H261-K261*F261),0)</f>
        <v/>
      </c>
      <c r="N261" s="3">
        <f>IF(C261="","",IF(B261="","Enter the boat number",IF(B261&gt;Settings!$B$6,"Boat number above the boat count",IF(SUMIFS($F$5:$F$1004,$B$5:$B$1004,B261,$C$5:$C$1004,C261)&gt;1.0001,"Shares for this step add up to over 100%",IF(I261="","Waiting for sign-off",IF(AND(Settings!$B$10="Yes",I261=E261),"Needs a different member to sign off","OK"))))))</f>
        <v/>
      </c>
    </row>
    <row r="262">
      <c r="A262" s="9" t="n"/>
      <c r="B262" s="6" t="n"/>
      <c r="C262" s="6" t="n"/>
      <c r="D262" s="3">
        <f>IF(C262="","",IFERROR(INDEX(Steps!$C$5:$C$62,MATCH(C262,Steps!$A$5:$A$62,0)),""))</f>
        <v/>
      </c>
      <c r="E262" s="6" t="n"/>
      <c r="F262" s="8" t="n"/>
      <c r="G262" s="6" t="n"/>
      <c r="H262" s="7" t="n"/>
      <c r="I262" s="6" t="n"/>
      <c r="J262" s="9" t="n"/>
      <c r="K262" s="11">
        <f>IF(C262="","",N(IFERROR(INDEX(Steps!$E$5:$E$62,MATCH(C262,Steps!$A$5:$A$62,0)),"")))</f>
        <v/>
      </c>
      <c r="L262" s="11">
        <f>IF(AND(C262&lt;&gt;"",E262&lt;&gt;"",I262&lt;&gt;"",OR(Settings!$B$10="No",I262&lt;&gt;E262)),K262*F262,0)</f>
        <v/>
      </c>
      <c r="M262" s="11">
        <f>IF(AND(AND(C262&lt;&gt;"",E262&lt;&gt;"",I262&lt;&gt;"",OR(Settings!$B$10="No",I262&lt;&gt;E262)),G262="Paid a pro",Settings!$B$9="Yes"),MAX(0,H262-K262*F262),0)</f>
        <v/>
      </c>
      <c r="N262" s="3">
        <f>IF(C262="","",IF(B262="","Enter the boat number",IF(B262&gt;Settings!$B$6,"Boat number above the boat count",IF(SUMIFS($F$5:$F$1004,$B$5:$B$1004,B262,$C$5:$C$1004,C262)&gt;1.0001,"Shares for this step add up to over 100%",IF(I262="","Waiting for sign-off",IF(AND(Settings!$B$10="Yes",I262=E262),"Needs a different member to sign off","OK"))))))</f>
        <v/>
      </c>
    </row>
    <row r="263">
      <c r="A263" s="9" t="n"/>
      <c r="B263" s="6" t="n"/>
      <c r="C263" s="6" t="n"/>
      <c r="D263" s="3">
        <f>IF(C263="","",IFERROR(INDEX(Steps!$C$5:$C$62,MATCH(C263,Steps!$A$5:$A$62,0)),""))</f>
        <v/>
      </c>
      <c r="E263" s="6" t="n"/>
      <c r="F263" s="8" t="n"/>
      <c r="G263" s="6" t="n"/>
      <c r="H263" s="7" t="n"/>
      <c r="I263" s="6" t="n"/>
      <c r="J263" s="9" t="n"/>
      <c r="K263" s="11">
        <f>IF(C263="","",N(IFERROR(INDEX(Steps!$E$5:$E$62,MATCH(C263,Steps!$A$5:$A$62,0)),"")))</f>
        <v/>
      </c>
      <c r="L263" s="11">
        <f>IF(AND(C263&lt;&gt;"",E263&lt;&gt;"",I263&lt;&gt;"",OR(Settings!$B$10="No",I263&lt;&gt;E263)),K263*F263,0)</f>
        <v/>
      </c>
      <c r="M263" s="11">
        <f>IF(AND(AND(C263&lt;&gt;"",E263&lt;&gt;"",I263&lt;&gt;"",OR(Settings!$B$10="No",I263&lt;&gt;E263)),G263="Paid a pro",Settings!$B$9="Yes"),MAX(0,H263-K263*F263),0)</f>
        <v/>
      </c>
      <c r="N263" s="3">
        <f>IF(C263="","",IF(B263="","Enter the boat number",IF(B263&gt;Settings!$B$6,"Boat number above the boat count",IF(SUMIFS($F$5:$F$1004,$B$5:$B$1004,B263,$C$5:$C$1004,C263)&gt;1.0001,"Shares for this step add up to over 100%",IF(I263="","Waiting for sign-off",IF(AND(Settings!$B$10="Yes",I263=E263),"Needs a different member to sign off","OK"))))))</f>
        <v/>
      </c>
    </row>
    <row r="264">
      <c r="A264" s="9" t="n"/>
      <c r="B264" s="6" t="n"/>
      <c r="C264" s="6" t="n"/>
      <c r="D264" s="3">
        <f>IF(C264="","",IFERROR(INDEX(Steps!$C$5:$C$62,MATCH(C264,Steps!$A$5:$A$62,0)),""))</f>
        <v/>
      </c>
      <c r="E264" s="6" t="n"/>
      <c r="F264" s="8" t="n"/>
      <c r="G264" s="6" t="n"/>
      <c r="H264" s="7" t="n"/>
      <c r="I264" s="6" t="n"/>
      <c r="J264" s="9" t="n"/>
      <c r="K264" s="11">
        <f>IF(C264="","",N(IFERROR(INDEX(Steps!$E$5:$E$62,MATCH(C264,Steps!$A$5:$A$62,0)),"")))</f>
        <v/>
      </c>
      <c r="L264" s="11">
        <f>IF(AND(C264&lt;&gt;"",E264&lt;&gt;"",I264&lt;&gt;"",OR(Settings!$B$10="No",I264&lt;&gt;E264)),K264*F264,0)</f>
        <v/>
      </c>
      <c r="M264" s="11">
        <f>IF(AND(AND(C264&lt;&gt;"",E264&lt;&gt;"",I264&lt;&gt;"",OR(Settings!$B$10="No",I264&lt;&gt;E264)),G264="Paid a pro",Settings!$B$9="Yes"),MAX(0,H264-K264*F264),0)</f>
        <v/>
      </c>
      <c r="N264" s="3">
        <f>IF(C264="","",IF(B264="","Enter the boat number",IF(B264&gt;Settings!$B$6,"Boat number above the boat count",IF(SUMIFS($F$5:$F$1004,$B$5:$B$1004,B264,$C$5:$C$1004,C264)&gt;1.0001,"Shares for this step add up to over 100%",IF(I264="","Waiting for sign-off",IF(AND(Settings!$B$10="Yes",I264=E264),"Needs a different member to sign off","OK"))))))</f>
        <v/>
      </c>
    </row>
    <row r="265">
      <c r="A265" s="9" t="n"/>
      <c r="B265" s="6" t="n"/>
      <c r="C265" s="6" t="n"/>
      <c r="D265" s="3">
        <f>IF(C265="","",IFERROR(INDEX(Steps!$C$5:$C$62,MATCH(C265,Steps!$A$5:$A$62,0)),""))</f>
        <v/>
      </c>
      <c r="E265" s="6" t="n"/>
      <c r="F265" s="8" t="n"/>
      <c r="G265" s="6" t="n"/>
      <c r="H265" s="7" t="n"/>
      <c r="I265" s="6" t="n"/>
      <c r="J265" s="9" t="n"/>
      <c r="K265" s="11">
        <f>IF(C265="","",N(IFERROR(INDEX(Steps!$E$5:$E$62,MATCH(C265,Steps!$A$5:$A$62,0)),"")))</f>
        <v/>
      </c>
      <c r="L265" s="11">
        <f>IF(AND(C265&lt;&gt;"",E265&lt;&gt;"",I265&lt;&gt;"",OR(Settings!$B$10="No",I265&lt;&gt;E265)),K265*F265,0)</f>
        <v/>
      </c>
      <c r="M265" s="11">
        <f>IF(AND(AND(C265&lt;&gt;"",E265&lt;&gt;"",I265&lt;&gt;"",OR(Settings!$B$10="No",I265&lt;&gt;E265)),G265="Paid a pro",Settings!$B$9="Yes"),MAX(0,H265-K265*F265),0)</f>
        <v/>
      </c>
      <c r="N265" s="3">
        <f>IF(C265="","",IF(B265="","Enter the boat number",IF(B265&gt;Settings!$B$6,"Boat number above the boat count",IF(SUMIFS($F$5:$F$1004,$B$5:$B$1004,B265,$C$5:$C$1004,C265)&gt;1.0001,"Shares for this step add up to over 100%",IF(I265="","Waiting for sign-off",IF(AND(Settings!$B$10="Yes",I265=E265),"Needs a different member to sign off","OK"))))))</f>
        <v/>
      </c>
    </row>
    <row r="266">
      <c r="A266" s="9" t="n"/>
      <c r="B266" s="6" t="n"/>
      <c r="C266" s="6" t="n"/>
      <c r="D266" s="3">
        <f>IF(C266="","",IFERROR(INDEX(Steps!$C$5:$C$62,MATCH(C266,Steps!$A$5:$A$62,0)),""))</f>
        <v/>
      </c>
      <c r="E266" s="6" t="n"/>
      <c r="F266" s="8" t="n"/>
      <c r="G266" s="6" t="n"/>
      <c r="H266" s="7" t="n"/>
      <c r="I266" s="6" t="n"/>
      <c r="J266" s="9" t="n"/>
      <c r="K266" s="11">
        <f>IF(C266="","",N(IFERROR(INDEX(Steps!$E$5:$E$62,MATCH(C266,Steps!$A$5:$A$62,0)),"")))</f>
        <v/>
      </c>
      <c r="L266" s="11">
        <f>IF(AND(C266&lt;&gt;"",E266&lt;&gt;"",I266&lt;&gt;"",OR(Settings!$B$10="No",I266&lt;&gt;E266)),K266*F266,0)</f>
        <v/>
      </c>
      <c r="M266" s="11">
        <f>IF(AND(AND(C266&lt;&gt;"",E266&lt;&gt;"",I266&lt;&gt;"",OR(Settings!$B$10="No",I266&lt;&gt;E266)),G266="Paid a pro",Settings!$B$9="Yes"),MAX(0,H266-K266*F266),0)</f>
        <v/>
      </c>
      <c r="N266" s="3">
        <f>IF(C266="","",IF(B266="","Enter the boat number",IF(B266&gt;Settings!$B$6,"Boat number above the boat count",IF(SUMIFS($F$5:$F$1004,$B$5:$B$1004,B266,$C$5:$C$1004,C266)&gt;1.0001,"Shares for this step add up to over 100%",IF(I266="","Waiting for sign-off",IF(AND(Settings!$B$10="Yes",I266=E266),"Needs a different member to sign off","OK"))))))</f>
        <v/>
      </c>
    </row>
    <row r="267">
      <c r="A267" s="9" t="n"/>
      <c r="B267" s="6" t="n"/>
      <c r="C267" s="6" t="n"/>
      <c r="D267" s="3">
        <f>IF(C267="","",IFERROR(INDEX(Steps!$C$5:$C$62,MATCH(C267,Steps!$A$5:$A$62,0)),""))</f>
        <v/>
      </c>
      <c r="E267" s="6" t="n"/>
      <c r="F267" s="8" t="n"/>
      <c r="G267" s="6" t="n"/>
      <c r="H267" s="7" t="n"/>
      <c r="I267" s="6" t="n"/>
      <c r="J267" s="9" t="n"/>
      <c r="K267" s="11">
        <f>IF(C267="","",N(IFERROR(INDEX(Steps!$E$5:$E$62,MATCH(C267,Steps!$A$5:$A$62,0)),"")))</f>
        <v/>
      </c>
      <c r="L267" s="11">
        <f>IF(AND(C267&lt;&gt;"",E267&lt;&gt;"",I267&lt;&gt;"",OR(Settings!$B$10="No",I267&lt;&gt;E267)),K267*F267,0)</f>
        <v/>
      </c>
      <c r="M267" s="11">
        <f>IF(AND(AND(C267&lt;&gt;"",E267&lt;&gt;"",I267&lt;&gt;"",OR(Settings!$B$10="No",I267&lt;&gt;E267)),G267="Paid a pro",Settings!$B$9="Yes"),MAX(0,H267-K267*F267),0)</f>
        <v/>
      </c>
      <c r="N267" s="3">
        <f>IF(C267="","",IF(B267="","Enter the boat number",IF(B267&gt;Settings!$B$6,"Boat number above the boat count",IF(SUMIFS($F$5:$F$1004,$B$5:$B$1004,B267,$C$5:$C$1004,C267)&gt;1.0001,"Shares for this step add up to over 100%",IF(I267="","Waiting for sign-off",IF(AND(Settings!$B$10="Yes",I267=E267),"Needs a different member to sign off","OK"))))))</f>
        <v/>
      </c>
    </row>
    <row r="268">
      <c r="A268" s="9" t="n"/>
      <c r="B268" s="6" t="n"/>
      <c r="C268" s="6" t="n"/>
      <c r="D268" s="3">
        <f>IF(C268="","",IFERROR(INDEX(Steps!$C$5:$C$62,MATCH(C268,Steps!$A$5:$A$62,0)),""))</f>
        <v/>
      </c>
      <c r="E268" s="6" t="n"/>
      <c r="F268" s="8" t="n"/>
      <c r="G268" s="6" t="n"/>
      <c r="H268" s="7" t="n"/>
      <c r="I268" s="6" t="n"/>
      <c r="J268" s="9" t="n"/>
      <c r="K268" s="11">
        <f>IF(C268="","",N(IFERROR(INDEX(Steps!$E$5:$E$62,MATCH(C268,Steps!$A$5:$A$62,0)),"")))</f>
        <v/>
      </c>
      <c r="L268" s="11">
        <f>IF(AND(C268&lt;&gt;"",E268&lt;&gt;"",I268&lt;&gt;"",OR(Settings!$B$10="No",I268&lt;&gt;E268)),K268*F268,0)</f>
        <v/>
      </c>
      <c r="M268" s="11">
        <f>IF(AND(AND(C268&lt;&gt;"",E268&lt;&gt;"",I268&lt;&gt;"",OR(Settings!$B$10="No",I268&lt;&gt;E268)),G268="Paid a pro",Settings!$B$9="Yes"),MAX(0,H268-K268*F268),0)</f>
        <v/>
      </c>
      <c r="N268" s="3">
        <f>IF(C268="","",IF(B268="","Enter the boat number",IF(B268&gt;Settings!$B$6,"Boat number above the boat count",IF(SUMIFS($F$5:$F$1004,$B$5:$B$1004,B268,$C$5:$C$1004,C268)&gt;1.0001,"Shares for this step add up to over 100%",IF(I268="","Waiting for sign-off",IF(AND(Settings!$B$10="Yes",I268=E268),"Needs a different member to sign off","OK"))))))</f>
        <v/>
      </c>
    </row>
    <row r="269">
      <c r="A269" s="9" t="n"/>
      <c r="B269" s="6" t="n"/>
      <c r="C269" s="6" t="n"/>
      <c r="D269" s="3">
        <f>IF(C269="","",IFERROR(INDEX(Steps!$C$5:$C$62,MATCH(C269,Steps!$A$5:$A$62,0)),""))</f>
        <v/>
      </c>
      <c r="E269" s="6" t="n"/>
      <c r="F269" s="8" t="n"/>
      <c r="G269" s="6" t="n"/>
      <c r="H269" s="7" t="n"/>
      <c r="I269" s="6" t="n"/>
      <c r="J269" s="9" t="n"/>
      <c r="K269" s="11">
        <f>IF(C269="","",N(IFERROR(INDEX(Steps!$E$5:$E$62,MATCH(C269,Steps!$A$5:$A$62,0)),"")))</f>
        <v/>
      </c>
      <c r="L269" s="11">
        <f>IF(AND(C269&lt;&gt;"",E269&lt;&gt;"",I269&lt;&gt;"",OR(Settings!$B$10="No",I269&lt;&gt;E269)),K269*F269,0)</f>
        <v/>
      </c>
      <c r="M269" s="11">
        <f>IF(AND(AND(C269&lt;&gt;"",E269&lt;&gt;"",I269&lt;&gt;"",OR(Settings!$B$10="No",I269&lt;&gt;E269)),G269="Paid a pro",Settings!$B$9="Yes"),MAX(0,H269-K269*F269),0)</f>
        <v/>
      </c>
      <c r="N269" s="3">
        <f>IF(C269="","",IF(B269="","Enter the boat number",IF(B269&gt;Settings!$B$6,"Boat number above the boat count",IF(SUMIFS($F$5:$F$1004,$B$5:$B$1004,B269,$C$5:$C$1004,C269)&gt;1.0001,"Shares for this step add up to over 100%",IF(I269="","Waiting for sign-off",IF(AND(Settings!$B$10="Yes",I269=E269),"Needs a different member to sign off","OK"))))))</f>
        <v/>
      </c>
    </row>
    <row r="270">
      <c r="A270" s="9" t="n"/>
      <c r="B270" s="6" t="n"/>
      <c r="C270" s="6" t="n"/>
      <c r="D270" s="3">
        <f>IF(C270="","",IFERROR(INDEX(Steps!$C$5:$C$62,MATCH(C270,Steps!$A$5:$A$62,0)),""))</f>
        <v/>
      </c>
      <c r="E270" s="6" t="n"/>
      <c r="F270" s="8" t="n"/>
      <c r="G270" s="6" t="n"/>
      <c r="H270" s="7" t="n"/>
      <c r="I270" s="6" t="n"/>
      <c r="J270" s="9" t="n"/>
      <c r="K270" s="11">
        <f>IF(C270="","",N(IFERROR(INDEX(Steps!$E$5:$E$62,MATCH(C270,Steps!$A$5:$A$62,0)),"")))</f>
        <v/>
      </c>
      <c r="L270" s="11">
        <f>IF(AND(C270&lt;&gt;"",E270&lt;&gt;"",I270&lt;&gt;"",OR(Settings!$B$10="No",I270&lt;&gt;E270)),K270*F270,0)</f>
        <v/>
      </c>
      <c r="M270" s="11">
        <f>IF(AND(AND(C270&lt;&gt;"",E270&lt;&gt;"",I270&lt;&gt;"",OR(Settings!$B$10="No",I270&lt;&gt;E270)),G270="Paid a pro",Settings!$B$9="Yes"),MAX(0,H270-K270*F270),0)</f>
        <v/>
      </c>
      <c r="N270" s="3">
        <f>IF(C270="","",IF(B270="","Enter the boat number",IF(B270&gt;Settings!$B$6,"Boat number above the boat count",IF(SUMIFS($F$5:$F$1004,$B$5:$B$1004,B270,$C$5:$C$1004,C270)&gt;1.0001,"Shares for this step add up to over 100%",IF(I270="","Waiting for sign-off",IF(AND(Settings!$B$10="Yes",I270=E270),"Needs a different member to sign off","OK"))))))</f>
        <v/>
      </c>
    </row>
    <row r="271">
      <c r="A271" s="9" t="n"/>
      <c r="B271" s="6" t="n"/>
      <c r="C271" s="6" t="n"/>
      <c r="D271" s="3">
        <f>IF(C271="","",IFERROR(INDEX(Steps!$C$5:$C$62,MATCH(C271,Steps!$A$5:$A$62,0)),""))</f>
        <v/>
      </c>
      <c r="E271" s="6" t="n"/>
      <c r="F271" s="8" t="n"/>
      <c r="G271" s="6" t="n"/>
      <c r="H271" s="7" t="n"/>
      <c r="I271" s="6" t="n"/>
      <c r="J271" s="9" t="n"/>
      <c r="K271" s="11">
        <f>IF(C271="","",N(IFERROR(INDEX(Steps!$E$5:$E$62,MATCH(C271,Steps!$A$5:$A$62,0)),"")))</f>
        <v/>
      </c>
      <c r="L271" s="11">
        <f>IF(AND(C271&lt;&gt;"",E271&lt;&gt;"",I271&lt;&gt;"",OR(Settings!$B$10="No",I271&lt;&gt;E271)),K271*F271,0)</f>
        <v/>
      </c>
      <c r="M271" s="11">
        <f>IF(AND(AND(C271&lt;&gt;"",E271&lt;&gt;"",I271&lt;&gt;"",OR(Settings!$B$10="No",I271&lt;&gt;E271)),G271="Paid a pro",Settings!$B$9="Yes"),MAX(0,H271-K271*F271),0)</f>
        <v/>
      </c>
      <c r="N271" s="3">
        <f>IF(C271="","",IF(B271="","Enter the boat number",IF(B271&gt;Settings!$B$6,"Boat number above the boat count",IF(SUMIFS($F$5:$F$1004,$B$5:$B$1004,B271,$C$5:$C$1004,C271)&gt;1.0001,"Shares for this step add up to over 100%",IF(I271="","Waiting for sign-off",IF(AND(Settings!$B$10="Yes",I271=E271),"Needs a different member to sign off","OK"))))))</f>
        <v/>
      </c>
    </row>
    <row r="272">
      <c r="A272" s="9" t="n"/>
      <c r="B272" s="6" t="n"/>
      <c r="C272" s="6" t="n"/>
      <c r="D272" s="3">
        <f>IF(C272="","",IFERROR(INDEX(Steps!$C$5:$C$62,MATCH(C272,Steps!$A$5:$A$62,0)),""))</f>
        <v/>
      </c>
      <c r="E272" s="6" t="n"/>
      <c r="F272" s="8" t="n"/>
      <c r="G272" s="6" t="n"/>
      <c r="H272" s="7" t="n"/>
      <c r="I272" s="6" t="n"/>
      <c r="J272" s="9" t="n"/>
      <c r="K272" s="11">
        <f>IF(C272="","",N(IFERROR(INDEX(Steps!$E$5:$E$62,MATCH(C272,Steps!$A$5:$A$62,0)),"")))</f>
        <v/>
      </c>
      <c r="L272" s="11">
        <f>IF(AND(C272&lt;&gt;"",E272&lt;&gt;"",I272&lt;&gt;"",OR(Settings!$B$10="No",I272&lt;&gt;E272)),K272*F272,0)</f>
        <v/>
      </c>
      <c r="M272" s="11">
        <f>IF(AND(AND(C272&lt;&gt;"",E272&lt;&gt;"",I272&lt;&gt;"",OR(Settings!$B$10="No",I272&lt;&gt;E272)),G272="Paid a pro",Settings!$B$9="Yes"),MAX(0,H272-K272*F272),0)</f>
        <v/>
      </c>
      <c r="N272" s="3">
        <f>IF(C272="","",IF(B272="","Enter the boat number",IF(B272&gt;Settings!$B$6,"Boat number above the boat count",IF(SUMIFS($F$5:$F$1004,$B$5:$B$1004,B272,$C$5:$C$1004,C272)&gt;1.0001,"Shares for this step add up to over 100%",IF(I272="","Waiting for sign-off",IF(AND(Settings!$B$10="Yes",I272=E272),"Needs a different member to sign off","OK"))))))</f>
        <v/>
      </c>
    </row>
    <row r="273">
      <c r="A273" s="9" t="n"/>
      <c r="B273" s="6" t="n"/>
      <c r="C273" s="6" t="n"/>
      <c r="D273" s="3">
        <f>IF(C273="","",IFERROR(INDEX(Steps!$C$5:$C$62,MATCH(C273,Steps!$A$5:$A$62,0)),""))</f>
        <v/>
      </c>
      <c r="E273" s="6" t="n"/>
      <c r="F273" s="8" t="n"/>
      <c r="G273" s="6" t="n"/>
      <c r="H273" s="7" t="n"/>
      <c r="I273" s="6" t="n"/>
      <c r="J273" s="9" t="n"/>
      <c r="K273" s="11">
        <f>IF(C273="","",N(IFERROR(INDEX(Steps!$E$5:$E$62,MATCH(C273,Steps!$A$5:$A$62,0)),"")))</f>
        <v/>
      </c>
      <c r="L273" s="11">
        <f>IF(AND(C273&lt;&gt;"",E273&lt;&gt;"",I273&lt;&gt;"",OR(Settings!$B$10="No",I273&lt;&gt;E273)),K273*F273,0)</f>
        <v/>
      </c>
      <c r="M273" s="11">
        <f>IF(AND(AND(C273&lt;&gt;"",E273&lt;&gt;"",I273&lt;&gt;"",OR(Settings!$B$10="No",I273&lt;&gt;E273)),G273="Paid a pro",Settings!$B$9="Yes"),MAX(0,H273-K273*F273),0)</f>
        <v/>
      </c>
      <c r="N273" s="3">
        <f>IF(C273="","",IF(B273="","Enter the boat number",IF(B273&gt;Settings!$B$6,"Boat number above the boat count",IF(SUMIFS($F$5:$F$1004,$B$5:$B$1004,B273,$C$5:$C$1004,C273)&gt;1.0001,"Shares for this step add up to over 100%",IF(I273="","Waiting for sign-off",IF(AND(Settings!$B$10="Yes",I273=E273),"Needs a different member to sign off","OK"))))))</f>
        <v/>
      </c>
    </row>
    <row r="274">
      <c r="A274" s="9" t="n"/>
      <c r="B274" s="6" t="n"/>
      <c r="C274" s="6" t="n"/>
      <c r="D274" s="3">
        <f>IF(C274="","",IFERROR(INDEX(Steps!$C$5:$C$62,MATCH(C274,Steps!$A$5:$A$62,0)),""))</f>
        <v/>
      </c>
      <c r="E274" s="6" t="n"/>
      <c r="F274" s="8" t="n"/>
      <c r="G274" s="6" t="n"/>
      <c r="H274" s="7" t="n"/>
      <c r="I274" s="6" t="n"/>
      <c r="J274" s="9" t="n"/>
      <c r="K274" s="11">
        <f>IF(C274="","",N(IFERROR(INDEX(Steps!$E$5:$E$62,MATCH(C274,Steps!$A$5:$A$62,0)),"")))</f>
        <v/>
      </c>
      <c r="L274" s="11">
        <f>IF(AND(C274&lt;&gt;"",E274&lt;&gt;"",I274&lt;&gt;"",OR(Settings!$B$10="No",I274&lt;&gt;E274)),K274*F274,0)</f>
        <v/>
      </c>
      <c r="M274" s="11">
        <f>IF(AND(AND(C274&lt;&gt;"",E274&lt;&gt;"",I274&lt;&gt;"",OR(Settings!$B$10="No",I274&lt;&gt;E274)),G274="Paid a pro",Settings!$B$9="Yes"),MAX(0,H274-K274*F274),0)</f>
        <v/>
      </c>
      <c r="N274" s="3">
        <f>IF(C274="","",IF(B274="","Enter the boat number",IF(B274&gt;Settings!$B$6,"Boat number above the boat count",IF(SUMIFS($F$5:$F$1004,$B$5:$B$1004,B274,$C$5:$C$1004,C274)&gt;1.0001,"Shares for this step add up to over 100%",IF(I274="","Waiting for sign-off",IF(AND(Settings!$B$10="Yes",I274=E274),"Needs a different member to sign off","OK"))))))</f>
        <v/>
      </c>
    </row>
    <row r="275">
      <c r="A275" s="9" t="n"/>
      <c r="B275" s="6" t="n"/>
      <c r="C275" s="6" t="n"/>
      <c r="D275" s="3">
        <f>IF(C275="","",IFERROR(INDEX(Steps!$C$5:$C$62,MATCH(C275,Steps!$A$5:$A$62,0)),""))</f>
        <v/>
      </c>
      <c r="E275" s="6" t="n"/>
      <c r="F275" s="8" t="n"/>
      <c r="G275" s="6" t="n"/>
      <c r="H275" s="7" t="n"/>
      <c r="I275" s="6" t="n"/>
      <c r="J275" s="9" t="n"/>
      <c r="K275" s="11">
        <f>IF(C275="","",N(IFERROR(INDEX(Steps!$E$5:$E$62,MATCH(C275,Steps!$A$5:$A$62,0)),"")))</f>
        <v/>
      </c>
      <c r="L275" s="11">
        <f>IF(AND(C275&lt;&gt;"",E275&lt;&gt;"",I275&lt;&gt;"",OR(Settings!$B$10="No",I275&lt;&gt;E275)),K275*F275,0)</f>
        <v/>
      </c>
      <c r="M275" s="11">
        <f>IF(AND(AND(C275&lt;&gt;"",E275&lt;&gt;"",I275&lt;&gt;"",OR(Settings!$B$10="No",I275&lt;&gt;E275)),G275="Paid a pro",Settings!$B$9="Yes"),MAX(0,H275-K275*F275),0)</f>
        <v/>
      </c>
      <c r="N275" s="3">
        <f>IF(C275="","",IF(B275="","Enter the boat number",IF(B275&gt;Settings!$B$6,"Boat number above the boat count",IF(SUMIFS($F$5:$F$1004,$B$5:$B$1004,B275,$C$5:$C$1004,C275)&gt;1.0001,"Shares for this step add up to over 100%",IF(I275="","Waiting for sign-off",IF(AND(Settings!$B$10="Yes",I275=E275),"Needs a different member to sign off","OK"))))))</f>
        <v/>
      </c>
    </row>
    <row r="276">
      <c r="A276" s="9" t="n"/>
      <c r="B276" s="6" t="n"/>
      <c r="C276" s="6" t="n"/>
      <c r="D276" s="3">
        <f>IF(C276="","",IFERROR(INDEX(Steps!$C$5:$C$62,MATCH(C276,Steps!$A$5:$A$62,0)),""))</f>
        <v/>
      </c>
      <c r="E276" s="6" t="n"/>
      <c r="F276" s="8" t="n"/>
      <c r="G276" s="6" t="n"/>
      <c r="H276" s="7" t="n"/>
      <c r="I276" s="6" t="n"/>
      <c r="J276" s="9" t="n"/>
      <c r="K276" s="11">
        <f>IF(C276="","",N(IFERROR(INDEX(Steps!$E$5:$E$62,MATCH(C276,Steps!$A$5:$A$62,0)),"")))</f>
        <v/>
      </c>
      <c r="L276" s="11">
        <f>IF(AND(C276&lt;&gt;"",E276&lt;&gt;"",I276&lt;&gt;"",OR(Settings!$B$10="No",I276&lt;&gt;E276)),K276*F276,0)</f>
        <v/>
      </c>
      <c r="M276" s="11">
        <f>IF(AND(AND(C276&lt;&gt;"",E276&lt;&gt;"",I276&lt;&gt;"",OR(Settings!$B$10="No",I276&lt;&gt;E276)),G276="Paid a pro",Settings!$B$9="Yes"),MAX(0,H276-K276*F276),0)</f>
        <v/>
      </c>
      <c r="N276" s="3">
        <f>IF(C276="","",IF(B276="","Enter the boat number",IF(B276&gt;Settings!$B$6,"Boat number above the boat count",IF(SUMIFS($F$5:$F$1004,$B$5:$B$1004,B276,$C$5:$C$1004,C276)&gt;1.0001,"Shares for this step add up to over 100%",IF(I276="","Waiting for sign-off",IF(AND(Settings!$B$10="Yes",I276=E276),"Needs a different member to sign off","OK"))))))</f>
        <v/>
      </c>
    </row>
    <row r="277">
      <c r="A277" s="9" t="n"/>
      <c r="B277" s="6" t="n"/>
      <c r="C277" s="6" t="n"/>
      <c r="D277" s="3">
        <f>IF(C277="","",IFERROR(INDEX(Steps!$C$5:$C$62,MATCH(C277,Steps!$A$5:$A$62,0)),""))</f>
        <v/>
      </c>
      <c r="E277" s="6" t="n"/>
      <c r="F277" s="8" t="n"/>
      <c r="G277" s="6" t="n"/>
      <c r="H277" s="7" t="n"/>
      <c r="I277" s="6" t="n"/>
      <c r="J277" s="9" t="n"/>
      <c r="K277" s="11">
        <f>IF(C277="","",N(IFERROR(INDEX(Steps!$E$5:$E$62,MATCH(C277,Steps!$A$5:$A$62,0)),"")))</f>
        <v/>
      </c>
      <c r="L277" s="11">
        <f>IF(AND(C277&lt;&gt;"",E277&lt;&gt;"",I277&lt;&gt;"",OR(Settings!$B$10="No",I277&lt;&gt;E277)),K277*F277,0)</f>
        <v/>
      </c>
      <c r="M277" s="11">
        <f>IF(AND(AND(C277&lt;&gt;"",E277&lt;&gt;"",I277&lt;&gt;"",OR(Settings!$B$10="No",I277&lt;&gt;E277)),G277="Paid a pro",Settings!$B$9="Yes"),MAX(0,H277-K277*F277),0)</f>
        <v/>
      </c>
      <c r="N277" s="3">
        <f>IF(C277="","",IF(B277="","Enter the boat number",IF(B277&gt;Settings!$B$6,"Boat number above the boat count",IF(SUMIFS($F$5:$F$1004,$B$5:$B$1004,B277,$C$5:$C$1004,C277)&gt;1.0001,"Shares for this step add up to over 100%",IF(I277="","Waiting for sign-off",IF(AND(Settings!$B$10="Yes",I277=E277),"Needs a different member to sign off","OK"))))))</f>
        <v/>
      </c>
    </row>
    <row r="278">
      <c r="A278" s="9" t="n"/>
      <c r="B278" s="6" t="n"/>
      <c r="C278" s="6" t="n"/>
      <c r="D278" s="3">
        <f>IF(C278="","",IFERROR(INDEX(Steps!$C$5:$C$62,MATCH(C278,Steps!$A$5:$A$62,0)),""))</f>
        <v/>
      </c>
      <c r="E278" s="6" t="n"/>
      <c r="F278" s="8" t="n"/>
      <c r="G278" s="6" t="n"/>
      <c r="H278" s="7" t="n"/>
      <c r="I278" s="6" t="n"/>
      <c r="J278" s="9" t="n"/>
      <c r="K278" s="11">
        <f>IF(C278="","",N(IFERROR(INDEX(Steps!$E$5:$E$62,MATCH(C278,Steps!$A$5:$A$62,0)),"")))</f>
        <v/>
      </c>
      <c r="L278" s="11">
        <f>IF(AND(C278&lt;&gt;"",E278&lt;&gt;"",I278&lt;&gt;"",OR(Settings!$B$10="No",I278&lt;&gt;E278)),K278*F278,0)</f>
        <v/>
      </c>
      <c r="M278" s="11">
        <f>IF(AND(AND(C278&lt;&gt;"",E278&lt;&gt;"",I278&lt;&gt;"",OR(Settings!$B$10="No",I278&lt;&gt;E278)),G278="Paid a pro",Settings!$B$9="Yes"),MAX(0,H278-K278*F278),0)</f>
        <v/>
      </c>
      <c r="N278" s="3">
        <f>IF(C278="","",IF(B278="","Enter the boat number",IF(B278&gt;Settings!$B$6,"Boat number above the boat count",IF(SUMIFS($F$5:$F$1004,$B$5:$B$1004,B278,$C$5:$C$1004,C278)&gt;1.0001,"Shares for this step add up to over 100%",IF(I278="","Waiting for sign-off",IF(AND(Settings!$B$10="Yes",I278=E278),"Needs a different member to sign off","OK"))))))</f>
        <v/>
      </c>
    </row>
    <row r="279">
      <c r="A279" s="9" t="n"/>
      <c r="B279" s="6" t="n"/>
      <c r="C279" s="6" t="n"/>
      <c r="D279" s="3">
        <f>IF(C279="","",IFERROR(INDEX(Steps!$C$5:$C$62,MATCH(C279,Steps!$A$5:$A$62,0)),""))</f>
        <v/>
      </c>
      <c r="E279" s="6" t="n"/>
      <c r="F279" s="8" t="n"/>
      <c r="G279" s="6" t="n"/>
      <c r="H279" s="7" t="n"/>
      <c r="I279" s="6" t="n"/>
      <c r="J279" s="9" t="n"/>
      <c r="K279" s="11">
        <f>IF(C279="","",N(IFERROR(INDEX(Steps!$E$5:$E$62,MATCH(C279,Steps!$A$5:$A$62,0)),"")))</f>
        <v/>
      </c>
      <c r="L279" s="11">
        <f>IF(AND(C279&lt;&gt;"",E279&lt;&gt;"",I279&lt;&gt;"",OR(Settings!$B$10="No",I279&lt;&gt;E279)),K279*F279,0)</f>
        <v/>
      </c>
      <c r="M279" s="11">
        <f>IF(AND(AND(C279&lt;&gt;"",E279&lt;&gt;"",I279&lt;&gt;"",OR(Settings!$B$10="No",I279&lt;&gt;E279)),G279="Paid a pro",Settings!$B$9="Yes"),MAX(0,H279-K279*F279),0)</f>
        <v/>
      </c>
      <c r="N279" s="3">
        <f>IF(C279="","",IF(B279="","Enter the boat number",IF(B279&gt;Settings!$B$6,"Boat number above the boat count",IF(SUMIFS($F$5:$F$1004,$B$5:$B$1004,B279,$C$5:$C$1004,C279)&gt;1.0001,"Shares for this step add up to over 100%",IF(I279="","Waiting for sign-off",IF(AND(Settings!$B$10="Yes",I279=E279),"Needs a different member to sign off","OK"))))))</f>
        <v/>
      </c>
    </row>
    <row r="280">
      <c r="A280" s="9" t="n"/>
      <c r="B280" s="6" t="n"/>
      <c r="C280" s="6" t="n"/>
      <c r="D280" s="3">
        <f>IF(C280="","",IFERROR(INDEX(Steps!$C$5:$C$62,MATCH(C280,Steps!$A$5:$A$62,0)),""))</f>
        <v/>
      </c>
      <c r="E280" s="6" t="n"/>
      <c r="F280" s="8" t="n"/>
      <c r="G280" s="6" t="n"/>
      <c r="H280" s="7" t="n"/>
      <c r="I280" s="6" t="n"/>
      <c r="J280" s="9" t="n"/>
      <c r="K280" s="11">
        <f>IF(C280="","",N(IFERROR(INDEX(Steps!$E$5:$E$62,MATCH(C280,Steps!$A$5:$A$62,0)),"")))</f>
        <v/>
      </c>
      <c r="L280" s="11">
        <f>IF(AND(C280&lt;&gt;"",E280&lt;&gt;"",I280&lt;&gt;"",OR(Settings!$B$10="No",I280&lt;&gt;E280)),K280*F280,0)</f>
        <v/>
      </c>
      <c r="M280" s="11">
        <f>IF(AND(AND(C280&lt;&gt;"",E280&lt;&gt;"",I280&lt;&gt;"",OR(Settings!$B$10="No",I280&lt;&gt;E280)),G280="Paid a pro",Settings!$B$9="Yes"),MAX(0,H280-K280*F280),0)</f>
        <v/>
      </c>
      <c r="N280" s="3">
        <f>IF(C280="","",IF(B280="","Enter the boat number",IF(B280&gt;Settings!$B$6,"Boat number above the boat count",IF(SUMIFS($F$5:$F$1004,$B$5:$B$1004,B280,$C$5:$C$1004,C280)&gt;1.0001,"Shares for this step add up to over 100%",IF(I280="","Waiting for sign-off",IF(AND(Settings!$B$10="Yes",I280=E280),"Needs a different member to sign off","OK"))))))</f>
        <v/>
      </c>
    </row>
    <row r="281">
      <c r="A281" s="9" t="n"/>
      <c r="B281" s="6" t="n"/>
      <c r="C281" s="6" t="n"/>
      <c r="D281" s="3">
        <f>IF(C281="","",IFERROR(INDEX(Steps!$C$5:$C$62,MATCH(C281,Steps!$A$5:$A$62,0)),""))</f>
        <v/>
      </c>
      <c r="E281" s="6" t="n"/>
      <c r="F281" s="8" t="n"/>
      <c r="G281" s="6" t="n"/>
      <c r="H281" s="7" t="n"/>
      <c r="I281" s="6" t="n"/>
      <c r="J281" s="9" t="n"/>
      <c r="K281" s="11">
        <f>IF(C281="","",N(IFERROR(INDEX(Steps!$E$5:$E$62,MATCH(C281,Steps!$A$5:$A$62,0)),"")))</f>
        <v/>
      </c>
      <c r="L281" s="11">
        <f>IF(AND(C281&lt;&gt;"",E281&lt;&gt;"",I281&lt;&gt;"",OR(Settings!$B$10="No",I281&lt;&gt;E281)),K281*F281,0)</f>
        <v/>
      </c>
      <c r="M281" s="11">
        <f>IF(AND(AND(C281&lt;&gt;"",E281&lt;&gt;"",I281&lt;&gt;"",OR(Settings!$B$10="No",I281&lt;&gt;E281)),G281="Paid a pro",Settings!$B$9="Yes"),MAX(0,H281-K281*F281),0)</f>
        <v/>
      </c>
      <c r="N281" s="3">
        <f>IF(C281="","",IF(B281="","Enter the boat number",IF(B281&gt;Settings!$B$6,"Boat number above the boat count",IF(SUMIFS($F$5:$F$1004,$B$5:$B$1004,B281,$C$5:$C$1004,C281)&gt;1.0001,"Shares for this step add up to over 100%",IF(I281="","Waiting for sign-off",IF(AND(Settings!$B$10="Yes",I281=E281),"Needs a different member to sign off","OK"))))))</f>
        <v/>
      </c>
    </row>
    <row r="282">
      <c r="A282" s="9" t="n"/>
      <c r="B282" s="6" t="n"/>
      <c r="C282" s="6" t="n"/>
      <c r="D282" s="3">
        <f>IF(C282="","",IFERROR(INDEX(Steps!$C$5:$C$62,MATCH(C282,Steps!$A$5:$A$62,0)),""))</f>
        <v/>
      </c>
      <c r="E282" s="6" t="n"/>
      <c r="F282" s="8" t="n"/>
      <c r="G282" s="6" t="n"/>
      <c r="H282" s="7" t="n"/>
      <c r="I282" s="6" t="n"/>
      <c r="J282" s="9" t="n"/>
      <c r="K282" s="11">
        <f>IF(C282="","",N(IFERROR(INDEX(Steps!$E$5:$E$62,MATCH(C282,Steps!$A$5:$A$62,0)),"")))</f>
        <v/>
      </c>
      <c r="L282" s="11">
        <f>IF(AND(C282&lt;&gt;"",E282&lt;&gt;"",I282&lt;&gt;"",OR(Settings!$B$10="No",I282&lt;&gt;E282)),K282*F282,0)</f>
        <v/>
      </c>
      <c r="M282" s="11">
        <f>IF(AND(AND(C282&lt;&gt;"",E282&lt;&gt;"",I282&lt;&gt;"",OR(Settings!$B$10="No",I282&lt;&gt;E282)),G282="Paid a pro",Settings!$B$9="Yes"),MAX(0,H282-K282*F282),0)</f>
        <v/>
      </c>
      <c r="N282" s="3">
        <f>IF(C282="","",IF(B282="","Enter the boat number",IF(B282&gt;Settings!$B$6,"Boat number above the boat count",IF(SUMIFS($F$5:$F$1004,$B$5:$B$1004,B282,$C$5:$C$1004,C282)&gt;1.0001,"Shares for this step add up to over 100%",IF(I282="","Waiting for sign-off",IF(AND(Settings!$B$10="Yes",I282=E282),"Needs a different member to sign off","OK"))))))</f>
        <v/>
      </c>
    </row>
    <row r="283">
      <c r="A283" s="9" t="n"/>
      <c r="B283" s="6" t="n"/>
      <c r="C283" s="6" t="n"/>
      <c r="D283" s="3">
        <f>IF(C283="","",IFERROR(INDEX(Steps!$C$5:$C$62,MATCH(C283,Steps!$A$5:$A$62,0)),""))</f>
        <v/>
      </c>
      <c r="E283" s="6" t="n"/>
      <c r="F283" s="8" t="n"/>
      <c r="G283" s="6" t="n"/>
      <c r="H283" s="7" t="n"/>
      <c r="I283" s="6" t="n"/>
      <c r="J283" s="9" t="n"/>
      <c r="K283" s="11">
        <f>IF(C283="","",N(IFERROR(INDEX(Steps!$E$5:$E$62,MATCH(C283,Steps!$A$5:$A$62,0)),"")))</f>
        <v/>
      </c>
      <c r="L283" s="11">
        <f>IF(AND(C283&lt;&gt;"",E283&lt;&gt;"",I283&lt;&gt;"",OR(Settings!$B$10="No",I283&lt;&gt;E283)),K283*F283,0)</f>
        <v/>
      </c>
      <c r="M283" s="11">
        <f>IF(AND(AND(C283&lt;&gt;"",E283&lt;&gt;"",I283&lt;&gt;"",OR(Settings!$B$10="No",I283&lt;&gt;E283)),G283="Paid a pro",Settings!$B$9="Yes"),MAX(0,H283-K283*F283),0)</f>
        <v/>
      </c>
      <c r="N283" s="3">
        <f>IF(C283="","",IF(B283="","Enter the boat number",IF(B283&gt;Settings!$B$6,"Boat number above the boat count",IF(SUMIFS($F$5:$F$1004,$B$5:$B$1004,B283,$C$5:$C$1004,C283)&gt;1.0001,"Shares for this step add up to over 100%",IF(I283="","Waiting for sign-off",IF(AND(Settings!$B$10="Yes",I283=E283),"Needs a different member to sign off","OK"))))))</f>
        <v/>
      </c>
    </row>
    <row r="284">
      <c r="A284" s="9" t="n"/>
      <c r="B284" s="6" t="n"/>
      <c r="C284" s="6" t="n"/>
      <c r="D284" s="3">
        <f>IF(C284="","",IFERROR(INDEX(Steps!$C$5:$C$62,MATCH(C284,Steps!$A$5:$A$62,0)),""))</f>
        <v/>
      </c>
      <c r="E284" s="6" t="n"/>
      <c r="F284" s="8" t="n"/>
      <c r="G284" s="6" t="n"/>
      <c r="H284" s="7" t="n"/>
      <c r="I284" s="6" t="n"/>
      <c r="J284" s="9" t="n"/>
      <c r="K284" s="11">
        <f>IF(C284="","",N(IFERROR(INDEX(Steps!$E$5:$E$62,MATCH(C284,Steps!$A$5:$A$62,0)),"")))</f>
        <v/>
      </c>
      <c r="L284" s="11">
        <f>IF(AND(C284&lt;&gt;"",E284&lt;&gt;"",I284&lt;&gt;"",OR(Settings!$B$10="No",I284&lt;&gt;E284)),K284*F284,0)</f>
        <v/>
      </c>
      <c r="M284" s="11">
        <f>IF(AND(AND(C284&lt;&gt;"",E284&lt;&gt;"",I284&lt;&gt;"",OR(Settings!$B$10="No",I284&lt;&gt;E284)),G284="Paid a pro",Settings!$B$9="Yes"),MAX(0,H284-K284*F284),0)</f>
        <v/>
      </c>
      <c r="N284" s="3">
        <f>IF(C284="","",IF(B284="","Enter the boat number",IF(B284&gt;Settings!$B$6,"Boat number above the boat count",IF(SUMIFS($F$5:$F$1004,$B$5:$B$1004,B284,$C$5:$C$1004,C284)&gt;1.0001,"Shares for this step add up to over 100%",IF(I284="","Waiting for sign-off",IF(AND(Settings!$B$10="Yes",I284=E284),"Needs a different member to sign off","OK"))))))</f>
        <v/>
      </c>
    </row>
    <row r="285">
      <c r="A285" s="9" t="n"/>
      <c r="B285" s="6" t="n"/>
      <c r="C285" s="6" t="n"/>
      <c r="D285" s="3">
        <f>IF(C285="","",IFERROR(INDEX(Steps!$C$5:$C$62,MATCH(C285,Steps!$A$5:$A$62,0)),""))</f>
        <v/>
      </c>
      <c r="E285" s="6" t="n"/>
      <c r="F285" s="8" t="n"/>
      <c r="G285" s="6" t="n"/>
      <c r="H285" s="7" t="n"/>
      <c r="I285" s="6" t="n"/>
      <c r="J285" s="9" t="n"/>
      <c r="K285" s="11">
        <f>IF(C285="","",N(IFERROR(INDEX(Steps!$E$5:$E$62,MATCH(C285,Steps!$A$5:$A$62,0)),"")))</f>
        <v/>
      </c>
      <c r="L285" s="11">
        <f>IF(AND(C285&lt;&gt;"",E285&lt;&gt;"",I285&lt;&gt;"",OR(Settings!$B$10="No",I285&lt;&gt;E285)),K285*F285,0)</f>
        <v/>
      </c>
      <c r="M285" s="11">
        <f>IF(AND(AND(C285&lt;&gt;"",E285&lt;&gt;"",I285&lt;&gt;"",OR(Settings!$B$10="No",I285&lt;&gt;E285)),G285="Paid a pro",Settings!$B$9="Yes"),MAX(0,H285-K285*F285),0)</f>
        <v/>
      </c>
      <c r="N285" s="3">
        <f>IF(C285="","",IF(B285="","Enter the boat number",IF(B285&gt;Settings!$B$6,"Boat number above the boat count",IF(SUMIFS($F$5:$F$1004,$B$5:$B$1004,B285,$C$5:$C$1004,C285)&gt;1.0001,"Shares for this step add up to over 100%",IF(I285="","Waiting for sign-off",IF(AND(Settings!$B$10="Yes",I285=E285),"Needs a different member to sign off","OK"))))))</f>
        <v/>
      </c>
    </row>
    <row r="286">
      <c r="A286" s="9" t="n"/>
      <c r="B286" s="6" t="n"/>
      <c r="C286" s="6" t="n"/>
      <c r="D286" s="3">
        <f>IF(C286="","",IFERROR(INDEX(Steps!$C$5:$C$62,MATCH(C286,Steps!$A$5:$A$62,0)),""))</f>
        <v/>
      </c>
      <c r="E286" s="6" t="n"/>
      <c r="F286" s="8" t="n"/>
      <c r="G286" s="6" t="n"/>
      <c r="H286" s="7" t="n"/>
      <c r="I286" s="6" t="n"/>
      <c r="J286" s="9" t="n"/>
      <c r="K286" s="11">
        <f>IF(C286="","",N(IFERROR(INDEX(Steps!$E$5:$E$62,MATCH(C286,Steps!$A$5:$A$62,0)),"")))</f>
        <v/>
      </c>
      <c r="L286" s="11">
        <f>IF(AND(C286&lt;&gt;"",E286&lt;&gt;"",I286&lt;&gt;"",OR(Settings!$B$10="No",I286&lt;&gt;E286)),K286*F286,0)</f>
        <v/>
      </c>
      <c r="M286" s="11">
        <f>IF(AND(AND(C286&lt;&gt;"",E286&lt;&gt;"",I286&lt;&gt;"",OR(Settings!$B$10="No",I286&lt;&gt;E286)),G286="Paid a pro",Settings!$B$9="Yes"),MAX(0,H286-K286*F286),0)</f>
        <v/>
      </c>
      <c r="N286" s="3">
        <f>IF(C286="","",IF(B286="","Enter the boat number",IF(B286&gt;Settings!$B$6,"Boat number above the boat count",IF(SUMIFS($F$5:$F$1004,$B$5:$B$1004,B286,$C$5:$C$1004,C286)&gt;1.0001,"Shares for this step add up to over 100%",IF(I286="","Waiting for sign-off",IF(AND(Settings!$B$10="Yes",I286=E286),"Needs a different member to sign off","OK"))))))</f>
        <v/>
      </c>
    </row>
    <row r="287">
      <c r="A287" s="9" t="n"/>
      <c r="B287" s="6" t="n"/>
      <c r="C287" s="6" t="n"/>
      <c r="D287" s="3">
        <f>IF(C287="","",IFERROR(INDEX(Steps!$C$5:$C$62,MATCH(C287,Steps!$A$5:$A$62,0)),""))</f>
        <v/>
      </c>
      <c r="E287" s="6" t="n"/>
      <c r="F287" s="8" t="n"/>
      <c r="G287" s="6" t="n"/>
      <c r="H287" s="7" t="n"/>
      <c r="I287" s="6" t="n"/>
      <c r="J287" s="9" t="n"/>
      <c r="K287" s="11">
        <f>IF(C287="","",N(IFERROR(INDEX(Steps!$E$5:$E$62,MATCH(C287,Steps!$A$5:$A$62,0)),"")))</f>
        <v/>
      </c>
      <c r="L287" s="11">
        <f>IF(AND(C287&lt;&gt;"",E287&lt;&gt;"",I287&lt;&gt;"",OR(Settings!$B$10="No",I287&lt;&gt;E287)),K287*F287,0)</f>
        <v/>
      </c>
      <c r="M287" s="11">
        <f>IF(AND(AND(C287&lt;&gt;"",E287&lt;&gt;"",I287&lt;&gt;"",OR(Settings!$B$10="No",I287&lt;&gt;E287)),G287="Paid a pro",Settings!$B$9="Yes"),MAX(0,H287-K287*F287),0)</f>
        <v/>
      </c>
      <c r="N287" s="3">
        <f>IF(C287="","",IF(B287="","Enter the boat number",IF(B287&gt;Settings!$B$6,"Boat number above the boat count",IF(SUMIFS($F$5:$F$1004,$B$5:$B$1004,B287,$C$5:$C$1004,C287)&gt;1.0001,"Shares for this step add up to over 100%",IF(I287="","Waiting for sign-off",IF(AND(Settings!$B$10="Yes",I287=E287),"Needs a different member to sign off","OK"))))))</f>
        <v/>
      </c>
    </row>
    <row r="288">
      <c r="A288" s="9" t="n"/>
      <c r="B288" s="6" t="n"/>
      <c r="C288" s="6" t="n"/>
      <c r="D288" s="3">
        <f>IF(C288="","",IFERROR(INDEX(Steps!$C$5:$C$62,MATCH(C288,Steps!$A$5:$A$62,0)),""))</f>
        <v/>
      </c>
      <c r="E288" s="6" t="n"/>
      <c r="F288" s="8" t="n"/>
      <c r="G288" s="6" t="n"/>
      <c r="H288" s="7" t="n"/>
      <c r="I288" s="6" t="n"/>
      <c r="J288" s="9" t="n"/>
      <c r="K288" s="11">
        <f>IF(C288="","",N(IFERROR(INDEX(Steps!$E$5:$E$62,MATCH(C288,Steps!$A$5:$A$62,0)),"")))</f>
        <v/>
      </c>
      <c r="L288" s="11">
        <f>IF(AND(C288&lt;&gt;"",E288&lt;&gt;"",I288&lt;&gt;"",OR(Settings!$B$10="No",I288&lt;&gt;E288)),K288*F288,0)</f>
        <v/>
      </c>
      <c r="M288" s="11">
        <f>IF(AND(AND(C288&lt;&gt;"",E288&lt;&gt;"",I288&lt;&gt;"",OR(Settings!$B$10="No",I288&lt;&gt;E288)),G288="Paid a pro",Settings!$B$9="Yes"),MAX(0,H288-K288*F288),0)</f>
        <v/>
      </c>
      <c r="N288" s="3">
        <f>IF(C288="","",IF(B288="","Enter the boat number",IF(B288&gt;Settings!$B$6,"Boat number above the boat count",IF(SUMIFS($F$5:$F$1004,$B$5:$B$1004,B288,$C$5:$C$1004,C288)&gt;1.0001,"Shares for this step add up to over 100%",IF(I288="","Waiting for sign-off",IF(AND(Settings!$B$10="Yes",I288=E288),"Needs a different member to sign off","OK"))))))</f>
        <v/>
      </c>
    </row>
    <row r="289">
      <c r="A289" s="9" t="n"/>
      <c r="B289" s="6" t="n"/>
      <c r="C289" s="6" t="n"/>
      <c r="D289" s="3">
        <f>IF(C289="","",IFERROR(INDEX(Steps!$C$5:$C$62,MATCH(C289,Steps!$A$5:$A$62,0)),""))</f>
        <v/>
      </c>
      <c r="E289" s="6" t="n"/>
      <c r="F289" s="8" t="n"/>
      <c r="G289" s="6" t="n"/>
      <c r="H289" s="7" t="n"/>
      <c r="I289" s="6" t="n"/>
      <c r="J289" s="9" t="n"/>
      <c r="K289" s="11">
        <f>IF(C289="","",N(IFERROR(INDEX(Steps!$E$5:$E$62,MATCH(C289,Steps!$A$5:$A$62,0)),"")))</f>
        <v/>
      </c>
      <c r="L289" s="11">
        <f>IF(AND(C289&lt;&gt;"",E289&lt;&gt;"",I289&lt;&gt;"",OR(Settings!$B$10="No",I289&lt;&gt;E289)),K289*F289,0)</f>
        <v/>
      </c>
      <c r="M289" s="11">
        <f>IF(AND(AND(C289&lt;&gt;"",E289&lt;&gt;"",I289&lt;&gt;"",OR(Settings!$B$10="No",I289&lt;&gt;E289)),G289="Paid a pro",Settings!$B$9="Yes"),MAX(0,H289-K289*F289),0)</f>
        <v/>
      </c>
      <c r="N289" s="3">
        <f>IF(C289="","",IF(B289="","Enter the boat number",IF(B289&gt;Settings!$B$6,"Boat number above the boat count",IF(SUMIFS($F$5:$F$1004,$B$5:$B$1004,B289,$C$5:$C$1004,C289)&gt;1.0001,"Shares for this step add up to over 100%",IF(I289="","Waiting for sign-off",IF(AND(Settings!$B$10="Yes",I289=E289),"Needs a different member to sign off","OK"))))))</f>
        <v/>
      </c>
    </row>
    <row r="290">
      <c r="A290" s="9" t="n"/>
      <c r="B290" s="6" t="n"/>
      <c r="C290" s="6" t="n"/>
      <c r="D290" s="3">
        <f>IF(C290="","",IFERROR(INDEX(Steps!$C$5:$C$62,MATCH(C290,Steps!$A$5:$A$62,0)),""))</f>
        <v/>
      </c>
      <c r="E290" s="6" t="n"/>
      <c r="F290" s="8" t="n"/>
      <c r="G290" s="6" t="n"/>
      <c r="H290" s="7" t="n"/>
      <c r="I290" s="6" t="n"/>
      <c r="J290" s="9" t="n"/>
      <c r="K290" s="11">
        <f>IF(C290="","",N(IFERROR(INDEX(Steps!$E$5:$E$62,MATCH(C290,Steps!$A$5:$A$62,0)),"")))</f>
        <v/>
      </c>
      <c r="L290" s="11">
        <f>IF(AND(C290&lt;&gt;"",E290&lt;&gt;"",I290&lt;&gt;"",OR(Settings!$B$10="No",I290&lt;&gt;E290)),K290*F290,0)</f>
        <v/>
      </c>
      <c r="M290" s="11">
        <f>IF(AND(AND(C290&lt;&gt;"",E290&lt;&gt;"",I290&lt;&gt;"",OR(Settings!$B$10="No",I290&lt;&gt;E290)),G290="Paid a pro",Settings!$B$9="Yes"),MAX(0,H290-K290*F290),0)</f>
        <v/>
      </c>
      <c r="N290" s="3">
        <f>IF(C290="","",IF(B290="","Enter the boat number",IF(B290&gt;Settings!$B$6,"Boat number above the boat count",IF(SUMIFS($F$5:$F$1004,$B$5:$B$1004,B290,$C$5:$C$1004,C290)&gt;1.0001,"Shares for this step add up to over 100%",IF(I290="","Waiting for sign-off",IF(AND(Settings!$B$10="Yes",I290=E290),"Needs a different member to sign off","OK"))))))</f>
        <v/>
      </c>
    </row>
    <row r="291">
      <c r="A291" s="9" t="n"/>
      <c r="B291" s="6" t="n"/>
      <c r="C291" s="6" t="n"/>
      <c r="D291" s="3">
        <f>IF(C291="","",IFERROR(INDEX(Steps!$C$5:$C$62,MATCH(C291,Steps!$A$5:$A$62,0)),""))</f>
        <v/>
      </c>
      <c r="E291" s="6" t="n"/>
      <c r="F291" s="8" t="n"/>
      <c r="G291" s="6" t="n"/>
      <c r="H291" s="7" t="n"/>
      <c r="I291" s="6" t="n"/>
      <c r="J291" s="9" t="n"/>
      <c r="K291" s="11">
        <f>IF(C291="","",N(IFERROR(INDEX(Steps!$E$5:$E$62,MATCH(C291,Steps!$A$5:$A$62,0)),"")))</f>
        <v/>
      </c>
      <c r="L291" s="11">
        <f>IF(AND(C291&lt;&gt;"",E291&lt;&gt;"",I291&lt;&gt;"",OR(Settings!$B$10="No",I291&lt;&gt;E291)),K291*F291,0)</f>
        <v/>
      </c>
      <c r="M291" s="11">
        <f>IF(AND(AND(C291&lt;&gt;"",E291&lt;&gt;"",I291&lt;&gt;"",OR(Settings!$B$10="No",I291&lt;&gt;E291)),G291="Paid a pro",Settings!$B$9="Yes"),MAX(0,H291-K291*F291),0)</f>
        <v/>
      </c>
      <c r="N291" s="3">
        <f>IF(C291="","",IF(B291="","Enter the boat number",IF(B291&gt;Settings!$B$6,"Boat number above the boat count",IF(SUMIFS($F$5:$F$1004,$B$5:$B$1004,B291,$C$5:$C$1004,C291)&gt;1.0001,"Shares for this step add up to over 100%",IF(I291="","Waiting for sign-off",IF(AND(Settings!$B$10="Yes",I291=E291),"Needs a different member to sign off","OK"))))))</f>
        <v/>
      </c>
    </row>
    <row r="292">
      <c r="A292" s="9" t="n"/>
      <c r="B292" s="6" t="n"/>
      <c r="C292" s="6" t="n"/>
      <c r="D292" s="3">
        <f>IF(C292="","",IFERROR(INDEX(Steps!$C$5:$C$62,MATCH(C292,Steps!$A$5:$A$62,0)),""))</f>
        <v/>
      </c>
      <c r="E292" s="6" t="n"/>
      <c r="F292" s="8" t="n"/>
      <c r="G292" s="6" t="n"/>
      <c r="H292" s="7" t="n"/>
      <c r="I292" s="6" t="n"/>
      <c r="J292" s="9" t="n"/>
      <c r="K292" s="11">
        <f>IF(C292="","",N(IFERROR(INDEX(Steps!$E$5:$E$62,MATCH(C292,Steps!$A$5:$A$62,0)),"")))</f>
        <v/>
      </c>
      <c r="L292" s="11">
        <f>IF(AND(C292&lt;&gt;"",E292&lt;&gt;"",I292&lt;&gt;"",OR(Settings!$B$10="No",I292&lt;&gt;E292)),K292*F292,0)</f>
        <v/>
      </c>
      <c r="M292" s="11">
        <f>IF(AND(AND(C292&lt;&gt;"",E292&lt;&gt;"",I292&lt;&gt;"",OR(Settings!$B$10="No",I292&lt;&gt;E292)),G292="Paid a pro",Settings!$B$9="Yes"),MAX(0,H292-K292*F292),0)</f>
        <v/>
      </c>
      <c r="N292" s="3">
        <f>IF(C292="","",IF(B292="","Enter the boat number",IF(B292&gt;Settings!$B$6,"Boat number above the boat count",IF(SUMIFS($F$5:$F$1004,$B$5:$B$1004,B292,$C$5:$C$1004,C292)&gt;1.0001,"Shares for this step add up to over 100%",IF(I292="","Waiting for sign-off",IF(AND(Settings!$B$10="Yes",I292=E292),"Needs a different member to sign off","OK"))))))</f>
        <v/>
      </c>
    </row>
    <row r="293">
      <c r="A293" s="9" t="n"/>
      <c r="B293" s="6" t="n"/>
      <c r="C293" s="6" t="n"/>
      <c r="D293" s="3">
        <f>IF(C293="","",IFERROR(INDEX(Steps!$C$5:$C$62,MATCH(C293,Steps!$A$5:$A$62,0)),""))</f>
        <v/>
      </c>
      <c r="E293" s="6" t="n"/>
      <c r="F293" s="8" t="n"/>
      <c r="G293" s="6" t="n"/>
      <c r="H293" s="7" t="n"/>
      <c r="I293" s="6" t="n"/>
      <c r="J293" s="9" t="n"/>
      <c r="K293" s="11">
        <f>IF(C293="","",N(IFERROR(INDEX(Steps!$E$5:$E$62,MATCH(C293,Steps!$A$5:$A$62,0)),"")))</f>
        <v/>
      </c>
      <c r="L293" s="11">
        <f>IF(AND(C293&lt;&gt;"",E293&lt;&gt;"",I293&lt;&gt;"",OR(Settings!$B$10="No",I293&lt;&gt;E293)),K293*F293,0)</f>
        <v/>
      </c>
      <c r="M293" s="11">
        <f>IF(AND(AND(C293&lt;&gt;"",E293&lt;&gt;"",I293&lt;&gt;"",OR(Settings!$B$10="No",I293&lt;&gt;E293)),G293="Paid a pro",Settings!$B$9="Yes"),MAX(0,H293-K293*F293),0)</f>
        <v/>
      </c>
      <c r="N293" s="3">
        <f>IF(C293="","",IF(B293="","Enter the boat number",IF(B293&gt;Settings!$B$6,"Boat number above the boat count",IF(SUMIFS($F$5:$F$1004,$B$5:$B$1004,B293,$C$5:$C$1004,C293)&gt;1.0001,"Shares for this step add up to over 100%",IF(I293="","Waiting for sign-off",IF(AND(Settings!$B$10="Yes",I293=E293),"Needs a different member to sign off","OK"))))))</f>
        <v/>
      </c>
    </row>
    <row r="294">
      <c r="A294" s="9" t="n"/>
      <c r="B294" s="6" t="n"/>
      <c r="C294" s="6" t="n"/>
      <c r="D294" s="3">
        <f>IF(C294="","",IFERROR(INDEX(Steps!$C$5:$C$62,MATCH(C294,Steps!$A$5:$A$62,0)),""))</f>
        <v/>
      </c>
      <c r="E294" s="6" t="n"/>
      <c r="F294" s="8" t="n"/>
      <c r="G294" s="6" t="n"/>
      <c r="H294" s="7" t="n"/>
      <c r="I294" s="6" t="n"/>
      <c r="J294" s="9" t="n"/>
      <c r="K294" s="11">
        <f>IF(C294="","",N(IFERROR(INDEX(Steps!$E$5:$E$62,MATCH(C294,Steps!$A$5:$A$62,0)),"")))</f>
        <v/>
      </c>
      <c r="L294" s="11">
        <f>IF(AND(C294&lt;&gt;"",E294&lt;&gt;"",I294&lt;&gt;"",OR(Settings!$B$10="No",I294&lt;&gt;E294)),K294*F294,0)</f>
        <v/>
      </c>
      <c r="M294" s="11">
        <f>IF(AND(AND(C294&lt;&gt;"",E294&lt;&gt;"",I294&lt;&gt;"",OR(Settings!$B$10="No",I294&lt;&gt;E294)),G294="Paid a pro",Settings!$B$9="Yes"),MAX(0,H294-K294*F294),0)</f>
        <v/>
      </c>
      <c r="N294" s="3">
        <f>IF(C294="","",IF(B294="","Enter the boat number",IF(B294&gt;Settings!$B$6,"Boat number above the boat count",IF(SUMIFS($F$5:$F$1004,$B$5:$B$1004,B294,$C$5:$C$1004,C294)&gt;1.0001,"Shares for this step add up to over 100%",IF(I294="","Waiting for sign-off",IF(AND(Settings!$B$10="Yes",I294=E294),"Needs a different member to sign off","OK"))))))</f>
        <v/>
      </c>
    </row>
    <row r="295">
      <c r="A295" s="9" t="n"/>
      <c r="B295" s="6" t="n"/>
      <c r="C295" s="6" t="n"/>
      <c r="D295" s="3">
        <f>IF(C295="","",IFERROR(INDEX(Steps!$C$5:$C$62,MATCH(C295,Steps!$A$5:$A$62,0)),""))</f>
        <v/>
      </c>
      <c r="E295" s="6" t="n"/>
      <c r="F295" s="8" t="n"/>
      <c r="G295" s="6" t="n"/>
      <c r="H295" s="7" t="n"/>
      <c r="I295" s="6" t="n"/>
      <c r="J295" s="9" t="n"/>
      <c r="K295" s="11">
        <f>IF(C295="","",N(IFERROR(INDEX(Steps!$E$5:$E$62,MATCH(C295,Steps!$A$5:$A$62,0)),"")))</f>
        <v/>
      </c>
      <c r="L295" s="11">
        <f>IF(AND(C295&lt;&gt;"",E295&lt;&gt;"",I295&lt;&gt;"",OR(Settings!$B$10="No",I295&lt;&gt;E295)),K295*F295,0)</f>
        <v/>
      </c>
      <c r="M295" s="11">
        <f>IF(AND(AND(C295&lt;&gt;"",E295&lt;&gt;"",I295&lt;&gt;"",OR(Settings!$B$10="No",I295&lt;&gt;E295)),G295="Paid a pro",Settings!$B$9="Yes"),MAX(0,H295-K295*F295),0)</f>
        <v/>
      </c>
      <c r="N295" s="3">
        <f>IF(C295="","",IF(B295="","Enter the boat number",IF(B295&gt;Settings!$B$6,"Boat number above the boat count",IF(SUMIFS($F$5:$F$1004,$B$5:$B$1004,B295,$C$5:$C$1004,C295)&gt;1.0001,"Shares for this step add up to over 100%",IF(I295="","Waiting for sign-off",IF(AND(Settings!$B$10="Yes",I295=E295),"Needs a different member to sign off","OK"))))))</f>
        <v/>
      </c>
    </row>
    <row r="296">
      <c r="A296" s="9" t="n"/>
      <c r="B296" s="6" t="n"/>
      <c r="C296" s="6" t="n"/>
      <c r="D296" s="3">
        <f>IF(C296="","",IFERROR(INDEX(Steps!$C$5:$C$62,MATCH(C296,Steps!$A$5:$A$62,0)),""))</f>
        <v/>
      </c>
      <c r="E296" s="6" t="n"/>
      <c r="F296" s="8" t="n"/>
      <c r="G296" s="6" t="n"/>
      <c r="H296" s="7" t="n"/>
      <c r="I296" s="6" t="n"/>
      <c r="J296" s="9" t="n"/>
      <c r="K296" s="11">
        <f>IF(C296="","",N(IFERROR(INDEX(Steps!$E$5:$E$62,MATCH(C296,Steps!$A$5:$A$62,0)),"")))</f>
        <v/>
      </c>
      <c r="L296" s="11">
        <f>IF(AND(C296&lt;&gt;"",E296&lt;&gt;"",I296&lt;&gt;"",OR(Settings!$B$10="No",I296&lt;&gt;E296)),K296*F296,0)</f>
        <v/>
      </c>
      <c r="M296" s="11">
        <f>IF(AND(AND(C296&lt;&gt;"",E296&lt;&gt;"",I296&lt;&gt;"",OR(Settings!$B$10="No",I296&lt;&gt;E296)),G296="Paid a pro",Settings!$B$9="Yes"),MAX(0,H296-K296*F296),0)</f>
        <v/>
      </c>
      <c r="N296" s="3">
        <f>IF(C296="","",IF(B296="","Enter the boat number",IF(B296&gt;Settings!$B$6,"Boat number above the boat count",IF(SUMIFS($F$5:$F$1004,$B$5:$B$1004,B296,$C$5:$C$1004,C296)&gt;1.0001,"Shares for this step add up to over 100%",IF(I296="","Waiting for sign-off",IF(AND(Settings!$B$10="Yes",I296=E296),"Needs a different member to sign off","OK"))))))</f>
        <v/>
      </c>
    </row>
    <row r="297">
      <c r="A297" s="9" t="n"/>
      <c r="B297" s="6" t="n"/>
      <c r="C297" s="6" t="n"/>
      <c r="D297" s="3">
        <f>IF(C297="","",IFERROR(INDEX(Steps!$C$5:$C$62,MATCH(C297,Steps!$A$5:$A$62,0)),""))</f>
        <v/>
      </c>
      <c r="E297" s="6" t="n"/>
      <c r="F297" s="8" t="n"/>
      <c r="G297" s="6" t="n"/>
      <c r="H297" s="7" t="n"/>
      <c r="I297" s="6" t="n"/>
      <c r="J297" s="9" t="n"/>
      <c r="K297" s="11">
        <f>IF(C297="","",N(IFERROR(INDEX(Steps!$E$5:$E$62,MATCH(C297,Steps!$A$5:$A$62,0)),"")))</f>
        <v/>
      </c>
      <c r="L297" s="11">
        <f>IF(AND(C297&lt;&gt;"",E297&lt;&gt;"",I297&lt;&gt;"",OR(Settings!$B$10="No",I297&lt;&gt;E297)),K297*F297,0)</f>
        <v/>
      </c>
      <c r="M297" s="11">
        <f>IF(AND(AND(C297&lt;&gt;"",E297&lt;&gt;"",I297&lt;&gt;"",OR(Settings!$B$10="No",I297&lt;&gt;E297)),G297="Paid a pro",Settings!$B$9="Yes"),MAX(0,H297-K297*F297),0)</f>
        <v/>
      </c>
      <c r="N297" s="3">
        <f>IF(C297="","",IF(B297="","Enter the boat number",IF(B297&gt;Settings!$B$6,"Boat number above the boat count",IF(SUMIFS($F$5:$F$1004,$B$5:$B$1004,B297,$C$5:$C$1004,C297)&gt;1.0001,"Shares for this step add up to over 100%",IF(I297="","Waiting for sign-off",IF(AND(Settings!$B$10="Yes",I297=E297),"Needs a different member to sign off","OK"))))))</f>
        <v/>
      </c>
    </row>
    <row r="298">
      <c r="A298" s="9" t="n"/>
      <c r="B298" s="6" t="n"/>
      <c r="C298" s="6" t="n"/>
      <c r="D298" s="3">
        <f>IF(C298="","",IFERROR(INDEX(Steps!$C$5:$C$62,MATCH(C298,Steps!$A$5:$A$62,0)),""))</f>
        <v/>
      </c>
      <c r="E298" s="6" t="n"/>
      <c r="F298" s="8" t="n"/>
      <c r="G298" s="6" t="n"/>
      <c r="H298" s="7" t="n"/>
      <c r="I298" s="6" t="n"/>
      <c r="J298" s="9" t="n"/>
      <c r="K298" s="11">
        <f>IF(C298="","",N(IFERROR(INDEX(Steps!$E$5:$E$62,MATCH(C298,Steps!$A$5:$A$62,0)),"")))</f>
        <v/>
      </c>
      <c r="L298" s="11">
        <f>IF(AND(C298&lt;&gt;"",E298&lt;&gt;"",I298&lt;&gt;"",OR(Settings!$B$10="No",I298&lt;&gt;E298)),K298*F298,0)</f>
        <v/>
      </c>
      <c r="M298" s="11">
        <f>IF(AND(AND(C298&lt;&gt;"",E298&lt;&gt;"",I298&lt;&gt;"",OR(Settings!$B$10="No",I298&lt;&gt;E298)),G298="Paid a pro",Settings!$B$9="Yes"),MAX(0,H298-K298*F298),0)</f>
        <v/>
      </c>
      <c r="N298" s="3">
        <f>IF(C298="","",IF(B298="","Enter the boat number",IF(B298&gt;Settings!$B$6,"Boat number above the boat count",IF(SUMIFS($F$5:$F$1004,$B$5:$B$1004,B298,$C$5:$C$1004,C298)&gt;1.0001,"Shares for this step add up to over 100%",IF(I298="","Waiting for sign-off",IF(AND(Settings!$B$10="Yes",I298=E298),"Needs a different member to sign off","OK"))))))</f>
        <v/>
      </c>
    </row>
    <row r="299">
      <c r="A299" s="9" t="n"/>
      <c r="B299" s="6" t="n"/>
      <c r="C299" s="6" t="n"/>
      <c r="D299" s="3">
        <f>IF(C299="","",IFERROR(INDEX(Steps!$C$5:$C$62,MATCH(C299,Steps!$A$5:$A$62,0)),""))</f>
        <v/>
      </c>
      <c r="E299" s="6" t="n"/>
      <c r="F299" s="8" t="n"/>
      <c r="G299" s="6" t="n"/>
      <c r="H299" s="7" t="n"/>
      <c r="I299" s="6" t="n"/>
      <c r="J299" s="9" t="n"/>
      <c r="K299" s="11">
        <f>IF(C299="","",N(IFERROR(INDEX(Steps!$E$5:$E$62,MATCH(C299,Steps!$A$5:$A$62,0)),"")))</f>
        <v/>
      </c>
      <c r="L299" s="11">
        <f>IF(AND(C299&lt;&gt;"",E299&lt;&gt;"",I299&lt;&gt;"",OR(Settings!$B$10="No",I299&lt;&gt;E299)),K299*F299,0)</f>
        <v/>
      </c>
      <c r="M299" s="11">
        <f>IF(AND(AND(C299&lt;&gt;"",E299&lt;&gt;"",I299&lt;&gt;"",OR(Settings!$B$10="No",I299&lt;&gt;E299)),G299="Paid a pro",Settings!$B$9="Yes"),MAX(0,H299-K299*F299),0)</f>
        <v/>
      </c>
      <c r="N299" s="3">
        <f>IF(C299="","",IF(B299="","Enter the boat number",IF(B299&gt;Settings!$B$6,"Boat number above the boat count",IF(SUMIFS($F$5:$F$1004,$B$5:$B$1004,B299,$C$5:$C$1004,C299)&gt;1.0001,"Shares for this step add up to over 100%",IF(I299="","Waiting for sign-off",IF(AND(Settings!$B$10="Yes",I299=E299),"Needs a different member to sign off","OK"))))))</f>
        <v/>
      </c>
    </row>
    <row r="300">
      <c r="A300" s="9" t="n"/>
      <c r="B300" s="6" t="n"/>
      <c r="C300" s="6" t="n"/>
      <c r="D300" s="3">
        <f>IF(C300="","",IFERROR(INDEX(Steps!$C$5:$C$62,MATCH(C300,Steps!$A$5:$A$62,0)),""))</f>
        <v/>
      </c>
      <c r="E300" s="6" t="n"/>
      <c r="F300" s="8" t="n"/>
      <c r="G300" s="6" t="n"/>
      <c r="H300" s="7" t="n"/>
      <c r="I300" s="6" t="n"/>
      <c r="J300" s="9" t="n"/>
      <c r="K300" s="11">
        <f>IF(C300="","",N(IFERROR(INDEX(Steps!$E$5:$E$62,MATCH(C300,Steps!$A$5:$A$62,0)),"")))</f>
        <v/>
      </c>
      <c r="L300" s="11">
        <f>IF(AND(C300&lt;&gt;"",E300&lt;&gt;"",I300&lt;&gt;"",OR(Settings!$B$10="No",I300&lt;&gt;E300)),K300*F300,0)</f>
        <v/>
      </c>
      <c r="M300" s="11">
        <f>IF(AND(AND(C300&lt;&gt;"",E300&lt;&gt;"",I300&lt;&gt;"",OR(Settings!$B$10="No",I300&lt;&gt;E300)),G300="Paid a pro",Settings!$B$9="Yes"),MAX(0,H300-K300*F300),0)</f>
        <v/>
      </c>
      <c r="N300" s="3">
        <f>IF(C300="","",IF(B300="","Enter the boat number",IF(B300&gt;Settings!$B$6,"Boat number above the boat count",IF(SUMIFS($F$5:$F$1004,$B$5:$B$1004,B300,$C$5:$C$1004,C300)&gt;1.0001,"Shares for this step add up to over 100%",IF(I300="","Waiting for sign-off",IF(AND(Settings!$B$10="Yes",I300=E300),"Needs a different member to sign off","OK"))))))</f>
        <v/>
      </c>
    </row>
    <row r="301">
      <c r="A301" s="9" t="n"/>
      <c r="B301" s="6" t="n"/>
      <c r="C301" s="6" t="n"/>
      <c r="D301" s="3">
        <f>IF(C301="","",IFERROR(INDEX(Steps!$C$5:$C$62,MATCH(C301,Steps!$A$5:$A$62,0)),""))</f>
        <v/>
      </c>
      <c r="E301" s="6" t="n"/>
      <c r="F301" s="8" t="n"/>
      <c r="G301" s="6" t="n"/>
      <c r="H301" s="7" t="n"/>
      <c r="I301" s="6" t="n"/>
      <c r="J301" s="9" t="n"/>
      <c r="K301" s="11">
        <f>IF(C301="","",N(IFERROR(INDEX(Steps!$E$5:$E$62,MATCH(C301,Steps!$A$5:$A$62,0)),"")))</f>
        <v/>
      </c>
      <c r="L301" s="11">
        <f>IF(AND(C301&lt;&gt;"",E301&lt;&gt;"",I301&lt;&gt;"",OR(Settings!$B$10="No",I301&lt;&gt;E301)),K301*F301,0)</f>
        <v/>
      </c>
      <c r="M301" s="11">
        <f>IF(AND(AND(C301&lt;&gt;"",E301&lt;&gt;"",I301&lt;&gt;"",OR(Settings!$B$10="No",I301&lt;&gt;E301)),G301="Paid a pro",Settings!$B$9="Yes"),MAX(0,H301-K301*F301),0)</f>
        <v/>
      </c>
      <c r="N301" s="3">
        <f>IF(C301="","",IF(B301="","Enter the boat number",IF(B301&gt;Settings!$B$6,"Boat number above the boat count",IF(SUMIFS($F$5:$F$1004,$B$5:$B$1004,B301,$C$5:$C$1004,C301)&gt;1.0001,"Shares for this step add up to over 100%",IF(I301="","Waiting for sign-off",IF(AND(Settings!$B$10="Yes",I301=E301),"Needs a different member to sign off","OK"))))))</f>
        <v/>
      </c>
    </row>
    <row r="302">
      <c r="A302" s="9" t="n"/>
      <c r="B302" s="6" t="n"/>
      <c r="C302" s="6" t="n"/>
      <c r="D302" s="3">
        <f>IF(C302="","",IFERROR(INDEX(Steps!$C$5:$C$62,MATCH(C302,Steps!$A$5:$A$62,0)),""))</f>
        <v/>
      </c>
      <c r="E302" s="6" t="n"/>
      <c r="F302" s="8" t="n"/>
      <c r="G302" s="6" t="n"/>
      <c r="H302" s="7" t="n"/>
      <c r="I302" s="6" t="n"/>
      <c r="J302" s="9" t="n"/>
      <c r="K302" s="11">
        <f>IF(C302="","",N(IFERROR(INDEX(Steps!$E$5:$E$62,MATCH(C302,Steps!$A$5:$A$62,0)),"")))</f>
        <v/>
      </c>
      <c r="L302" s="11">
        <f>IF(AND(C302&lt;&gt;"",E302&lt;&gt;"",I302&lt;&gt;"",OR(Settings!$B$10="No",I302&lt;&gt;E302)),K302*F302,0)</f>
        <v/>
      </c>
      <c r="M302" s="11">
        <f>IF(AND(AND(C302&lt;&gt;"",E302&lt;&gt;"",I302&lt;&gt;"",OR(Settings!$B$10="No",I302&lt;&gt;E302)),G302="Paid a pro",Settings!$B$9="Yes"),MAX(0,H302-K302*F302),0)</f>
        <v/>
      </c>
      <c r="N302" s="3">
        <f>IF(C302="","",IF(B302="","Enter the boat number",IF(B302&gt;Settings!$B$6,"Boat number above the boat count",IF(SUMIFS($F$5:$F$1004,$B$5:$B$1004,B302,$C$5:$C$1004,C302)&gt;1.0001,"Shares for this step add up to over 100%",IF(I302="","Waiting for sign-off",IF(AND(Settings!$B$10="Yes",I302=E302),"Needs a different member to sign off","OK"))))))</f>
        <v/>
      </c>
    </row>
    <row r="303">
      <c r="A303" s="9" t="n"/>
      <c r="B303" s="6" t="n"/>
      <c r="C303" s="6" t="n"/>
      <c r="D303" s="3">
        <f>IF(C303="","",IFERROR(INDEX(Steps!$C$5:$C$62,MATCH(C303,Steps!$A$5:$A$62,0)),""))</f>
        <v/>
      </c>
      <c r="E303" s="6" t="n"/>
      <c r="F303" s="8" t="n"/>
      <c r="G303" s="6" t="n"/>
      <c r="H303" s="7" t="n"/>
      <c r="I303" s="6" t="n"/>
      <c r="J303" s="9" t="n"/>
      <c r="K303" s="11">
        <f>IF(C303="","",N(IFERROR(INDEX(Steps!$E$5:$E$62,MATCH(C303,Steps!$A$5:$A$62,0)),"")))</f>
        <v/>
      </c>
      <c r="L303" s="11">
        <f>IF(AND(C303&lt;&gt;"",E303&lt;&gt;"",I303&lt;&gt;"",OR(Settings!$B$10="No",I303&lt;&gt;E303)),K303*F303,0)</f>
        <v/>
      </c>
      <c r="M303" s="11">
        <f>IF(AND(AND(C303&lt;&gt;"",E303&lt;&gt;"",I303&lt;&gt;"",OR(Settings!$B$10="No",I303&lt;&gt;E303)),G303="Paid a pro",Settings!$B$9="Yes"),MAX(0,H303-K303*F303),0)</f>
        <v/>
      </c>
      <c r="N303" s="3">
        <f>IF(C303="","",IF(B303="","Enter the boat number",IF(B303&gt;Settings!$B$6,"Boat number above the boat count",IF(SUMIFS($F$5:$F$1004,$B$5:$B$1004,B303,$C$5:$C$1004,C303)&gt;1.0001,"Shares for this step add up to over 100%",IF(I303="","Waiting for sign-off",IF(AND(Settings!$B$10="Yes",I303=E303),"Needs a different member to sign off","OK"))))))</f>
        <v/>
      </c>
    </row>
    <row r="304">
      <c r="A304" s="9" t="n"/>
      <c r="B304" s="6" t="n"/>
      <c r="C304" s="6" t="n"/>
      <c r="D304" s="3">
        <f>IF(C304="","",IFERROR(INDEX(Steps!$C$5:$C$62,MATCH(C304,Steps!$A$5:$A$62,0)),""))</f>
        <v/>
      </c>
      <c r="E304" s="6" t="n"/>
      <c r="F304" s="8" t="n"/>
      <c r="G304" s="6" t="n"/>
      <c r="H304" s="7" t="n"/>
      <c r="I304" s="6" t="n"/>
      <c r="J304" s="9" t="n"/>
      <c r="K304" s="11">
        <f>IF(C304="","",N(IFERROR(INDEX(Steps!$E$5:$E$62,MATCH(C304,Steps!$A$5:$A$62,0)),"")))</f>
        <v/>
      </c>
      <c r="L304" s="11">
        <f>IF(AND(C304&lt;&gt;"",E304&lt;&gt;"",I304&lt;&gt;"",OR(Settings!$B$10="No",I304&lt;&gt;E304)),K304*F304,0)</f>
        <v/>
      </c>
      <c r="M304" s="11">
        <f>IF(AND(AND(C304&lt;&gt;"",E304&lt;&gt;"",I304&lt;&gt;"",OR(Settings!$B$10="No",I304&lt;&gt;E304)),G304="Paid a pro",Settings!$B$9="Yes"),MAX(0,H304-K304*F304),0)</f>
        <v/>
      </c>
      <c r="N304" s="3">
        <f>IF(C304="","",IF(B304="","Enter the boat number",IF(B304&gt;Settings!$B$6,"Boat number above the boat count",IF(SUMIFS($F$5:$F$1004,$B$5:$B$1004,B304,$C$5:$C$1004,C304)&gt;1.0001,"Shares for this step add up to over 100%",IF(I304="","Waiting for sign-off",IF(AND(Settings!$B$10="Yes",I304=E304),"Needs a different member to sign off","OK"))))))</f>
        <v/>
      </c>
    </row>
    <row r="305">
      <c r="A305" s="9" t="n"/>
      <c r="B305" s="6" t="n"/>
      <c r="C305" s="6" t="n"/>
      <c r="D305" s="3">
        <f>IF(C305="","",IFERROR(INDEX(Steps!$C$5:$C$62,MATCH(C305,Steps!$A$5:$A$62,0)),""))</f>
        <v/>
      </c>
      <c r="E305" s="6" t="n"/>
      <c r="F305" s="8" t="n"/>
      <c r="G305" s="6" t="n"/>
      <c r="H305" s="7" t="n"/>
      <c r="I305" s="6" t="n"/>
      <c r="J305" s="9" t="n"/>
      <c r="K305" s="11">
        <f>IF(C305="","",N(IFERROR(INDEX(Steps!$E$5:$E$62,MATCH(C305,Steps!$A$5:$A$62,0)),"")))</f>
        <v/>
      </c>
      <c r="L305" s="11">
        <f>IF(AND(C305&lt;&gt;"",E305&lt;&gt;"",I305&lt;&gt;"",OR(Settings!$B$10="No",I305&lt;&gt;E305)),K305*F305,0)</f>
        <v/>
      </c>
      <c r="M305" s="11">
        <f>IF(AND(AND(C305&lt;&gt;"",E305&lt;&gt;"",I305&lt;&gt;"",OR(Settings!$B$10="No",I305&lt;&gt;E305)),G305="Paid a pro",Settings!$B$9="Yes"),MAX(0,H305-K305*F305),0)</f>
        <v/>
      </c>
      <c r="N305" s="3">
        <f>IF(C305="","",IF(B305="","Enter the boat number",IF(B305&gt;Settings!$B$6,"Boat number above the boat count",IF(SUMIFS($F$5:$F$1004,$B$5:$B$1004,B305,$C$5:$C$1004,C305)&gt;1.0001,"Shares for this step add up to over 100%",IF(I305="","Waiting for sign-off",IF(AND(Settings!$B$10="Yes",I305=E305),"Needs a different member to sign off","OK"))))))</f>
        <v/>
      </c>
    </row>
    <row r="306">
      <c r="A306" s="9" t="n"/>
      <c r="B306" s="6" t="n"/>
      <c r="C306" s="6" t="n"/>
      <c r="D306" s="3">
        <f>IF(C306="","",IFERROR(INDEX(Steps!$C$5:$C$62,MATCH(C306,Steps!$A$5:$A$62,0)),""))</f>
        <v/>
      </c>
      <c r="E306" s="6" t="n"/>
      <c r="F306" s="8" t="n"/>
      <c r="G306" s="6" t="n"/>
      <c r="H306" s="7" t="n"/>
      <c r="I306" s="6" t="n"/>
      <c r="J306" s="9" t="n"/>
      <c r="K306" s="11">
        <f>IF(C306="","",N(IFERROR(INDEX(Steps!$E$5:$E$62,MATCH(C306,Steps!$A$5:$A$62,0)),"")))</f>
        <v/>
      </c>
      <c r="L306" s="11">
        <f>IF(AND(C306&lt;&gt;"",E306&lt;&gt;"",I306&lt;&gt;"",OR(Settings!$B$10="No",I306&lt;&gt;E306)),K306*F306,0)</f>
        <v/>
      </c>
      <c r="M306" s="11">
        <f>IF(AND(AND(C306&lt;&gt;"",E306&lt;&gt;"",I306&lt;&gt;"",OR(Settings!$B$10="No",I306&lt;&gt;E306)),G306="Paid a pro",Settings!$B$9="Yes"),MAX(0,H306-K306*F306),0)</f>
        <v/>
      </c>
      <c r="N306" s="3">
        <f>IF(C306="","",IF(B306="","Enter the boat number",IF(B306&gt;Settings!$B$6,"Boat number above the boat count",IF(SUMIFS($F$5:$F$1004,$B$5:$B$1004,B306,$C$5:$C$1004,C306)&gt;1.0001,"Shares for this step add up to over 100%",IF(I306="","Waiting for sign-off",IF(AND(Settings!$B$10="Yes",I306=E306),"Needs a different member to sign off","OK"))))))</f>
        <v/>
      </c>
    </row>
    <row r="307">
      <c r="A307" s="9" t="n"/>
      <c r="B307" s="6" t="n"/>
      <c r="C307" s="6" t="n"/>
      <c r="D307" s="3">
        <f>IF(C307="","",IFERROR(INDEX(Steps!$C$5:$C$62,MATCH(C307,Steps!$A$5:$A$62,0)),""))</f>
        <v/>
      </c>
      <c r="E307" s="6" t="n"/>
      <c r="F307" s="8" t="n"/>
      <c r="G307" s="6" t="n"/>
      <c r="H307" s="7" t="n"/>
      <c r="I307" s="6" t="n"/>
      <c r="J307" s="9" t="n"/>
      <c r="K307" s="11">
        <f>IF(C307="","",N(IFERROR(INDEX(Steps!$E$5:$E$62,MATCH(C307,Steps!$A$5:$A$62,0)),"")))</f>
        <v/>
      </c>
      <c r="L307" s="11">
        <f>IF(AND(C307&lt;&gt;"",E307&lt;&gt;"",I307&lt;&gt;"",OR(Settings!$B$10="No",I307&lt;&gt;E307)),K307*F307,0)</f>
        <v/>
      </c>
      <c r="M307" s="11">
        <f>IF(AND(AND(C307&lt;&gt;"",E307&lt;&gt;"",I307&lt;&gt;"",OR(Settings!$B$10="No",I307&lt;&gt;E307)),G307="Paid a pro",Settings!$B$9="Yes"),MAX(0,H307-K307*F307),0)</f>
        <v/>
      </c>
      <c r="N307" s="3">
        <f>IF(C307="","",IF(B307="","Enter the boat number",IF(B307&gt;Settings!$B$6,"Boat number above the boat count",IF(SUMIFS($F$5:$F$1004,$B$5:$B$1004,B307,$C$5:$C$1004,C307)&gt;1.0001,"Shares for this step add up to over 100%",IF(I307="","Waiting for sign-off",IF(AND(Settings!$B$10="Yes",I307=E307),"Needs a different member to sign off","OK"))))))</f>
        <v/>
      </c>
    </row>
    <row r="308">
      <c r="A308" s="9" t="n"/>
      <c r="B308" s="6" t="n"/>
      <c r="C308" s="6" t="n"/>
      <c r="D308" s="3">
        <f>IF(C308="","",IFERROR(INDEX(Steps!$C$5:$C$62,MATCH(C308,Steps!$A$5:$A$62,0)),""))</f>
        <v/>
      </c>
      <c r="E308" s="6" t="n"/>
      <c r="F308" s="8" t="n"/>
      <c r="G308" s="6" t="n"/>
      <c r="H308" s="7" t="n"/>
      <c r="I308" s="6" t="n"/>
      <c r="J308" s="9" t="n"/>
      <c r="K308" s="11">
        <f>IF(C308="","",N(IFERROR(INDEX(Steps!$E$5:$E$62,MATCH(C308,Steps!$A$5:$A$62,0)),"")))</f>
        <v/>
      </c>
      <c r="L308" s="11">
        <f>IF(AND(C308&lt;&gt;"",E308&lt;&gt;"",I308&lt;&gt;"",OR(Settings!$B$10="No",I308&lt;&gt;E308)),K308*F308,0)</f>
        <v/>
      </c>
      <c r="M308" s="11">
        <f>IF(AND(AND(C308&lt;&gt;"",E308&lt;&gt;"",I308&lt;&gt;"",OR(Settings!$B$10="No",I308&lt;&gt;E308)),G308="Paid a pro",Settings!$B$9="Yes"),MAX(0,H308-K308*F308),0)</f>
        <v/>
      </c>
      <c r="N308" s="3">
        <f>IF(C308="","",IF(B308="","Enter the boat number",IF(B308&gt;Settings!$B$6,"Boat number above the boat count",IF(SUMIFS($F$5:$F$1004,$B$5:$B$1004,B308,$C$5:$C$1004,C308)&gt;1.0001,"Shares for this step add up to over 100%",IF(I308="","Waiting for sign-off",IF(AND(Settings!$B$10="Yes",I308=E308),"Needs a different member to sign off","OK"))))))</f>
        <v/>
      </c>
    </row>
    <row r="309">
      <c r="A309" s="9" t="n"/>
      <c r="B309" s="6" t="n"/>
      <c r="C309" s="6" t="n"/>
      <c r="D309" s="3">
        <f>IF(C309="","",IFERROR(INDEX(Steps!$C$5:$C$62,MATCH(C309,Steps!$A$5:$A$62,0)),""))</f>
        <v/>
      </c>
      <c r="E309" s="6" t="n"/>
      <c r="F309" s="8" t="n"/>
      <c r="G309" s="6" t="n"/>
      <c r="H309" s="7" t="n"/>
      <c r="I309" s="6" t="n"/>
      <c r="J309" s="9" t="n"/>
      <c r="K309" s="11">
        <f>IF(C309="","",N(IFERROR(INDEX(Steps!$E$5:$E$62,MATCH(C309,Steps!$A$5:$A$62,0)),"")))</f>
        <v/>
      </c>
      <c r="L309" s="11">
        <f>IF(AND(C309&lt;&gt;"",E309&lt;&gt;"",I309&lt;&gt;"",OR(Settings!$B$10="No",I309&lt;&gt;E309)),K309*F309,0)</f>
        <v/>
      </c>
      <c r="M309" s="11">
        <f>IF(AND(AND(C309&lt;&gt;"",E309&lt;&gt;"",I309&lt;&gt;"",OR(Settings!$B$10="No",I309&lt;&gt;E309)),G309="Paid a pro",Settings!$B$9="Yes"),MAX(0,H309-K309*F309),0)</f>
        <v/>
      </c>
      <c r="N309" s="3">
        <f>IF(C309="","",IF(B309="","Enter the boat number",IF(B309&gt;Settings!$B$6,"Boat number above the boat count",IF(SUMIFS($F$5:$F$1004,$B$5:$B$1004,B309,$C$5:$C$1004,C309)&gt;1.0001,"Shares for this step add up to over 100%",IF(I309="","Waiting for sign-off",IF(AND(Settings!$B$10="Yes",I309=E309),"Needs a different member to sign off","OK"))))))</f>
        <v/>
      </c>
    </row>
    <row r="310">
      <c r="A310" s="9" t="n"/>
      <c r="B310" s="6" t="n"/>
      <c r="C310" s="6" t="n"/>
      <c r="D310" s="3">
        <f>IF(C310="","",IFERROR(INDEX(Steps!$C$5:$C$62,MATCH(C310,Steps!$A$5:$A$62,0)),""))</f>
        <v/>
      </c>
      <c r="E310" s="6" t="n"/>
      <c r="F310" s="8" t="n"/>
      <c r="G310" s="6" t="n"/>
      <c r="H310" s="7" t="n"/>
      <c r="I310" s="6" t="n"/>
      <c r="J310" s="9" t="n"/>
      <c r="K310" s="11">
        <f>IF(C310="","",N(IFERROR(INDEX(Steps!$E$5:$E$62,MATCH(C310,Steps!$A$5:$A$62,0)),"")))</f>
        <v/>
      </c>
      <c r="L310" s="11">
        <f>IF(AND(C310&lt;&gt;"",E310&lt;&gt;"",I310&lt;&gt;"",OR(Settings!$B$10="No",I310&lt;&gt;E310)),K310*F310,0)</f>
        <v/>
      </c>
      <c r="M310" s="11">
        <f>IF(AND(AND(C310&lt;&gt;"",E310&lt;&gt;"",I310&lt;&gt;"",OR(Settings!$B$10="No",I310&lt;&gt;E310)),G310="Paid a pro",Settings!$B$9="Yes"),MAX(0,H310-K310*F310),0)</f>
        <v/>
      </c>
      <c r="N310" s="3">
        <f>IF(C310="","",IF(B310="","Enter the boat number",IF(B310&gt;Settings!$B$6,"Boat number above the boat count",IF(SUMIFS($F$5:$F$1004,$B$5:$B$1004,B310,$C$5:$C$1004,C310)&gt;1.0001,"Shares for this step add up to over 100%",IF(I310="","Waiting for sign-off",IF(AND(Settings!$B$10="Yes",I310=E310),"Needs a different member to sign off","OK"))))))</f>
        <v/>
      </c>
    </row>
    <row r="311">
      <c r="A311" s="9" t="n"/>
      <c r="B311" s="6" t="n"/>
      <c r="C311" s="6" t="n"/>
      <c r="D311" s="3">
        <f>IF(C311="","",IFERROR(INDEX(Steps!$C$5:$C$62,MATCH(C311,Steps!$A$5:$A$62,0)),""))</f>
        <v/>
      </c>
      <c r="E311" s="6" t="n"/>
      <c r="F311" s="8" t="n"/>
      <c r="G311" s="6" t="n"/>
      <c r="H311" s="7" t="n"/>
      <c r="I311" s="6" t="n"/>
      <c r="J311" s="9" t="n"/>
      <c r="K311" s="11">
        <f>IF(C311="","",N(IFERROR(INDEX(Steps!$E$5:$E$62,MATCH(C311,Steps!$A$5:$A$62,0)),"")))</f>
        <v/>
      </c>
      <c r="L311" s="11">
        <f>IF(AND(C311&lt;&gt;"",E311&lt;&gt;"",I311&lt;&gt;"",OR(Settings!$B$10="No",I311&lt;&gt;E311)),K311*F311,0)</f>
        <v/>
      </c>
      <c r="M311" s="11">
        <f>IF(AND(AND(C311&lt;&gt;"",E311&lt;&gt;"",I311&lt;&gt;"",OR(Settings!$B$10="No",I311&lt;&gt;E311)),G311="Paid a pro",Settings!$B$9="Yes"),MAX(0,H311-K311*F311),0)</f>
        <v/>
      </c>
      <c r="N311" s="3">
        <f>IF(C311="","",IF(B311="","Enter the boat number",IF(B311&gt;Settings!$B$6,"Boat number above the boat count",IF(SUMIFS($F$5:$F$1004,$B$5:$B$1004,B311,$C$5:$C$1004,C311)&gt;1.0001,"Shares for this step add up to over 100%",IF(I311="","Waiting for sign-off",IF(AND(Settings!$B$10="Yes",I311=E311),"Needs a different member to sign off","OK"))))))</f>
        <v/>
      </c>
    </row>
    <row r="312">
      <c r="A312" s="9" t="n"/>
      <c r="B312" s="6" t="n"/>
      <c r="C312" s="6" t="n"/>
      <c r="D312" s="3">
        <f>IF(C312="","",IFERROR(INDEX(Steps!$C$5:$C$62,MATCH(C312,Steps!$A$5:$A$62,0)),""))</f>
        <v/>
      </c>
      <c r="E312" s="6" t="n"/>
      <c r="F312" s="8" t="n"/>
      <c r="G312" s="6" t="n"/>
      <c r="H312" s="7" t="n"/>
      <c r="I312" s="6" t="n"/>
      <c r="J312" s="9" t="n"/>
      <c r="K312" s="11">
        <f>IF(C312="","",N(IFERROR(INDEX(Steps!$E$5:$E$62,MATCH(C312,Steps!$A$5:$A$62,0)),"")))</f>
        <v/>
      </c>
      <c r="L312" s="11">
        <f>IF(AND(C312&lt;&gt;"",E312&lt;&gt;"",I312&lt;&gt;"",OR(Settings!$B$10="No",I312&lt;&gt;E312)),K312*F312,0)</f>
        <v/>
      </c>
      <c r="M312" s="11">
        <f>IF(AND(AND(C312&lt;&gt;"",E312&lt;&gt;"",I312&lt;&gt;"",OR(Settings!$B$10="No",I312&lt;&gt;E312)),G312="Paid a pro",Settings!$B$9="Yes"),MAX(0,H312-K312*F312),0)</f>
        <v/>
      </c>
      <c r="N312" s="3">
        <f>IF(C312="","",IF(B312="","Enter the boat number",IF(B312&gt;Settings!$B$6,"Boat number above the boat count",IF(SUMIFS($F$5:$F$1004,$B$5:$B$1004,B312,$C$5:$C$1004,C312)&gt;1.0001,"Shares for this step add up to over 100%",IF(I312="","Waiting for sign-off",IF(AND(Settings!$B$10="Yes",I312=E312),"Needs a different member to sign off","OK"))))))</f>
        <v/>
      </c>
    </row>
    <row r="313">
      <c r="A313" s="9" t="n"/>
      <c r="B313" s="6" t="n"/>
      <c r="C313" s="6" t="n"/>
      <c r="D313" s="3">
        <f>IF(C313="","",IFERROR(INDEX(Steps!$C$5:$C$62,MATCH(C313,Steps!$A$5:$A$62,0)),""))</f>
        <v/>
      </c>
      <c r="E313" s="6" t="n"/>
      <c r="F313" s="8" t="n"/>
      <c r="G313" s="6" t="n"/>
      <c r="H313" s="7" t="n"/>
      <c r="I313" s="6" t="n"/>
      <c r="J313" s="9" t="n"/>
      <c r="K313" s="11">
        <f>IF(C313="","",N(IFERROR(INDEX(Steps!$E$5:$E$62,MATCH(C313,Steps!$A$5:$A$62,0)),"")))</f>
        <v/>
      </c>
      <c r="L313" s="11">
        <f>IF(AND(C313&lt;&gt;"",E313&lt;&gt;"",I313&lt;&gt;"",OR(Settings!$B$10="No",I313&lt;&gt;E313)),K313*F313,0)</f>
        <v/>
      </c>
      <c r="M313" s="11">
        <f>IF(AND(AND(C313&lt;&gt;"",E313&lt;&gt;"",I313&lt;&gt;"",OR(Settings!$B$10="No",I313&lt;&gt;E313)),G313="Paid a pro",Settings!$B$9="Yes"),MAX(0,H313-K313*F313),0)</f>
        <v/>
      </c>
      <c r="N313" s="3">
        <f>IF(C313="","",IF(B313="","Enter the boat number",IF(B313&gt;Settings!$B$6,"Boat number above the boat count",IF(SUMIFS($F$5:$F$1004,$B$5:$B$1004,B313,$C$5:$C$1004,C313)&gt;1.0001,"Shares for this step add up to over 100%",IF(I313="","Waiting for sign-off",IF(AND(Settings!$B$10="Yes",I313=E313),"Needs a different member to sign off","OK"))))))</f>
        <v/>
      </c>
    </row>
    <row r="314">
      <c r="A314" s="9" t="n"/>
      <c r="B314" s="6" t="n"/>
      <c r="C314" s="6" t="n"/>
      <c r="D314" s="3">
        <f>IF(C314="","",IFERROR(INDEX(Steps!$C$5:$C$62,MATCH(C314,Steps!$A$5:$A$62,0)),""))</f>
        <v/>
      </c>
      <c r="E314" s="6" t="n"/>
      <c r="F314" s="8" t="n"/>
      <c r="G314" s="6" t="n"/>
      <c r="H314" s="7" t="n"/>
      <c r="I314" s="6" t="n"/>
      <c r="J314" s="9" t="n"/>
      <c r="K314" s="11">
        <f>IF(C314="","",N(IFERROR(INDEX(Steps!$E$5:$E$62,MATCH(C314,Steps!$A$5:$A$62,0)),"")))</f>
        <v/>
      </c>
      <c r="L314" s="11">
        <f>IF(AND(C314&lt;&gt;"",E314&lt;&gt;"",I314&lt;&gt;"",OR(Settings!$B$10="No",I314&lt;&gt;E314)),K314*F314,0)</f>
        <v/>
      </c>
      <c r="M314" s="11">
        <f>IF(AND(AND(C314&lt;&gt;"",E314&lt;&gt;"",I314&lt;&gt;"",OR(Settings!$B$10="No",I314&lt;&gt;E314)),G314="Paid a pro",Settings!$B$9="Yes"),MAX(0,H314-K314*F314),0)</f>
        <v/>
      </c>
      <c r="N314" s="3">
        <f>IF(C314="","",IF(B314="","Enter the boat number",IF(B314&gt;Settings!$B$6,"Boat number above the boat count",IF(SUMIFS($F$5:$F$1004,$B$5:$B$1004,B314,$C$5:$C$1004,C314)&gt;1.0001,"Shares for this step add up to over 100%",IF(I314="","Waiting for sign-off",IF(AND(Settings!$B$10="Yes",I314=E314),"Needs a different member to sign off","OK"))))))</f>
        <v/>
      </c>
    </row>
    <row r="315">
      <c r="A315" s="9" t="n"/>
      <c r="B315" s="6" t="n"/>
      <c r="C315" s="6" t="n"/>
      <c r="D315" s="3">
        <f>IF(C315="","",IFERROR(INDEX(Steps!$C$5:$C$62,MATCH(C315,Steps!$A$5:$A$62,0)),""))</f>
        <v/>
      </c>
      <c r="E315" s="6" t="n"/>
      <c r="F315" s="8" t="n"/>
      <c r="G315" s="6" t="n"/>
      <c r="H315" s="7" t="n"/>
      <c r="I315" s="6" t="n"/>
      <c r="J315" s="9" t="n"/>
      <c r="K315" s="11">
        <f>IF(C315="","",N(IFERROR(INDEX(Steps!$E$5:$E$62,MATCH(C315,Steps!$A$5:$A$62,0)),"")))</f>
        <v/>
      </c>
      <c r="L315" s="11">
        <f>IF(AND(C315&lt;&gt;"",E315&lt;&gt;"",I315&lt;&gt;"",OR(Settings!$B$10="No",I315&lt;&gt;E315)),K315*F315,0)</f>
        <v/>
      </c>
      <c r="M315" s="11">
        <f>IF(AND(AND(C315&lt;&gt;"",E315&lt;&gt;"",I315&lt;&gt;"",OR(Settings!$B$10="No",I315&lt;&gt;E315)),G315="Paid a pro",Settings!$B$9="Yes"),MAX(0,H315-K315*F315),0)</f>
        <v/>
      </c>
      <c r="N315" s="3">
        <f>IF(C315="","",IF(B315="","Enter the boat number",IF(B315&gt;Settings!$B$6,"Boat number above the boat count",IF(SUMIFS($F$5:$F$1004,$B$5:$B$1004,B315,$C$5:$C$1004,C315)&gt;1.0001,"Shares for this step add up to over 100%",IF(I315="","Waiting for sign-off",IF(AND(Settings!$B$10="Yes",I315=E315),"Needs a different member to sign off","OK"))))))</f>
        <v/>
      </c>
    </row>
    <row r="316">
      <c r="A316" s="9" t="n"/>
      <c r="B316" s="6" t="n"/>
      <c r="C316" s="6" t="n"/>
      <c r="D316" s="3">
        <f>IF(C316="","",IFERROR(INDEX(Steps!$C$5:$C$62,MATCH(C316,Steps!$A$5:$A$62,0)),""))</f>
        <v/>
      </c>
      <c r="E316" s="6" t="n"/>
      <c r="F316" s="8" t="n"/>
      <c r="G316" s="6" t="n"/>
      <c r="H316" s="7" t="n"/>
      <c r="I316" s="6" t="n"/>
      <c r="J316" s="9" t="n"/>
      <c r="K316" s="11">
        <f>IF(C316="","",N(IFERROR(INDEX(Steps!$E$5:$E$62,MATCH(C316,Steps!$A$5:$A$62,0)),"")))</f>
        <v/>
      </c>
      <c r="L316" s="11">
        <f>IF(AND(C316&lt;&gt;"",E316&lt;&gt;"",I316&lt;&gt;"",OR(Settings!$B$10="No",I316&lt;&gt;E316)),K316*F316,0)</f>
        <v/>
      </c>
      <c r="M316" s="11">
        <f>IF(AND(AND(C316&lt;&gt;"",E316&lt;&gt;"",I316&lt;&gt;"",OR(Settings!$B$10="No",I316&lt;&gt;E316)),G316="Paid a pro",Settings!$B$9="Yes"),MAX(0,H316-K316*F316),0)</f>
        <v/>
      </c>
      <c r="N316" s="3">
        <f>IF(C316="","",IF(B316="","Enter the boat number",IF(B316&gt;Settings!$B$6,"Boat number above the boat count",IF(SUMIFS($F$5:$F$1004,$B$5:$B$1004,B316,$C$5:$C$1004,C316)&gt;1.0001,"Shares for this step add up to over 100%",IF(I316="","Waiting for sign-off",IF(AND(Settings!$B$10="Yes",I316=E316),"Needs a different member to sign off","OK"))))))</f>
        <v/>
      </c>
    </row>
    <row r="317">
      <c r="A317" s="9" t="n"/>
      <c r="B317" s="6" t="n"/>
      <c r="C317" s="6" t="n"/>
      <c r="D317" s="3">
        <f>IF(C317="","",IFERROR(INDEX(Steps!$C$5:$C$62,MATCH(C317,Steps!$A$5:$A$62,0)),""))</f>
        <v/>
      </c>
      <c r="E317" s="6" t="n"/>
      <c r="F317" s="8" t="n"/>
      <c r="G317" s="6" t="n"/>
      <c r="H317" s="7" t="n"/>
      <c r="I317" s="6" t="n"/>
      <c r="J317" s="9" t="n"/>
      <c r="K317" s="11">
        <f>IF(C317="","",N(IFERROR(INDEX(Steps!$E$5:$E$62,MATCH(C317,Steps!$A$5:$A$62,0)),"")))</f>
        <v/>
      </c>
      <c r="L317" s="11">
        <f>IF(AND(C317&lt;&gt;"",E317&lt;&gt;"",I317&lt;&gt;"",OR(Settings!$B$10="No",I317&lt;&gt;E317)),K317*F317,0)</f>
        <v/>
      </c>
      <c r="M317" s="11">
        <f>IF(AND(AND(C317&lt;&gt;"",E317&lt;&gt;"",I317&lt;&gt;"",OR(Settings!$B$10="No",I317&lt;&gt;E317)),G317="Paid a pro",Settings!$B$9="Yes"),MAX(0,H317-K317*F317),0)</f>
        <v/>
      </c>
      <c r="N317" s="3">
        <f>IF(C317="","",IF(B317="","Enter the boat number",IF(B317&gt;Settings!$B$6,"Boat number above the boat count",IF(SUMIFS($F$5:$F$1004,$B$5:$B$1004,B317,$C$5:$C$1004,C317)&gt;1.0001,"Shares for this step add up to over 100%",IF(I317="","Waiting for sign-off",IF(AND(Settings!$B$10="Yes",I317=E317),"Needs a different member to sign off","OK"))))))</f>
        <v/>
      </c>
    </row>
    <row r="318">
      <c r="A318" s="9" t="n"/>
      <c r="B318" s="6" t="n"/>
      <c r="C318" s="6" t="n"/>
      <c r="D318" s="3">
        <f>IF(C318="","",IFERROR(INDEX(Steps!$C$5:$C$62,MATCH(C318,Steps!$A$5:$A$62,0)),""))</f>
        <v/>
      </c>
      <c r="E318" s="6" t="n"/>
      <c r="F318" s="8" t="n"/>
      <c r="G318" s="6" t="n"/>
      <c r="H318" s="7" t="n"/>
      <c r="I318" s="6" t="n"/>
      <c r="J318" s="9" t="n"/>
      <c r="K318" s="11">
        <f>IF(C318="","",N(IFERROR(INDEX(Steps!$E$5:$E$62,MATCH(C318,Steps!$A$5:$A$62,0)),"")))</f>
        <v/>
      </c>
      <c r="L318" s="11">
        <f>IF(AND(C318&lt;&gt;"",E318&lt;&gt;"",I318&lt;&gt;"",OR(Settings!$B$10="No",I318&lt;&gt;E318)),K318*F318,0)</f>
        <v/>
      </c>
      <c r="M318" s="11">
        <f>IF(AND(AND(C318&lt;&gt;"",E318&lt;&gt;"",I318&lt;&gt;"",OR(Settings!$B$10="No",I318&lt;&gt;E318)),G318="Paid a pro",Settings!$B$9="Yes"),MAX(0,H318-K318*F318),0)</f>
        <v/>
      </c>
      <c r="N318" s="3">
        <f>IF(C318="","",IF(B318="","Enter the boat number",IF(B318&gt;Settings!$B$6,"Boat number above the boat count",IF(SUMIFS($F$5:$F$1004,$B$5:$B$1004,B318,$C$5:$C$1004,C318)&gt;1.0001,"Shares for this step add up to over 100%",IF(I318="","Waiting for sign-off",IF(AND(Settings!$B$10="Yes",I318=E318),"Needs a different member to sign off","OK"))))))</f>
        <v/>
      </c>
    </row>
    <row r="319">
      <c r="A319" s="9" t="n"/>
      <c r="B319" s="6" t="n"/>
      <c r="C319" s="6" t="n"/>
      <c r="D319" s="3">
        <f>IF(C319="","",IFERROR(INDEX(Steps!$C$5:$C$62,MATCH(C319,Steps!$A$5:$A$62,0)),""))</f>
        <v/>
      </c>
      <c r="E319" s="6" t="n"/>
      <c r="F319" s="8" t="n"/>
      <c r="G319" s="6" t="n"/>
      <c r="H319" s="7" t="n"/>
      <c r="I319" s="6" t="n"/>
      <c r="J319" s="9" t="n"/>
      <c r="K319" s="11">
        <f>IF(C319="","",N(IFERROR(INDEX(Steps!$E$5:$E$62,MATCH(C319,Steps!$A$5:$A$62,0)),"")))</f>
        <v/>
      </c>
      <c r="L319" s="11">
        <f>IF(AND(C319&lt;&gt;"",E319&lt;&gt;"",I319&lt;&gt;"",OR(Settings!$B$10="No",I319&lt;&gt;E319)),K319*F319,0)</f>
        <v/>
      </c>
      <c r="M319" s="11">
        <f>IF(AND(AND(C319&lt;&gt;"",E319&lt;&gt;"",I319&lt;&gt;"",OR(Settings!$B$10="No",I319&lt;&gt;E319)),G319="Paid a pro",Settings!$B$9="Yes"),MAX(0,H319-K319*F319),0)</f>
        <v/>
      </c>
      <c r="N319" s="3">
        <f>IF(C319="","",IF(B319="","Enter the boat number",IF(B319&gt;Settings!$B$6,"Boat number above the boat count",IF(SUMIFS($F$5:$F$1004,$B$5:$B$1004,B319,$C$5:$C$1004,C319)&gt;1.0001,"Shares for this step add up to over 100%",IF(I319="","Waiting for sign-off",IF(AND(Settings!$B$10="Yes",I319=E319),"Needs a different member to sign off","OK"))))))</f>
        <v/>
      </c>
    </row>
    <row r="320">
      <c r="A320" s="9" t="n"/>
      <c r="B320" s="6" t="n"/>
      <c r="C320" s="6" t="n"/>
      <c r="D320" s="3">
        <f>IF(C320="","",IFERROR(INDEX(Steps!$C$5:$C$62,MATCH(C320,Steps!$A$5:$A$62,0)),""))</f>
        <v/>
      </c>
      <c r="E320" s="6" t="n"/>
      <c r="F320" s="8" t="n"/>
      <c r="G320" s="6" t="n"/>
      <c r="H320" s="7" t="n"/>
      <c r="I320" s="6" t="n"/>
      <c r="J320" s="9" t="n"/>
      <c r="K320" s="11">
        <f>IF(C320="","",N(IFERROR(INDEX(Steps!$E$5:$E$62,MATCH(C320,Steps!$A$5:$A$62,0)),"")))</f>
        <v/>
      </c>
      <c r="L320" s="11">
        <f>IF(AND(C320&lt;&gt;"",E320&lt;&gt;"",I320&lt;&gt;"",OR(Settings!$B$10="No",I320&lt;&gt;E320)),K320*F320,0)</f>
        <v/>
      </c>
      <c r="M320" s="11">
        <f>IF(AND(AND(C320&lt;&gt;"",E320&lt;&gt;"",I320&lt;&gt;"",OR(Settings!$B$10="No",I320&lt;&gt;E320)),G320="Paid a pro",Settings!$B$9="Yes"),MAX(0,H320-K320*F320),0)</f>
        <v/>
      </c>
      <c r="N320" s="3">
        <f>IF(C320="","",IF(B320="","Enter the boat number",IF(B320&gt;Settings!$B$6,"Boat number above the boat count",IF(SUMIFS($F$5:$F$1004,$B$5:$B$1004,B320,$C$5:$C$1004,C320)&gt;1.0001,"Shares for this step add up to over 100%",IF(I320="","Waiting for sign-off",IF(AND(Settings!$B$10="Yes",I320=E320),"Needs a different member to sign off","OK"))))))</f>
        <v/>
      </c>
    </row>
    <row r="321">
      <c r="A321" s="9" t="n"/>
      <c r="B321" s="6" t="n"/>
      <c r="C321" s="6" t="n"/>
      <c r="D321" s="3">
        <f>IF(C321="","",IFERROR(INDEX(Steps!$C$5:$C$62,MATCH(C321,Steps!$A$5:$A$62,0)),""))</f>
        <v/>
      </c>
      <c r="E321" s="6" t="n"/>
      <c r="F321" s="8" t="n"/>
      <c r="G321" s="6" t="n"/>
      <c r="H321" s="7" t="n"/>
      <c r="I321" s="6" t="n"/>
      <c r="J321" s="9" t="n"/>
      <c r="K321" s="11">
        <f>IF(C321="","",N(IFERROR(INDEX(Steps!$E$5:$E$62,MATCH(C321,Steps!$A$5:$A$62,0)),"")))</f>
        <v/>
      </c>
      <c r="L321" s="11">
        <f>IF(AND(C321&lt;&gt;"",E321&lt;&gt;"",I321&lt;&gt;"",OR(Settings!$B$10="No",I321&lt;&gt;E321)),K321*F321,0)</f>
        <v/>
      </c>
      <c r="M321" s="11">
        <f>IF(AND(AND(C321&lt;&gt;"",E321&lt;&gt;"",I321&lt;&gt;"",OR(Settings!$B$10="No",I321&lt;&gt;E321)),G321="Paid a pro",Settings!$B$9="Yes"),MAX(0,H321-K321*F321),0)</f>
        <v/>
      </c>
      <c r="N321" s="3">
        <f>IF(C321="","",IF(B321="","Enter the boat number",IF(B321&gt;Settings!$B$6,"Boat number above the boat count",IF(SUMIFS($F$5:$F$1004,$B$5:$B$1004,B321,$C$5:$C$1004,C321)&gt;1.0001,"Shares for this step add up to over 100%",IF(I321="","Waiting for sign-off",IF(AND(Settings!$B$10="Yes",I321=E321),"Needs a different member to sign off","OK"))))))</f>
        <v/>
      </c>
    </row>
    <row r="322">
      <c r="A322" s="9" t="n"/>
      <c r="B322" s="6" t="n"/>
      <c r="C322" s="6" t="n"/>
      <c r="D322" s="3">
        <f>IF(C322="","",IFERROR(INDEX(Steps!$C$5:$C$62,MATCH(C322,Steps!$A$5:$A$62,0)),""))</f>
        <v/>
      </c>
      <c r="E322" s="6" t="n"/>
      <c r="F322" s="8" t="n"/>
      <c r="G322" s="6" t="n"/>
      <c r="H322" s="7" t="n"/>
      <c r="I322" s="6" t="n"/>
      <c r="J322" s="9" t="n"/>
      <c r="K322" s="11">
        <f>IF(C322="","",N(IFERROR(INDEX(Steps!$E$5:$E$62,MATCH(C322,Steps!$A$5:$A$62,0)),"")))</f>
        <v/>
      </c>
      <c r="L322" s="11">
        <f>IF(AND(C322&lt;&gt;"",E322&lt;&gt;"",I322&lt;&gt;"",OR(Settings!$B$10="No",I322&lt;&gt;E322)),K322*F322,0)</f>
        <v/>
      </c>
      <c r="M322" s="11">
        <f>IF(AND(AND(C322&lt;&gt;"",E322&lt;&gt;"",I322&lt;&gt;"",OR(Settings!$B$10="No",I322&lt;&gt;E322)),G322="Paid a pro",Settings!$B$9="Yes"),MAX(0,H322-K322*F322),0)</f>
        <v/>
      </c>
      <c r="N322" s="3">
        <f>IF(C322="","",IF(B322="","Enter the boat number",IF(B322&gt;Settings!$B$6,"Boat number above the boat count",IF(SUMIFS($F$5:$F$1004,$B$5:$B$1004,B322,$C$5:$C$1004,C322)&gt;1.0001,"Shares for this step add up to over 100%",IF(I322="","Waiting for sign-off",IF(AND(Settings!$B$10="Yes",I322=E322),"Needs a different member to sign off","OK"))))))</f>
        <v/>
      </c>
    </row>
    <row r="323">
      <c r="A323" s="9" t="n"/>
      <c r="B323" s="6" t="n"/>
      <c r="C323" s="6" t="n"/>
      <c r="D323" s="3">
        <f>IF(C323="","",IFERROR(INDEX(Steps!$C$5:$C$62,MATCH(C323,Steps!$A$5:$A$62,0)),""))</f>
        <v/>
      </c>
      <c r="E323" s="6" t="n"/>
      <c r="F323" s="8" t="n"/>
      <c r="G323" s="6" t="n"/>
      <c r="H323" s="7" t="n"/>
      <c r="I323" s="6" t="n"/>
      <c r="J323" s="9" t="n"/>
      <c r="K323" s="11">
        <f>IF(C323="","",N(IFERROR(INDEX(Steps!$E$5:$E$62,MATCH(C323,Steps!$A$5:$A$62,0)),"")))</f>
        <v/>
      </c>
      <c r="L323" s="11">
        <f>IF(AND(C323&lt;&gt;"",E323&lt;&gt;"",I323&lt;&gt;"",OR(Settings!$B$10="No",I323&lt;&gt;E323)),K323*F323,0)</f>
        <v/>
      </c>
      <c r="M323" s="11">
        <f>IF(AND(AND(C323&lt;&gt;"",E323&lt;&gt;"",I323&lt;&gt;"",OR(Settings!$B$10="No",I323&lt;&gt;E323)),G323="Paid a pro",Settings!$B$9="Yes"),MAX(0,H323-K323*F323),0)</f>
        <v/>
      </c>
      <c r="N323" s="3">
        <f>IF(C323="","",IF(B323="","Enter the boat number",IF(B323&gt;Settings!$B$6,"Boat number above the boat count",IF(SUMIFS($F$5:$F$1004,$B$5:$B$1004,B323,$C$5:$C$1004,C323)&gt;1.0001,"Shares for this step add up to over 100%",IF(I323="","Waiting for sign-off",IF(AND(Settings!$B$10="Yes",I323=E323),"Needs a different member to sign off","OK"))))))</f>
        <v/>
      </c>
    </row>
    <row r="324">
      <c r="A324" s="9" t="n"/>
      <c r="B324" s="6" t="n"/>
      <c r="C324" s="6" t="n"/>
      <c r="D324" s="3">
        <f>IF(C324="","",IFERROR(INDEX(Steps!$C$5:$C$62,MATCH(C324,Steps!$A$5:$A$62,0)),""))</f>
        <v/>
      </c>
      <c r="E324" s="6" t="n"/>
      <c r="F324" s="8" t="n"/>
      <c r="G324" s="6" t="n"/>
      <c r="H324" s="7" t="n"/>
      <c r="I324" s="6" t="n"/>
      <c r="J324" s="9" t="n"/>
      <c r="K324" s="11">
        <f>IF(C324="","",N(IFERROR(INDEX(Steps!$E$5:$E$62,MATCH(C324,Steps!$A$5:$A$62,0)),"")))</f>
        <v/>
      </c>
      <c r="L324" s="11">
        <f>IF(AND(C324&lt;&gt;"",E324&lt;&gt;"",I324&lt;&gt;"",OR(Settings!$B$10="No",I324&lt;&gt;E324)),K324*F324,0)</f>
        <v/>
      </c>
      <c r="M324" s="11">
        <f>IF(AND(AND(C324&lt;&gt;"",E324&lt;&gt;"",I324&lt;&gt;"",OR(Settings!$B$10="No",I324&lt;&gt;E324)),G324="Paid a pro",Settings!$B$9="Yes"),MAX(0,H324-K324*F324),0)</f>
        <v/>
      </c>
      <c r="N324" s="3">
        <f>IF(C324="","",IF(B324="","Enter the boat number",IF(B324&gt;Settings!$B$6,"Boat number above the boat count",IF(SUMIFS($F$5:$F$1004,$B$5:$B$1004,B324,$C$5:$C$1004,C324)&gt;1.0001,"Shares for this step add up to over 100%",IF(I324="","Waiting for sign-off",IF(AND(Settings!$B$10="Yes",I324=E324),"Needs a different member to sign off","OK"))))))</f>
        <v/>
      </c>
    </row>
    <row r="325">
      <c r="A325" s="9" t="n"/>
      <c r="B325" s="6" t="n"/>
      <c r="C325" s="6" t="n"/>
      <c r="D325" s="3">
        <f>IF(C325="","",IFERROR(INDEX(Steps!$C$5:$C$62,MATCH(C325,Steps!$A$5:$A$62,0)),""))</f>
        <v/>
      </c>
      <c r="E325" s="6" t="n"/>
      <c r="F325" s="8" t="n"/>
      <c r="G325" s="6" t="n"/>
      <c r="H325" s="7" t="n"/>
      <c r="I325" s="6" t="n"/>
      <c r="J325" s="9" t="n"/>
      <c r="K325" s="11">
        <f>IF(C325="","",N(IFERROR(INDEX(Steps!$E$5:$E$62,MATCH(C325,Steps!$A$5:$A$62,0)),"")))</f>
        <v/>
      </c>
      <c r="L325" s="11">
        <f>IF(AND(C325&lt;&gt;"",E325&lt;&gt;"",I325&lt;&gt;"",OR(Settings!$B$10="No",I325&lt;&gt;E325)),K325*F325,0)</f>
        <v/>
      </c>
      <c r="M325" s="11">
        <f>IF(AND(AND(C325&lt;&gt;"",E325&lt;&gt;"",I325&lt;&gt;"",OR(Settings!$B$10="No",I325&lt;&gt;E325)),G325="Paid a pro",Settings!$B$9="Yes"),MAX(0,H325-K325*F325),0)</f>
        <v/>
      </c>
      <c r="N325" s="3">
        <f>IF(C325="","",IF(B325="","Enter the boat number",IF(B325&gt;Settings!$B$6,"Boat number above the boat count",IF(SUMIFS($F$5:$F$1004,$B$5:$B$1004,B325,$C$5:$C$1004,C325)&gt;1.0001,"Shares for this step add up to over 100%",IF(I325="","Waiting for sign-off",IF(AND(Settings!$B$10="Yes",I325=E325),"Needs a different member to sign off","OK"))))))</f>
        <v/>
      </c>
    </row>
    <row r="326">
      <c r="A326" s="9" t="n"/>
      <c r="B326" s="6" t="n"/>
      <c r="C326" s="6" t="n"/>
      <c r="D326" s="3">
        <f>IF(C326="","",IFERROR(INDEX(Steps!$C$5:$C$62,MATCH(C326,Steps!$A$5:$A$62,0)),""))</f>
        <v/>
      </c>
      <c r="E326" s="6" t="n"/>
      <c r="F326" s="8" t="n"/>
      <c r="G326" s="6" t="n"/>
      <c r="H326" s="7" t="n"/>
      <c r="I326" s="6" t="n"/>
      <c r="J326" s="9" t="n"/>
      <c r="K326" s="11">
        <f>IF(C326="","",N(IFERROR(INDEX(Steps!$E$5:$E$62,MATCH(C326,Steps!$A$5:$A$62,0)),"")))</f>
        <v/>
      </c>
      <c r="L326" s="11">
        <f>IF(AND(C326&lt;&gt;"",E326&lt;&gt;"",I326&lt;&gt;"",OR(Settings!$B$10="No",I326&lt;&gt;E326)),K326*F326,0)</f>
        <v/>
      </c>
      <c r="M326" s="11">
        <f>IF(AND(AND(C326&lt;&gt;"",E326&lt;&gt;"",I326&lt;&gt;"",OR(Settings!$B$10="No",I326&lt;&gt;E326)),G326="Paid a pro",Settings!$B$9="Yes"),MAX(0,H326-K326*F326),0)</f>
        <v/>
      </c>
      <c r="N326" s="3">
        <f>IF(C326="","",IF(B326="","Enter the boat number",IF(B326&gt;Settings!$B$6,"Boat number above the boat count",IF(SUMIFS($F$5:$F$1004,$B$5:$B$1004,B326,$C$5:$C$1004,C326)&gt;1.0001,"Shares for this step add up to over 100%",IF(I326="","Waiting for sign-off",IF(AND(Settings!$B$10="Yes",I326=E326),"Needs a different member to sign off","OK"))))))</f>
        <v/>
      </c>
    </row>
    <row r="327">
      <c r="A327" s="9" t="n"/>
      <c r="B327" s="6" t="n"/>
      <c r="C327" s="6" t="n"/>
      <c r="D327" s="3">
        <f>IF(C327="","",IFERROR(INDEX(Steps!$C$5:$C$62,MATCH(C327,Steps!$A$5:$A$62,0)),""))</f>
        <v/>
      </c>
      <c r="E327" s="6" t="n"/>
      <c r="F327" s="8" t="n"/>
      <c r="G327" s="6" t="n"/>
      <c r="H327" s="7" t="n"/>
      <c r="I327" s="6" t="n"/>
      <c r="J327" s="9" t="n"/>
      <c r="K327" s="11">
        <f>IF(C327="","",N(IFERROR(INDEX(Steps!$E$5:$E$62,MATCH(C327,Steps!$A$5:$A$62,0)),"")))</f>
        <v/>
      </c>
      <c r="L327" s="11">
        <f>IF(AND(C327&lt;&gt;"",E327&lt;&gt;"",I327&lt;&gt;"",OR(Settings!$B$10="No",I327&lt;&gt;E327)),K327*F327,0)</f>
        <v/>
      </c>
      <c r="M327" s="11">
        <f>IF(AND(AND(C327&lt;&gt;"",E327&lt;&gt;"",I327&lt;&gt;"",OR(Settings!$B$10="No",I327&lt;&gt;E327)),G327="Paid a pro",Settings!$B$9="Yes"),MAX(0,H327-K327*F327),0)</f>
        <v/>
      </c>
      <c r="N327" s="3">
        <f>IF(C327="","",IF(B327="","Enter the boat number",IF(B327&gt;Settings!$B$6,"Boat number above the boat count",IF(SUMIFS($F$5:$F$1004,$B$5:$B$1004,B327,$C$5:$C$1004,C327)&gt;1.0001,"Shares for this step add up to over 100%",IF(I327="","Waiting for sign-off",IF(AND(Settings!$B$10="Yes",I327=E327),"Needs a different member to sign off","OK"))))))</f>
        <v/>
      </c>
    </row>
    <row r="328">
      <c r="A328" s="9" t="n"/>
      <c r="B328" s="6" t="n"/>
      <c r="C328" s="6" t="n"/>
      <c r="D328" s="3">
        <f>IF(C328="","",IFERROR(INDEX(Steps!$C$5:$C$62,MATCH(C328,Steps!$A$5:$A$62,0)),""))</f>
        <v/>
      </c>
      <c r="E328" s="6" t="n"/>
      <c r="F328" s="8" t="n"/>
      <c r="G328" s="6" t="n"/>
      <c r="H328" s="7" t="n"/>
      <c r="I328" s="6" t="n"/>
      <c r="J328" s="9" t="n"/>
      <c r="K328" s="11">
        <f>IF(C328="","",N(IFERROR(INDEX(Steps!$E$5:$E$62,MATCH(C328,Steps!$A$5:$A$62,0)),"")))</f>
        <v/>
      </c>
      <c r="L328" s="11">
        <f>IF(AND(C328&lt;&gt;"",E328&lt;&gt;"",I328&lt;&gt;"",OR(Settings!$B$10="No",I328&lt;&gt;E328)),K328*F328,0)</f>
        <v/>
      </c>
      <c r="M328" s="11">
        <f>IF(AND(AND(C328&lt;&gt;"",E328&lt;&gt;"",I328&lt;&gt;"",OR(Settings!$B$10="No",I328&lt;&gt;E328)),G328="Paid a pro",Settings!$B$9="Yes"),MAX(0,H328-K328*F328),0)</f>
        <v/>
      </c>
      <c r="N328" s="3">
        <f>IF(C328="","",IF(B328="","Enter the boat number",IF(B328&gt;Settings!$B$6,"Boat number above the boat count",IF(SUMIFS($F$5:$F$1004,$B$5:$B$1004,B328,$C$5:$C$1004,C328)&gt;1.0001,"Shares for this step add up to over 100%",IF(I328="","Waiting for sign-off",IF(AND(Settings!$B$10="Yes",I328=E328),"Needs a different member to sign off","OK"))))))</f>
        <v/>
      </c>
    </row>
    <row r="329">
      <c r="A329" s="9" t="n"/>
      <c r="B329" s="6" t="n"/>
      <c r="C329" s="6" t="n"/>
      <c r="D329" s="3">
        <f>IF(C329="","",IFERROR(INDEX(Steps!$C$5:$C$62,MATCH(C329,Steps!$A$5:$A$62,0)),""))</f>
        <v/>
      </c>
      <c r="E329" s="6" t="n"/>
      <c r="F329" s="8" t="n"/>
      <c r="G329" s="6" t="n"/>
      <c r="H329" s="7" t="n"/>
      <c r="I329" s="6" t="n"/>
      <c r="J329" s="9" t="n"/>
      <c r="K329" s="11">
        <f>IF(C329="","",N(IFERROR(INDEX(Steps!$E$5:$E$62,MATCH(C329,Steps!$A$5:$A$62,0)),"")))</f>
        <v/>
      </c>
      <c r="L329" s="11">
        <f>IF(AND(C329&lt;&gt;"",E329&lt;&gt;"",I329&lt;&gt;"",OR(Settings!$B$10="No",I329&lt;&gt;E329)),K329*F329,0)</f>
        <v/>
      </c>
      <c r="M329" s="11">
        <f>IF(AND(AND(C329&lt;&gt;"",E329&lt;&gt;"",I329&lt;&gt;"",OR(Settings!$B$10="No",I329&lt;&gt;E329)),G329="Paid a pro",Settings!$B$9="Yes"),MAX(0,H329-K329*F329),0)</f>
        <v/>
      </c>
      <c r="N329" s="3">
        <f>IF(C329="","",IF(B329="","Enter the boat number",IF(B329&gt;Settings!$B$6,"Boat number above the boat count",IF(SUMIFS($F$5:$F$1004,$B$5:$B$1004,B329,$C$5:$C$1004,C329)&gt;1.0001,"Shares for this step add up to over 100%",IF(I329="","Waiting for sign-off",IF(AND(Settings!$B$10="Yes",I329=E329),"Needs a different member to sign off","OK"))))))</f>
        <v/>
      </c>
    </row>
    <row r="330">
      <c r="A330" s="9" t="n"/>
      <c r="B330" s="6" t="n"/>
      <c r="C330" s="6" t="n"/>
      <c r="D330" s="3">
        <f>IF(C330="","",IFERROR(INDEX(Steps!$C$5:$C$62,MATCH(C330,Steps!$A$5:$A$62,0)),""))</f>
        <v/>
      </c>
      <c r="E330" s="6" t="n"/>
      <c r="F330" s="8" t="n"/>
      <c r="G330" s="6" t="n"/>
      <c r="H330" s="7" t="n"/>
      <c r="I330" s="6" t="n"/>
      <c r="J330" s="9" t="n"/>
      <c r="K330" s="11">
        <f>IF(C330="","",N(IFERROR(INDEX(Steps!$E$5:$E$62,MATCH(C330,Steps!$A$5:$A$62,0)),"")))</f>
        <v/>
      </c>
      <c r="L330" s="11">
        <f>IF(AND(C330&lt;&gt;"",E330&lt;&gt;"",I330&lt;&gt;"",OR(Settings!$B$10="No",I330&lt;&gt;E330)),K330*F330,0)</f>
        <v/>
      </c>
      <c r="M330" s="11">
        <f>IF(AND(AND(C330&lt;&gt;"",E330&lt;&gt;"",I330&lt;&gt;"",OR(Settings!$B$10="No",I330&lt;&gt;E330)),G330="Paid a pro",Settings!$B$9="Yes"),MAX(0,H330-K330*F330),0)</f>
        <v/>
      </c>
      <c r="N330" s="3">
        <f>IF(C330="","",IF(B330="","Enter the boat number",IF(B330&gt;Settings!$B$6,"Boat number above the boat count",IF(SUMIFS($F$5:$F$1004,$B$5:$B$1004,B330,$C$5:$C$1004,C330)&gt;1.0001,"Shares for this step add up to over 100%",IF(I330="","Waiting for sign-off",IF(AND(Settings!$B$10="Yes",I330=E330),"Needs a different member to sign off","OK"))))))</f>
        <v/>
      </c>
    </row>
    <row r="331">
      <c r="A331" s="9" t="n"/>
      <c r="B331" s="6" t="n"/>
      <c r="C331" s="6" t="n"/>
      <c r="D331" s="3">
        <f>IF(C331="","",IFERROR(INDEX(Steps!$C$5:$C$62,MATCH(C331,Steps!$A$5:$A$62,0)),""))</f>
        <v/>
      </c>
      <c r="E331" s="6" t="n"/>
      <c r="F331" s="8" t="n"/>
      <c r="G331" s="6" t="n"/>
      <c r="H331" s="7" t="n"/>
      <c r="I331" s="6" t="n"/>
      <c r="J331" s="9" t="n"/>
      <c r="K331" s="11">
        <f>IF(C331="","",N(IFERROR(INDEX(Steps!$E$5:$E$62,MATCH(C331,Steps!$A$5:$A$62,0)),"")))</f>
        <v/>
      </c>
      <c r="L331" s="11">
        <f>IF(AND(C331&lt;&gt;"",E331&lt;&gt;"",I331&lt;&gt;"",OR(Settings!$B$10="No",I331&lt;&gt;E331)),K331*F331,0)</f>
        <v/>
      </c>
      <c r="M331" s="11">
        <f>IF(AND(AND(C331&lt;&gt;"",E331&lt;&gt;"",I331&lt;&gt;"",OR(Settings!$B$10="No",I331&lt;&gt;E331)),G331="Paid a pro",Settings!$B$9="Yes"),MAX(0,H331-K331*F331),0)</f>
        <v/>
      </c>
      <c r="N331" s="3">
        <f>IF(C331="","",IF(B331="","Enter the boat number",IF(B331&gt;Settings!$B$6,"Boat number above the boat count",IF(SUMIFS($F$5:$F$1004,$B$5:$B$1004,B331,$C$5:$C$1004,C331)&gt;1.0001,"Shares for this step add up to over 100%",IF(I331="","Waiting for sign-off",IF(AND(Settings!$B$10="Yes",I331=E331),"Needs a different member to sign off","OK"))))))</f>
        <v/>
      </c>
    </row>
    <row r="332">
      <c r="A332" s="9" t="n"/>
      <c r="B332" s="6" t="n"/>
      <c r="C332" s="6" t="n"/>
      <c r="D332" s="3">
        <f>IF(C332="","",IFERROR(INDEX(Steps!$C$5:$C$62,MATCH(C332,Steps!$A$5:$A$62,0)),""))</f>
        <v/>
      </c>
      <c r="E332" s="6" t="n"/>
      <c r="F332" s="8" t="n"/>
      <c r="G332" s="6" t="n"/>
      <c r="H332" s="7" t="n"/>
      <c r="I332" s="6" t="n"/>
      <c r="J332" s="9" t="n"/>
      <c r="K332" s="11">
        <f>IF(C332="","",N(IFERROR(INDEX(Steps!$E$5:$E$62,MATCH(C332,Steps!$A$5:$A$62,0)),"")))</f>
        <v/>
      </c>
      <c r="L332" s="11">
        <f>IF(AND(C332&lt;&gt;"",E332&lt;&gt;"",I332&lt;&gt;"",OR(Settings!$B$10="No",I332&lt;&gt;E332)),K332*F332,0)</f>
        <v/>
      </c>
      <c r="M332" s="11">
        <f>IF(AND(AND(C332&lt;&gt;"",E332&lt;&gt;"",I332&lt;&gt;"",OR(Settings!$B$10="No",I332&lt;&gt;E332)),G332="Paid a pro",Settings!$B$9="Yes"),MAX(0,H332-K332*F332),0)</f>
        <v/>
      </c>
      <c r="N332" s="3">
        <f>IF(C332="","",IF(B332="","Enter the boat number",IF(B332&gt;Settings!$B$6,"Boat number above the boat count",IF(SUMIFS($F$5:$F$1004,$B$5:$B$1004,B332,$C$5:$C$1004,C332)&gt;1.0001,"Shares for this step add up to over 100%",IF(I332="","Waiting for sign-off",IF(AND(Settings!$B$10="Yes",I332=E332),"Needs a different member to sign off","OK"))))))</f>
        <v/>
      </c>
    </row>
    <row r="333">
      <c r="A333" s="9" t="n"/>
      <c r="B333" s="6" t="n"/>
      <c r="C333" s="6" t="n"/>
      <c r="D333" s="3">
        <f>IF(C333="","",IFERROR(INDEX(Steps!$C$5:$C$62,MATCH(C333,Steps!$A$5:$A$62,0)),""))</f>
        <v/>
      </c>
      <c r="E333" s="6" t="n"/>
      <c r="F333" s="8" t="n"/>
      <c r="G333" s="6" t="n"/>
      <c r="H333" s="7" t="n"/>
      <c r="I333" s="6" t="n"/>
      <c r="J333" s="9" t="n"/>
      <c r="K333" s="11">
        <f>IF(C333="","",N(IFERROR(INDEX(Steps!$E$5:$E$62,MATCH(C333,Steps!$A$5:$A$62,0)),"")))</f>
        <v/>
      </c>
      <c r="L333" s="11">
        <f>IF(AND(C333&lt;&gt;"",E333&lt;&gt;"",I333&lt;&gt;"",OR(Settings!$B$10="No",I333&lt;&gt;E333)),K333*F333,0)</f>
        <v/>
      </c>
      <c r="M333" s="11">
        <f>IF(AND(AND(C333&lt;&gt;"",E333&lt;&gt;"",I333&lt;&gt;"",OR(Settings!$B$10="No",I333&lt;&gt;E333)),G333="Paid a pro",Settings!$B$9="Yes"),MAX(0,H333-K333*F333),0)</f>
        <v/>
      </c>
      <c r="N333" s="3">
        <f>IF(C333="","",IF(B333="","Enter the boat number",IF(B333&gt;Settings!$B$6,"Boat number above the boat count",IF(SUMIFS($F$5:$F$1004,$B$5:$B$1004,B333,$C$5:$C$1004,C333)&gt;1.0001,"Shares for this step add up to over 100%",IF(I333="","Waiting for sign-off",IF(AND(Settings!$B$10="Yes",I333=E333),"Needs a different member to sign off","OK"))))))</f>
        <v/>
      </c>
    </row>
    <row r="334">
      <c r="A334" s="9" t="n"/>
      <c r="B334" s="6" t="n"/>
      <c r="C334" s="6" t="n"/>
      <c r="D334" s="3">
        <f>IF(C334="","",IFERROR(INDEX(Steps!$C$5:$C$62,MATCH(C334,Steps!$A$5:$A$62,0)),""))</f>
        <v/>
      </c>
      <c r="E334" s="6" t="n"/>
      <c r="F334" s="8" t="n"/>
      <c r="G334" s="6" t="n"/>
      <c r="H334" s="7" t="n"/>
      <c r="I334" s="6" t="n"/>
      <c r="J334" s="9" t="n"/>
      <c r="K334" s="11">
        <f>IF(C334="","",N(IFERROR(INDEX(Steps!$E$5:$E$62,MATCH(C334,Steps!$A$5:$A$62,0)),"")))</f>
        <v/>
      </c>
      <c r="L334" s="11">
        <f>IF(AND(C334&lt;&gt;"",E334&lt;&gt;"",I334&lt;&gt;"",OR(Settings!$B$10="No",I334&lt;&gt;E334)),K334*F334,0)</f>
        <v/>
      </c>
      <c r="M334" s="11">
        <f>IF(AND(AND(C334&lt;&gt;"",E334&lt;&gt;"",I334&lt;&gt;"",OR(Settings!$B$10="No",I334&lt;&gt;E334)),G334="Paid a pro",Settings!$B$9="Yes"),MAX(0,H334-K334*F334),0)</f>
        <v/>
      </c>
      <c r="N334" s="3">
        <f>IF(C334="","",IF(B334="","Enter the boat number",IF(B334&gt;Settings!$B$6,"Boat number above the boat count",IF(SUMIFS($F$5:$F$1004,$B$5:$B$1004,B334,$C$5:$C$1004,C334)&gt;1.0001,"Shares for this step add up to over 100%",IF(I334="","Waiting for sign-off",IF(AND(Settings!$B$10="Yes",I334=E334),"Needs a different member to sign off","OK"))))))</f>
        <v/>
      </c>
    </row>
    <row r="335">
      <c r="A335" s="9" t="n"/>
      <c r="B335" s="6" t="n"/>
      <c r="C335" s="6" t="n"/>
      <c r="D335" s="3">
        <f>IF(C335="","",IFERROR(INDEX(Steps!$C$5:$C$62,MATCH(C335,Steps!$A$5:$A$62,0)),""))</f>
        <v/>
      </c>
      <c r="E335" s="6" t="n"/>
      <c r="F335" s="8" t="n"/>
      <c r="G335" s="6" t="n"/>
      <c r="H335" s="7" t="n"/>
      <c r="I335" s="6" t="n"/>
      <c r="J335" s="9" t="n"/>
      <c r="K335" s="11">
        <f>IF(C335="","",N(IFERROR(INDEX(Steps!$E$5:$E$62,MATCH(C335,Steps!$A$5:$A$62,0)),"")))</f>
        <v/>
      </c>
      <c r="L335" s="11">
        <f>IF(AND(C335&lt;&gt;"",E335&lt;&gt;"",I335&lt;&gt;"",OR(Settings!$B$10="No",I335&lt;&gt;E335)),K335*F335,0)</f>
        <v/>
      </c>
      <c r="M335" s="11">
        <f>IF(AND(AND(C335&lt;&gt;"",E335&lt;&gt;"",I335&lt;&gt;"",OR(Settings!$B$10="No",I335&lt;&gt;E335)),G335="Paid a pro",Settings!$B$9="Yes"),MAX(0,H335-K335*F335),0)</f>
        <v/>
      </c>
      <c r="N335" s="3">
        <f>IF(C335="","",IF(B335="","Enter the boat number",IF(B335&gt;Settings!$B$6,"Boat number above the boat count",IF(SUMIFS($F$5:$F$1004,$B$5:$B$1004,B335,$C$5:$C$1004,C335)&gt;1.0001,"Shares for this step add up to over 100%",IF(I335="","Waiting for sign-off",IF(AND(Settings!$B$10="Yes",I335=E335),"Needs a different member to sign off","OK"))))))</f>
        <v/>
      </c>
    </row>
    <row r="336">
      <c r="A336" s="9" t="n"/>
      <c r="B336" s="6" t="n"/>
      <c r="C336" s="6" t="n"/>
      <c r="D336" s="3">
        <f>IF(C336="","",IFERROR(INDEX(Steps!$C$5:$C$62,MATCH(C336,Steps!$A$5:$A$62,0)),""))</f>
        <v/>
      </c>
      <c r="E336" s="6" t="n"/>
      <c r="F336" s="8" t="n"/>
      <c r="G336" s="6" t="n"/>
      <c r="H336" s="7" t="n"/>
      <c r="I336" s="6" t="n"/>
      <c r="J336" s="9" t="n"/>
      <c r="K336" s="11">
        <f>IF(C336="","",N(IFERROR(INDEX(Steps!$E$5:$E$62,MATCH(C336,Steps!$A$5:$A$62,0)),"")))</f>
        <v/>
      </c>
      <c r="L336" s="11">
        <f>IF(AND(C336&lt;&gt;"",E336&lt;&gt;"",I336&lt;&gt;"",OR(Settings!$B$10="No",I336&lt;&gt;E336)),K336*F336,0)</f>
        <v/>
      </c>
      <c r="M336" s="11">
        <f>IF(AND(AND(C336&lt;&gt;"",E336&lt;&gt;"",I336&lt;&gt;"",OR(Settings!$B$10="No",I336&lt;&gt;E336)),G336="Paid a pro",Settings!$B$9="Yes"),MAX(0,H336-K336*F336),0)</f>
        <v/>
      </c>
      <c r="N336" s="3">
        <f>IF(C336="","",IF(B336="","Enter the boat number",IF(B336&gt;Settings!$B$6,"Boat number above the boat count",IF(SUMIFS($F$5:$F$1004,$B$5:$B$1004,B336,$C$5:$C$1004,C336)&gt;1.0001,"Shares for this step add up to over 100%",IF(I336="","Waiting for sign-off",IF(AND(Settings!$B$10="Yes",I336=E336),"Needs a different member to sign off","OK"))))))</f>
        <v/>
      </c>
    </row>
    <row r="337">
      <c r="A337" s="9" t="n"/>
      <c r="B337" s="6" t="n"/>
      <c r="C337" s="6" t="n"/>
      <c r="D337" s="3">
        <f>IF(C337="","",IFERROR(INDEX(Steps!$C$5:$C$62,MATCH(C337,Steps!$A$5:$A$62,0)),""))</f>
        <v/>
      </c>
      <c r="E337" s="6" t="n"/>
      <c r="F337" s="8" t="n"/>
      <c r="G337" s="6" t="n"/>
      <c r="H337" s="7" t="n"/>
      <c r="I337" s="6" t="n"/>
      <c r="J337" s="9" t="n"/>
      <c r="K337" s="11">
        <f>IF(C337="","",N(IFERROR(INDEX(Steps!$E$5:$E$62,MATCH(C337,Steps!$A$5:$A$62,0)),"")))</f>
        <v/>
      </c>
      <c r="L337" s="11">
        <f>IF(AND(C337&lt;&gt;"",E337&lt;&gt;"",I337&lt;&gt;"",OR(Settings!$B$10="No",I337&lt;&gt;E337)),K337*F337,0)</f>
        <v/>
      </c>
      <c r="M337" s="11">
        <f>IF(AND(AND(C337&lt;&gt;"",E337&lt;&gt;"",I337&lt;&gt;"",OR(Settings!$B$10="No",I337&lt;&gt;E337)),G337="Paid a pro",Settings!$B$9="Yes"),MAX(0,H337-K337*F337),0)</f>
        <v/>
      </c>
      <c r="N337" s="3">
        <f>IF(C337="","",IF(B337="","Enter the boat number",IF(B337&gt;Settings!$B$6,"Boat number above the boat count",IF(SUMIFS($F$5:$F$1004,$B$5:$B$1004,B337,$C$5:$C$1004,C337)&gt;1.0001,"Shares for this step add up to over 100%",IF(I337="","Waiting for sign-off",IF(AND(Settings!$B$10="Yes",I337=E337),"Needs a different member to sign off","OK"))))))</f>
        <v/>
      </c>
    </row>
    <row r="338">
      <c r="A338" s="9" t="n"/>
      <c r="B338" s="6" t="n"/>
      <c r="C338" s="6" t="n"/>
      <c r="D338" s="3">
        <f>IF(C338="","",IFERROR(INDEX(Steps!$C$5:$C$62,MATCH(C338,Steps!$A$5:$A$62,0)),""))</f>
        <v/>
      </c>
      <c r="E338" s="6" t="n"/>
      <c r="F338" s="8" t="n"/>
      <c r="G338" s="6" t="n"/>
      <c r="H338" s="7" t="n"/>
      <c r="I338" s="6" t="n"/>
      <c r="J338" s="9" t="n"/>
      <c r="K338" s="11">
        <f>IF(C338="","",N(IFERROR(INDEX(Steps!$E$5:$E$62,MATCH(C338,Steps!$A$5:$A$62,0)),"")))</f>
        <v/>
      </c>
      <c r="L338" s="11">
        <f>IF(AND(C338&lt;&gt;"",E338&lt;&gt;"",I338&lt;&gt;"",OR(Settings!$B$10="No",I338&lt;&gt;E338)),K338*F338,0)</f>
        <v/>
      </c>
      <c r="M338" s="11">
        <f>IF(AND(AND(C338&lt;&gt;"",E338&lt;&gt;"",I338&lt;&gt;"",OR(Settings!$B$10="No",I338&lt;&gt;E338)),G338="Paid a pro",Settings!$B$9="Yes"),MAX(0,H338-K338*F338),0)</f>
        <v/>
      </c>
      <c r="N338" s="3">
        <f>IF(C338="","",IF(B338="","Enter the boat number",IF(B338&gt;Settings!$B$6,"Boat number above the boat count",IF(SUMIFS($F$5:$F$1004,$B$5:$B$1004,B338,$C$5:$C$1004,C338)&gt;1.0001,"Shares for this step add up to over 100%",IF(I338="","Waiting for sign-off",IF(AND(Settings!$B$10="Yes",I338=E338),"Needs a different member to sign off","OK"))))))</f>
        <v/>
      </c>
    </row>
    <row r="339">
      <c r="A339" s="9" t="n"/>
      <c r="B339" s="6" t="n"/>
      <c r="C339" s="6" t="n"/>
      <c r="D339" s="3">
        <f>IF(C339="","",IFERROR(INDEX(Steps!$C$5:$C$62,MATCH(C339,Steps!$A$5:$A$62,0)),""))</f>
        <v/>
      </c>
      <c r="E339" s="6" t="n"/>
      <c r="F339" s="8" t="n"/>
      <c r="G339" s="6" t="n"/>
      <c r="H339" s="7" t="n"/>
      <c r="I339" s="6" t="n"/>
      <c r="J339" s="9" t="n"/>
      <c r="K339" s="11">
        <f>IF(C339="","",N(IFERROR(INDEX(Steps!$E$5:$E$62,MATCH(C339,Steps!$A$5:$A$62,0)),"")))</f>
        <v/>
      </c>
      <c r="L339" s="11">
        <f>IF(AND(C339&lt;&gt;"",E339&lt;&gt;"",I339&lt;&gt;"",OR(Settings!$B$10="No",I339&lt;&gt;E339)),K339*F339,0)</f>
        <v/>
      </c>
      <c r="M339" s="11">
        <f>IF(AND(AND(C339&lt;&gt;"",E339&lt;&gt;"",I339&lt;&gt;"",OR(Settings!$B$10="No",I339&lt;&gt;E339)),G339="Paid a pro",Settings!$B$9="Yes"),MAX(0,H339-K339*F339),0)</f>
        <v/>
      </c>
      <c r="N339" s="3">
        <f>IF(C339="","",IF(B339="","Enter the boat number",IF(B339&gt;Settings!$B$6,"Boat number above the boat count",IF(SUMIFS($F$5:$F$1004,$B$5:$B$1004,B339,$C$5:$C$1004,C339)&gt;1.0001,"Shares for this step add up to over 100%",IF(I339="","Waiting for sign-off",IF(AND(Settings!$B$10="Yes",I339=E339),"Needs a different member to sign off","OK"))))))</f>
        <v/>
      </c>
    </row>
    <row r="340">
      <c r="A340" s="9" t="n"/>
      <c r="B340" s="6" t="n"/>
      <c r="C340" s="6" t="n"/>
      <c r="D340" s="3">
        <f>IF(C340="","",IFERROR(INDEX(Steps!$C$5:$C$62,MATCH(C340,Steps!$A$5:$A$62,0)),""))</f>
        <v/>
      </c>
      <c r="E340" s="6" t="n"/>
      <c r="F340" s="8" t="n"/>
      <c r="G340" s="6" t="n"/>
      <c r="H340" s="7" t="n"/>
      <c r="I340" s="6" t="n"/>
      <c r="J340" s="9" t="n"/>
      <c r="K340" s="11">
        <f>IF(C340="","",N(IFERROR(INDEX(Steps!$E$5:$E$62,MATCH(C340,Steps!$A$5:$A$62,0)),"")))</f>
        <v/>
      </c>
      <c r="L340" s="11">
        <f>IF(AND(C340&lt;&gt;"",E340&lt;&gt;"",I340&lt;&gt;"",OR(Settings!$B$10="No",I340&lt;&gt;E340)),K340*F340,0)</f>
        <v/>
      </c>
      <c r="M340" s="11">
        <f>IF(AND(AND(C340&lt;&gt;"",E340&lt;&gt;"",I340&lt;&gt;"",OR(Settings!$B$10="No",I340&lt;&gt;E340)),G340="Paid a pro",Settings!$B$9="Yes"),MAX(0,H340-K340*F340),0)</f>
        <v/>
      </c>
      <c r="N340" s="3">
        <f>IF(C340="","",IF(B340="","Enter the boat number",IF(B340&gt;Settings!$B$6,"Boat number above the boat count",IF(SUMIFS($F$5:$F$1004,$B$5:$B$1004,B340,$C$5:$C$1004,C340)&gt;1.0001,"Shares for this step add up to over 100%",IF(I340="","Waiting for sign-off",IF(AND(Settings!$B$10="Yes",I340=E340),"Needs a different member to sign off","OK"))))))</f>
        <v/>
      </c>
    </row>
    <row r="341">
      <c r="A341" s="9" t="n"/>
      <c r="B341" s="6" t="n"/>
      <c r="C341" s="6" t="n"/>
      <c r="D341" s="3">
        <f>IF(C341="","",IFERROR(INDEX(Steps!$C$5:$C$62,MATCH(C341,Steps!$A$5:$A$62,0)),""))</f>
        <v/>
      </c>
      <c r="E341" s="6" t="n"/>
      <c r="F341" s="8" t="n"/>
      <c r="G341" s="6" t="n"/>
      <c r="H341" s="7" t="n"/>
      <c r="I341" s="6" t="n"/>
      <c r="J341" s="9" t="n"/>
      <c r="K341" s="11">
        <f>IF(C341="","",N(IFERROR(INDEX(Steps!$E$5:$E$62,MATCH(C341,Steps!$A$5:$A$62,0)),"")))</f>
        <v/>
      </c>
      <c r="L341" s="11">
        <f>IF(AND(C341&lt;&gt;"",E341&lt;&gt;"",I341&lt;&gt;"",OR(Settings!$B$10="No",I341&lt;&gt;E341)),K341*F341,0)</f>
        <v/>
      </c>
      <c r="M341" s="11">
        <f>IF(AND(AND(C341&lt;&gt;"",E341&lt;&gt;"",I341&lt;&gt;"",OR(Settings!$B$10="No",I341&lt;&gt;E341)),G341="Paid a pro",Settings!$B$9="Yes"),MAX(0,H341-K341*F341),0)</f>
        <v/>
      </c>
      <c r="N341" s="3">
        <f>IF(C341="","",IF(B341="","Enter the boat number",IF(B341&gt;Settings!$B$6,"Boat number above the boat count",IF(SUMIFS($F$5:$F$1004,$B$5:$B$1004,B341,$C$5:$C$1004,C341)&gt;1.0001,"Shares for this step add up to over 100%",IF(I341="","Waiting for sign-off",IF(AND(Settings!$B$10="Yes",I341=E341),"Needs a different member to sign off","OK"))))))</f>
        <v/>
      </c>
    </row>
    <row r="342">
      <c r="A342" s="9" t="n"/>
      <c r="B342" s="6" t="n"/>
      <c r="C342" s="6" t="n"/>
      <c r="D342" s="3">
        <f>IF(C342="","",IFERROR(INDEX(Steps!$C$5:$C$62,MATCH(C342,Steps!$A$5:$A$62,0)),""))</f>
        <v/>
      </c>
      <c r="E342" s="6" t="n"/>
      <c r="F342" s="8" t="n"/>
      <c r="G342" s="6" t="n"/>
      <c r="H342" s="7" t="n"/>
      <c r="I342" s="6" t="n"/>
      <c r="J342" s="9" t="n"/>
      <c r="K342" s="11">
        <f>IF(C342="","",N(IFERROR(INDEX(Steps!$E$5:$E$62,MATCH(C342,Steps!$A$5:$A$62,0)),"")))</f>
        <v/>
      </c>
      <c r="L342" s="11">
        <f>IF(AND(C342&lt;&gt;"",E342&lt;&gt;"",I342&lt;&gt;"",OR(Settings!$B$10="No",I342&lt;&gt;E342)),K342*F342,0)</f>
        <v/>
      </c>
      <c r="M342" s="11">
        <f>IF(AND(AND(C342&lt;&gt;"",E342&lt;&gt;"",I342&lt;&gt;"",OR(Settings!$B$10="No",I342&lt;&gt;E342)),G342="Paid a pro",Settings!$B$9="Yes"),MAX(0,H342-K342*F342),0)</f>
        <v/>
      </c>
      <c r="N342" s="3">
        <f>IF(C342="","",IF(B342="","Enter the boat number",IF(B342&gt;Settings!$B$6,"Boat number above the boat count",IF(SUMIFS($F$5:$F$1004,$B$5:$B$1004,B342,$C$5:$C$1004,C342)&gt;1.0001,"Shares for this step add up to over 100%",IF(I342="","Waiting for sign-off",IF(AND(Settings!$B$10="Yes",I342=E342),"Needs a different member to sign off","OK"))))))</f>
        <v/>
      </c>
    </row>
    <row r="343">
      <c r="A343" s="9" t="n"/>
      <c r="B343" s="6" t="n"/>
      <c r="C343" s="6" t="n"/>
      <c r="D343" s="3">
        <f>IF(C343="","",IFERROR(INDEX(Steps!$C$5:$C$62,MATCH(C343,Steps!$A$5:$A$62,0)),""))</f>
        <v/>
      </c>
      <c r="E343" s="6" t="n"/>
      <c r="F343" s="8" t="n"/>
      <c r="G343" s="6" t="n"/>
      <c r="H343" s="7" t="n"/>
      <c r="I343" s="6" t="n"/>
      <c r="J343" s="9" t="n"/>
      <c r="K343" s="11">
        <f>IF(C343="","",N(IFERROR(INDEX(Steps!$E$5:$E$62,MATCH(C343,Steps!$A$5:$A$62,0)),"")))</f>
        <v/>
      </c>
      <c r="L343" s="11">
        <f>IF(AND(C343&lt;&gt;"",E343&lt;&gt;"",I343&lt;&gt;"",OR(Settings!$B$10="No",I343&lt;&gt;E343)),K343*F343,0)</f>
        <v/>
      </c>
      <c r="M343" s="11">
        <f>IF(AND(AND(C343&lt;&gt;"",E343&lt;&gt;"",I343&lt;&gt;"",OR(Settings!$B$10="No",I343&lt;&gt;E343)),G343="Paid a pro",Settings!$B$9="Yes"),MAX(0,H343-K343*F343),0)</f>
        <v/>
      </c>
      <c r="N343" s="3">
        <f>IF(C343="","",IF(B343="","Enter the boat number",IF(B343&gt;Settings!$B$6,"Boat number above the boat count",IF(SUMIFS($F$5:$F$1004,$B$5:$B$1004,B343,$C$5:$C$1004,C343)&gt;1.0001,"Shares for this step add up to over 100%",IF(I343="","Waiting for sign-off",IF(AND(Settings!$B$10="Yes",I343=E343),"Needs a different member to sign off","OK"))))))</f>
        <v/>
      </c>
    </row>
    <row r="344">
      <c r="A344" s="9" t="n"/>
      <c r="B344" s="6" t="n"/>
      <c r="C344" s="6" t="n"/>
      <c r="D344" s="3">
        <f>IF(C344="","",IFERROR(INDEX(Steps!$C$5:$C$62,MATCH(C344,Steps!$A$5:$A$62,0)),""))</f>
        <v/>
      </c>
      <c r="E344" s="6" t="n"/>
      <c r="F344" s="8" t="n"/>
      <c r="G344" s="6" t="n"/>
      <c r="H344" s="7" t="n"/>
      <c r="I344" s="6" t="n"/>
      <c r="J344" s="9" t="n"/>
      <c r="K344" s="11">
        <f>IF(C344="","",N(IFERROR(INDEX(Steps!$E$5:$E$62,MATCH(C344,Steps!$A$5:$A$62,0)),"")))</f>
        <v/>
      </c>
      <c r="L344" s="11">
        <f>IF(AND(C344&lt;&gt;"",E344&lt;&gt;"",I344&lt;&gt;"",OR(Settings!$B$10="No",I344&lt;&gt;E344)),K344*F344,0)</f>
        <v/>
      </c>
      <c r="M344" s="11">
        <f>IF(AND(AND(C344&lt;&gt;"",E344&lt;&gt;"",I344&lt;&gt;"",OR(Settings!$B$10="No",I344&lt;&gt;E344)),G344="Paid a pro",Settings!$B$9="Yes"),MAX(0,H344-K344*F344),0)</f>
        <v/>
      </c>
      <c r="N344" s="3">
        <f>IF(C344="","",IF(B344="","Enter the boat number",IF(B344&gt;Settings!$B$6,"Boat number above the boat count",IF(SUMIFS($F$5:$F$1004,$B$5:$B$1004,B344,$C$5:$C$1004,C344)&gt;1.0001,"Shares for this step add up to over 100%",IF(I344="","Waiting for sign-off",IF(AND(Settings!$B$10="Yes",I344=E344),"Needs a different member to sign off","OK"))))))</f>
        <v/>
      </c>
    </row>
    <row r="345">
      <c r="A345" s="9" t="n"/>
      <c r="B345" s="6" t="n"/>
      <c r="C345" s="6" t="n"/>
      <c r="D345" s="3">
        <f>IF(C345="","",IFERROR(INDEX(Steps!$C$5:$C$62,MATCH(C345,Steps!$A$5:$A$62,0)),""))</f>
        <v/>
      </c>
      <c r="E345" s="6" t="n"/>
      <c r="F345" s="8" t="n"/>
      <c r="G345" s="6" t="n"/>
      <c r="H345" s="7" t="n"/>
      <c r="I345" s="6" t="n"/>
      <c r="J345" s="9" t="n"/>
      <c r="K345" s="11">
        <f>IF(C345="","",N(IFERROR(INDEX(Steps!$E$5:$E$62,MATCH(C345,Steps!$A$5:$A$62,0)),"")))</f>
        <v/>
      </c>
      <c r="L345" s="11">
        <f>IF(AND(C345&lt;&gt;"",E345&lt;&gt;"",I345&lt;&gt;"",OR(Settings!$B$10="No",I345&lt;&gt;E345)),K345*F345,0)</f>
        <v/>
      </c>
      <c r="M345" s="11">
        <f>IF(AND(AND(C345&lt;&gt;"",E345&lt;&gt;"",I345&lt;&gt;"",OR(Settings!$B$10="No",I345&lt;&gt;E345)),G345="Paid a pro",Settings!$B$9="Yes"),MAX(0,H345-K345*F345),0)</f>
        <v/>
      </c>
      <c r="N345" s="3">
        <f>IF(C345="","",IF(B345="","Enter the boat number",IF(B345&gt;Settings!$B$6,"Boat number above the boat count",IF(SUMIFS($F$5:$F$1004,$B$5:$B$1004,B345,$C$5:$C$1004,C345)&gt;1.0001,"Shares for this step add up to over 100%",IF(I345="","Waiting for sign-off",IF(AND(Settings!$B$10="Yes",I345=E345),"Needs a different member to sign off","OK"))))))</f>
        <v/>
      </c>
    </row>
    <row r="346">
      <c r="A346" s="9" t="n"/>
      <c r="B346" s="6" t="n"/>
      <c r="C346" s="6" t="n"/>
      <c r="D346" s="3">
        <f>IF(C346="","",IFERROR(INDEX(Steps!$C$5:$C$62,MATCH(C346,Steps!$A$5:$A$62,0)),""))</f>
        <v/>
      </c>
      <c r="E346" s="6" t="n"/>
      <c r="F346" s="8" t="n"/>
      <c r="G346" s="6" t="n"/>
      <c r="H346" s="7" t="n"/>
      <c r="I346" s="6" t="n"/>
      <c r="J346" s="9" t="n"/>
      <c r="K346" s="11">
        <f>IF(C346="","",N(IFERROR(INDEX(Steps!$E$5:$E$62,MATCH(C346,Steps!$A$5:$A$62,0)),"")))</f>
        <v/>
      </c>
      <c r="L346" s="11">
        <f>IF(AND(C346&lt;&gt;"",E346&lt;&gt;"",I346&lt;&gt;"",OR(Settings!$B$10="No",I346&lt;&gt;E346)),K346*F346,0)</f>
        <v/>
      </c>
      <c r="M346" s="11">
        <f>IF(AND(AND(C346&lt;&gt;"",E346&lt;&gt;"",I346&lt;&gt;"",OR(Settings!$B$10="No",I346&lt;&gt;E346)),G346="Paid a pro",Settings!$B$9="Yes"),MAX(0,H346-K346*F346),0)</f>
        <v/>
      </c>
      <c r="N346" s="3">
        <f>IF(C346="","",IF(B346="","Enter the boat number",IF(B346&gt;Settings!$B$6,"Boat number above the boat count",IF(SUMIFS($F$5:$F$1004,$B$5:$B$1004,B346,$C$5:$C$1004,C346)&gt;1.0001,"Shares for this step add up to over 100%",IF(I346="","Waiting for sign-off",IF(AND(Settings!$B$10="Yes",I346=E346),"Needs a different member to sign off","OK"))))))</f>
        <v/>
      </c>
    </row>
    <row r="347">
      <c r="A347" s="9" t="n"/>
      <c r="B347" s="6" t="n"/>
      <c r="C347" s="6" t="n"/>
      <c r="D347" s="3">
        <f>IF(C347="","",IFERROR(INDEX(Steps!$C$5:$C$62,MATCH(C347,Steps!$A$5:$A$62,0)),""))</f>
        <v/>
      </c>
      <c r="E347" s="6" t="n"/>
      <c r="F347" s="8" t="n"/>
      <c r="G347" s="6" t="n"/>
      <c r="H347" s="7" t="n"/>
      <c r="I347" s="6" t="n"/>
      <c r="J347" s="9" t="n"/>
      <c r="K347" s="11">
        <f>IF(C347="","",N(IFERROR(INDEX(Steps!$E$5:$E$62,MATCH(C347,Steps!$A$5:$A$62,0)),"")))</f>
        <v/>
      </c>
      <c r="L347" s="11">
        <f>IF(AND(C347&lt;&gt;"",E347&lt;&gt;"",I347&lt;&gt;"",OR(Settings!$B$10="No",I347&lt;&gt;E347)),K347*F347,0)</f>
        <v/>
      </c>
      <c r="M347" s="11">
        <f>IF(AND(AND(C347&lt;&gt;"",E347&lt;&gt;"",I347&lt;&gt;"",OR(Settings!$B$10="No",I347&lt;&gt;E347)),G347="Paid a pro",Settings!$B$9="Yes"),MAX(0,H347-K347*F347),0)</f>
        <v/>
      </c>
      <c r="N347" s="3">
        <f>IF(C347="","",IF(B347="","Enter the boat number",IF(B347&gt;Settings!$B$6,"Boat number above the boat count",IF(SUMIFS($F$5:$F$1004,$B$5:$B$1004,B347,$C$5:$C$1004,C347)&gt;1.0001,"Shares for this step add up to over 100%",IF(I347="","Waiting for sign-off",IF(AND(Settings!$B$10="Yes",I347=E347),"Needs a different member to sign off","OK"))))))</f>
        <v/>
      </c>
    </row>
    <row r="348">
      <c r="A348" s="9" t="n"/>
      <c r="B348" s="6" t="n"/>
      <c r="C348" s="6" t="n"/>
      <c r="D348" s="3">
        <f>IF(C348="","",IFERROR(INDEX(Steps!$C$5:$C$62,MATCH(C348,Steps!$A$5:$A$62,0)),""))</f>
        <v/>
      </c>
      <c r="E348" s="6" t="n"/>
      <c r="F348" s="8" t="n"/>
      <c r="G348" s="6" t="n"/>
      <c r="H348" s="7" t="n"/>
      <c r="I348" s="6" t="n"/>
      <c r="J348" s="9" t="n"/>
      <c r="K348" s="11">
        <f>IF(C348="","",N(IFERROR(INDEX(Steps!$E$5:$E$62,MATCH(C348,Steps!$A$5:$A$62,0)),"")))</f>
        <v/>
      </c>
      <c r="L348" s="11">
        <f>IF(AND(C348&lt;&gt;"",E348&lt;&gt;"",I348&lt;&gt;"",OR(Settings!$B$10="No",I348&lt;&gt;E348)),K348*F348,0)</f>
        <v/>
      </c>
      <c r="M348" s="11">
        <f>IF(AND(AND(C348&lt;&gt;"",E348&lt;&gt;"",I348&lt;&gt;"",OR(Settings!$B$10="No",I348&lt;&gt;E348)),G348="Paid a pro",Settings!$B$9="Yes"),MAX(0,H348-K348*F348),0)</f>
        <v/>
      </c>
      <c r="N348" s="3">
        <f>IF(C348="","",IF(B348="","Enter the boat number",IF(B348&gt;Settings!$B$6,"Boat number above the boat count",IF(SUMIFS($F$5:$F$1004,$B$5:$B$1004,B348,$C$5:$C$1004,C348)&gt;1.0001,"Shares for this step add up to over 100%",IF(I348="","Waiting for sign-off",IF(AND(Settings!$B$10="Yes",I348=E348),"Needs a different member to sign off","OK"))))))</f>
        <v/>
      </c>
    </row>
    <row r="349">
      <c r="A349" s="9" t="n"/>
      <c r="B349" s="6" t="n"/>
      <c r="C349" s="6" t="n"/>
      <c r="D349" s="3">
        <f>IF(C349="","",IFERROR(INDEX(Steps!$C$5:$C$62,MATCH(C349,Steps!$A$5:$A$62,0)),""))</f>
        <v/>
      </c>
      <c r="E349" s="6" t="n"/>
      <c r="F349" s="8" t="n"/>
      <c r="G349" s="6" t="n"/>
      <c r="H349" s="7" t="n"/>
      <c r="I349" s="6" t="n"/>
      <c r="J349" s="9" t="n"/>
      <c r="K349" s="11">
        <f>IF(C349="","",N(IFERROR(INDEX(Steps!$E$5:$E$62,MATCH(C349,Steps!$A$5:$A$62,0)),"")))</f>
        <v/>
      </c>
      <c r="L349" s="11">
        <f>IF(AND(C349&lt;&gt;"",E349&lt;&gt;"",I349&lt;&gt;"",OR(Settings!$B$10="No",I349&lt;&gt;E349)),K349*F349,0)</f>
        <v/>
      </c>
      <c r="M349" s="11">
        <f>IF(AND(AND(C349&lt;&gt;"",E349&lt;&gt;"",I349&lt;&gt;"",OR(Settings!$B$10="No",I349&lt;&gt;E349)),G349="Paid a pro",Settings!$B$9="Yes"),MAX(0,H349-K349*F349),0)</f>
        <v/>
      </c>
      <c r="N349" s="3">
        <f>IF(C349="","",IF(B349="","Enter the boat number",IF(B349&gt;Settings!$B$6,"Boat number above the boat count",IF(SUMIFS($F$5:$F$1004,$B$5:$B$1004,B349,$C$5:$C$1004,C349)&gt;1.0001,"Shares for this step add up to over 100%",IF(I349="","Waiting for sign-off",IF(AND(Settings!$B$10="Yes",I349=E349),"Needs a different member to sign off","OK"))))))</f>
        <v/>
      </c>
    </row>
    <row r="350">
      <c r="A350" s="9" t="n"/>
      <c r="B350" s="6" t="n"/>
      <c r="C350" s="6" t="n"/>
      <c r="D350" s="3">
        <f>IF(C350="","",IFERROR(INDEX(Steps!$C$5:$C$62,MATCH(C350,Steps!$A$5:$A$62,0)),""))</f>
        <v/>
      </c>
      <c r="E350" s="6" t="n"/>
      <c r="F350" s="8" t="n"/>
      <c r="G350" s="6" t="n"/>
      <c r="H350" s="7" t="n"/>
      <c r="I350" s="6" t="n"/>
      <c r="J350" s="9" t="n"/>
      <c r="K350" s="11">
        <f>IF(C350="","",N(IFERROR(INDEX(Steps!$E$5:$E$62,MATCH(C350,Steps!$A$5:$A$62,0)),"")))</f>
        <v/>
      </c>
      <c r="L350" s="11">
        <f>IF(AND(C350&lt;&gt;"",E350&lt;&gt;"",I350&lt;&gt;"",OR(Settings!$B$10="No",I350&lt;&gt;E350)),K350*F350,0)</f>
        <v/>
      </c>
      <c r="M350" s="11">
        <f>IF(AND(AND(C350&lt;&gt;"",E350&lt;&gt;"",I350&lt;&gt;"",OR(Settings!$B$10="No",I350&lt;&gt;E350)),G350="Paid a pro",Settings!$B$9="Yes"),MAX(0,H350-K350*F350),0)</f>
        <v/>
      </c>
      <c r="N350" s="3">
        <f>IF(C350="","",IF(B350="","Enter the boat number",IF(B350&gt;Settings!$B$6,"Boat number above the boat count",IF(SUMIFS($F$5:$F$1004,$B$5:$B$1004,B350,$C$5:$C$1004,C350)&gt;1.0001,"Shares for this step add up to over 100%",IF(I350="","Waiting for sign-off",IF(AND(Settings!$B$10="Yes",I350=E350),"Needs a different member to sign off","OK"))))))</f>
        <v/>
      </c>
    </row>
    <row r="351">
      <c r="A351" s="9" t="n"/>
      <c r="B351" s="6" t="n"/>
      <c r="C351" s="6" t="n"/>
      <c r="D351" s="3">
        <f>IF(C351="","",IFERROR(INDEX(Steps!$C$5:$C$62,MATCH(C351,Steps!$A$5:$A$62,0)),""))</f>
        <v/>
      </c>
      <c r="E351" s="6" t="n"/>
      <c r="F351" s="8" t="n"/>
      <c r="G351" s="6" t="n"/>
      <c r="H351" s="7" t="n"/>
      <c r="I351" s="6" t="n"/>
      <c r="J351" s="9" t="n"/>
      <c r="K351" s="11">
        <f>IF(C351="","",N(IFERROR(INDEX(Steps!$E$5:$E$62,MATCH(C351,Steps!$A$5:$A$62,0)),"")))</f>
        <v/>
      </c>
      <c r="L351" s="11">
        <f>IF(AND(C351&lt;&gt;"",E351&lt;&gt;"",I351&lt;&gt;"",OR(Settings!$B$10="No",I351&lt;&gt;E351)),K351*F351,0)</f>
        <v/>
      </c>
      <c r="M351" s="11">
        <f>IF(AND(AND(C351&lt;&gt;"",E351&lt;&gt;"",I351&lt;&gt;"",OR(Settings!$B$10="No",I351&lt;&gt;E351)),G351="Paid a pro",Settings!$B$9="Yes"),MAX(0,H351-K351*F351),0)</f>
        <v/>
      </c>
      <c r="N351" s="3">
        <f>IF(C351="","",IF(B351="","Enter the boat number",IF(B351&gt;Settings!$B$6,"Boat number above the boat count",IF(SUMIFS($F$5:$F$1004,$B$5:$B$1004,B351,$C$5:$C$1004,C351)&gt;1.0001,"Shares for this step add up to over 100%",IF(I351="","Waiting for sign-off",IF(AND(Settings!$B$10="Yes",I351=E351),"Needs a different member to sign off","OK"))))))</f>
        <v/>
      </c>
    </row>
    <row r="352">
      <c r="A352" s="9" t="n"/>
      <c r="B352" s="6" t="n"/>
      <c r="C352" s="6" t="n"/>
      <c r="D352" s="3">
        <f>IF(C352="","",IFERROR(INDEX(Steps!$C$5:$C$62,MATCH(C352,Steps!$A$5:$A$62,0)),""))</f>
        <v/>
      </c>
      <c r="E352" s="6" t="n"/>
      <c r="F352" s="8" t="n"/>
      <c r="G352" s="6" t="n"/>
      <c r="H352" s="7" t="n"/>
      <c r="I352" s="6" t="n"/>
      <c r="J352" s="9" t="n"/>
      <c r="K352" s="11">
        <f>IF(C352="","",N(IFERROR(INDEX(Steps!$E$5:$E$62,MATCH(C352,Steps!$A$5:$A$62,0)),"")))</f>
        <v/>
      </c>
      <c r="L352" s="11">
        <f>IF(AND(C352&lt;&gt;"",E352&lt;&gt;"",I352&lt;&gt;"",OR(Settings!$B$10="No",I352&lt;&gt;E352)),K352*F352,0)</f>
        <v/>
      </c>
      <c r="M352" s="11">
        <f>IF(AND(AND(C352&lt;&gt;"",E352&lt;&gt;"",I352&lt;&gt;"",OR(Settings!$B$10="No",I352&lt;&gt;E352)),G352="Paid a pro",Settings!$B$9="Yes"),MAX(0,H352-K352*F352),0)</f>
        <v/>
      </c>
      <c r="N352" s="3">
        <f>IF(C352="","",IF(B352="","Enter the boat number",IF(B352&gt;Settings!$B$6,"Boat number above the boat count",IF(SUMIFS($F$5:$F$1004,$B$5:$B$1004,B352,$C$5:$C$1004,C352)&gt;1.0001,"Shares for this step add up to over 100%",IF(I352="","Waiting for sign-off",IF(AND(Settings!$B$10="Yes",I352=E352),"Needs a different member to sign off","OK"))))))</f>
        <v/>
      </c>
    </row>
    <row r="353">
      <c r="A353" s="9" t="n"/>
      <c r="B353" s="6" t="n"/>
      <c r="C353" s="6" t="n"/>
      <c r="D353" s="3">
        <f>IF(C353="","",IFERROR(INDEX(Steps!$C$5:$C$62,MATCH(C353,Steps!$A$5:$A$62,0)),""))</f>
        <v/>
      </c>
      <c r="E353" s="6" t="n"/>
      <c r="F353" s="8" t="n"/>
      <c r="G353" s="6" t="n"/>
      <c r="H353" s="7" t="n"/>
      <c r="I353" s="6" t="n"/>
      <c r="J353" s="9" t="n"/>
      <c r="K353" s="11">
        <f>IF(C353="","",N(IFERROR(INDEX(Steps!$E$5:$E$62,MATCH(C353,Steps!$A$5:$A$62,0)),"")))</f>
        <v/>
      </c>
      <c r="L353" s="11">
        <f>IF(AND(C353&lt;&gt;"",E353&lt;&gt;"",I353&lt;&gt;"",OR(Settings!$B$10="No",I353&lt;&gt;E353)),K353*F353,0)</f>
        <v/>
      </c>
      <c r="M353" s="11">
        <f>IF(AND(AND(C353&lt;&gt;"",E353&lt;&gt;"",I353&lt;&gt;"",OR(Settings!$B$10="No",I353&lt;&gt;E353)),G353="Paid a pro",Settings!$B$9="Yes"),MAX(0,H353-K353*F353),0)</f>
        <v/>
      </c>
      <c r="N353" s="3">
        <f>IF(C353="","",IF(B353="","Enter the boat number",IF(B353&gt;Settings!$B$6,"Boat number above the boat count",IF(SUMIFS($F$5:$F$1004,$B$5:$B$1004,B353,$C$5:$C$1004,C353)&gt;1.0001,"Shares for this step add up to over 100%",IF(I353="","Waiting for sign-off",IF(AND(Settings!$B$10="Yes",I353=E353),"Needs a different member to sign off","OK"))))))</f>
        <v/>
      </c>
    </row>
    <row r="354">
      <c r="A354" s="9" t="n"/>
      <c r="B354" s="6" t="n"/>
      <c r="C354" s="6" t="n"/>
      <c r="D354" s="3">
        <f>IF(C354="","",IFERROR(INDEX(Steps!$C$5:$C$62,MATCH(C354,Steps!$A$5:$A$62,0)),""))</f>
        <v/>
      </c>
      <c r="E354" s="6" t="n"/>
      <c r="F354" s="8" t="n"/>
      <c r="G354" s="6" t="n"/>
      <c r="H354" s="7" t="n"/>
      <c r="I354" s="6" t="n"/>
      <c r="J354" s="9" t="n"/>
      <c r="K354" s="11">
        <f>IF(C354="","",N(IFERROR(INDEX(Steps!$E$5:$E$62,MATCH(C354,Steps!$A$5:$A$62,0)),"")))</f>
        <v/>
      </c>
      <c r="L354" s="11">
        <f>IF(AND(C354&lt;&gt;"",E354&lt;&gt;"",I354&lt;&gt;"",OR(Settings!$B$10="No",I354&lt;&gt;E354)),K354*F354,0)</f>
        <v/>
      </c>
      <c r="M354" s="11">
        <f>IF(AND(AND(C354&lt;&gt;"",E354&lt;&gt;"",I354&lt;&gt;"",OR(Settings!$B$10="No",I354&lt;&gt;E354)),G354="Paid a pro",Settings!$B$9="Yes"),MAX(0,H354-K354*F354),0)</f>
        <v/>
      </c>
      <c r="N354" s="3">
        <f>IF(C354="","",IF(B354="","Enter the boat number",IF(B354&gt;Settings!$B$6,"Boat number above the boat count",IF(SUMIFS($F$5:$F$1004,$B$5:$B$1004,B354,$C$5:$C$1004,C354)&gt;1.0001,"Shares for this step add up to over 100%",IF(I354="","Waiting for sign-off",IF(AND(Settings!$B$10="Yes",I354=E354),"Needs a different member to sign off","OK"))))))</f>
        <v/>
      </c>
    </row>
    <row r="355">
      <c r="A355" s="9" t="n"/>
      <c r="B355" s="6" t="n"/>
      <c r="C355" s="6" t="n"/>
      <c r="D355" s="3">
        <f>IF(C355="","",IFERROR(INDEX(Steps!$C$5:$C$62,MATCH(C355,Steps!$A$5:$A$62,0)),""))</f>
        <v/>
      </c>
      <c r="E355" s="6" t="n"/>
      <c r="F355" s="8" t="n"/>
      <c r="G355" s="6" t="n"/>
      <c r="H355" s="7" t="n"/>
      <c r="I355" s="6" t="n"/>
      <c r="J355" s="9" t="n"/>
      <c r="K355" s="11">
        <f>IF(C355="","",N(IFERROR(INDEX(Steps!$E$5:$E$62,MATCH(C355,Steps!$A$5:$A$62,0)),"")))</f>
        <v/>
      </c>
      <c r="L355" s="11">
        <f>IF(AND(C355&lt;&gt;"",E355&lt;&gt;"",I355&lt;&gt;"",OR(Settings!$B$10="No",I355&lt;&gt;E355)),K355*F355,0)</f>
        <v/>
      </c>
      <c r="M355" s="11">
        <f>IF(AND(AND(C355&lt;&gt;"",E355&lt;&gt;"",I355&lt;&gt;"",OR(Settings!$B$10="No",I355&lt;&gt;E355)),G355="Paid a pro",Settings!$B$9="Yes"),MAX(0,H355-K355*F355),0)</f>
        <v/>
      </c>
      <c r="N355" s="3">
        <f>IF(C355="","",IF(B355="","Enter the boat number",IF(B355&gt;Settings!$B$6,"Boat number above the boat count",IF(SUMIFS($F$5:$F$1004,$B$5:$B$1004,B355,$C$5:$C$1004,C355)&gt;1.0001,"Shares for this step add up to over 100%",IF(I355="","Waiting for sign-off",IF(AND(Settings!$B$10="Yes",I355=E355),"Needs a different member to sign off","OK"))))))</f>
        <v/>
      </c>
    </row>
    <row r="356">
      <c r="A356" s="9" t="n"/>
      <c r="B356" s="6" t="n"/>
      <c r="C356" s="6" t="n"/>
      <c r="D356" s="3">
        <f>IF(C356="","",IFERROR(INDEX(Steps!$C$5:$C$62,MATCH(C356,Steps!$A$5:$A$62,0)),""))</f>
        <v/>
      </c>
      <c r="E356" s="6" t="n"/>
      <c r="F356" s="8" t="n"/>
      <c r="G356" s="6" t="n"/>
      <c r="H356" s="7" t="n"/>
      <c r="I356" s="6" t="n"/>
      <c r="J356" s="9" t="n"/>
      <c r="K356" s="11">
        <f>IF(C356="","",N(IFERROR(INDEX(Steps!$E$5:$E$62,MATCH(C356,Steps!$A$5:$A$62,0)),"")))</f>
        <v/>
      </c>
      <c r="L356" s="11">
        <f>IF(AND(C356&lt;&gt;"",E356&lt;&gt;"",I356&lt;&gt;"",OR(Settings!$B$10="No",I356&lt;&gt;E356)),K356*F356,0)</f>
        <v/>
      </c>
      <c r="M356" s="11">
        <f>IF(AND(AND(C356&lt;&gt;"",E356&lt;&gt;"",I356&lt;&gt;"",OR(Settings!$B$10="No",I356&lt;&gt;E356)),G356="Paid a pro",Settings!$B$9="Yes"),MAX(0,H356-K356*F356),0)</f>
        <v/>
      </c>
      <c r="N356" s="3">
        <f>IF(C356="","",IF(B356="","Enter the boat number",IF(B356&gt;Settings!$B$6,"Boat number above the boat count",IF(SUMIFS($F$5:$F$1004,$B$5:$B$1004,B356,$C$5:$C$1004,C356)&gt;1.0001,"Shares for this step add up to over 100%",IF(I356="","Waiting for sign-off",IF(AND(Settings!$B$10="Yes",I356=E356),"Needs a different member to sign off","OK"))))))</f>
        <v/>
      </c>
    </row>
    <row r="357">
      <c r="A357" s="9" t="n"/>
      <c r="B357" s="6" t="n"/>
      <c r="C357" s="6" t="n"/>
      <c r="D357" s="3">
        <f>IF(C357="","",IFERROR(INDEX(Steps!$C$5:$C$62,MATCH(C357,Steps!$A$5:$A$62,0)),""))</f>
        <v/>
      </c>
      <c r="E357" s="6" t="n"/>
      <c r="F357" s="8" t="n"/>
      <c r="G357" s="6" t="n"/>
      <c r="H357" s="7" t="n"/>
      <c r="I357" s="6" t="n"/>
      <c r="J357" s="9" t="n"/>
      <c r="K357" s="11">
        <f>IF(C357="","",N(IFERROR(INDEX(Steps!$E$5:$E$62,MATCH(C357,Steps!$A$5:$A$62,0)),"")))</f>
        <v/>
      </c>
      <c r="L357" s="11">
        <f>IF(AND(C357&lt;&gt;"",E357&lt;&gt;"",I357&lt;&gt;"",OR(Settings!$B$10="No",I357&lt;&gt;E357)),K357*F357,0)</f>
        <v/>
      </c>
      <c r="M357" s="11">
        <f>IF(AND(AND(C357&lt;&gt;"",E357&lt;&gt;"",I357&lt;&gt;"",OR(Settings!$B$10="No",I357&lt;&gt;E357)),G357="Paid a pro",Settings!$B$9="Yes"),MAX(0,H357-K357*F357),0)</f>
        <v/>
      </c>
      <c r="N357" s="3">
        <f>IF(C357="","",IF(B357="","Enter the boat number",IF(B357&gt;Settings!$B$6,"Boat number above the boat count",IF(SUMIFS($F$5:$F$1004,$B$5:$B$1004,B357,$C$5:$C$1004,C357)&gt;1.0001,"Shares for this step add up to over 100%",IF(I357="","Waiting for sign-off",IF(AND(Settings!$B$10="Yes",I357=E357),"Needs a different member to sign off","OK"))))))</f>
        <v/>
      </c>
    </row>
    <row r="358">
      <c r="A358" s="9" t="n"/>
      <c r="B358" s="6" t="n"/>
      <c r="C358" s="6" t="n"/>
      <c r="D358" s="3">
        <f>IF(C358="","",IFERROR(INDEX(Steps!$C$5:$C$62,MATCH(C358,Steps!$A$5:$A$62,0)),""))</f>
        <v/>
      </c>
      <c r="E358" s="6" t="n"/>
      <c r="F358" s="8" t="n"/>
      <c r="G358" s="6" t="n"/>
      <c r="H358" s="7" t="n"/>
      <c r="I358" s="6" t="n"/>
      <c r="J358" s="9" t="n"/>
      <c r="K358" s="11">
        <f>IF(C358="","",N(IFERROR(INDEX(Steps!$E$5:$E$62,MATCH(C358,Steps!$A$5:$A$62,0)),"")))</f>
        <v/>
      </c>
      <c r="L358" s="11">
        <f>IF(AND(C358&lt;&gt;"",E358&lt;&gt;"",I358&lt;&gt;"",OR(Settings!$B$10="No",I358&lt;&gt;E358)),K358*F358,0)</f>
        <v/>
      </c>
      <c r="M358" s="11">
        <f>IF(AND(AND(C358&lt;&gt;"",E358&lt;&gt;"",I358&lt;&gt;"",OR(Settings!$B$10="No",I358&lt;&gt;E358)),G358="Paid a pro",Settings!$B$9="Yes"),MAX(0,H358-K358*F358),0)</f>
        <v/>
      </c>
      <c r="N358" s="3">
        <f>IF(C358="","",IF(B358="","Enter the boat number",IF(B358&gt;Settings!$B$6,"Boat number above the boat count",IF(SUMIFS($F$5:$F$1004,$B$5:$B$1004,B358,$C$5:$C$1004,C358)&gt;1.0001,"Shares for this step add up to over 100%",IF(I358="","Waiting for sign-off",IF(AND(Settings!$B$10="Yes",I358=E358),"Needs a different member to sign off","OK"))))))</f>
        <v/>
      </c>
    </row>
    <row r="359">
      <c r="A359" s="9" t="n"/>
      <c r="B359" s="6" t="n"/>
      <c r="C359" s="6" t="n"/>
      <c r="D359" s="3">
        <f>IF(C359="","",IFERROR(INDEX(Steps!$C$5:$C$62,MATCH(C359,Steps!$A$5:$A$62,0)),""))</f>
        <v/>
      </c>
      <c r="E359" s="6" t="n"/>
      <c r="F359" s="8" t="n"/>
      <c r="G359" s="6" t="n"/>
      <c r="H359" s="7" t="n"/>
      <c r="I359" s="6" t="n"/>
      <c r="J359" s="9" t="n"/>
      <c r="K359" s="11">
        <f>IF(C359="","",N(IFERROR(INDEX(Steps!$E$5:$E$62,MATCH(C359,Steps!$A$5:$A$62,0)),"")))</f>
        <v/>
      </c>
      <c r="L359" s="11">
        <f>IF(AND(C359&lt;&gt;"",E359&lt;&gt;"",I359&lt;&gt;"",OR(Settings!$B$10="No",I359&lt;&gt;E359)),K359*F359,0)</f>
        <v/>
      </c>
      <c r="M359" s="11">
        <f>IF(AND(AND(C359&lt;&gt;"",E359&lt;&gt;"",I359&lt;&gt;"",OR(Settings!$B$10="No",I359&lt;&gt;E359)),G359="Paid a pro",Settings!$B$9="Yes"),MAX(0,H359-K359*F359),0)</f>
        <v/>
      </c>
      <c r="N359" s="3">
        <f>IF(C359="","",IF(B359="","Enter the boat number",IF(B359&gt;Settings!$B$6,"Boat number above the boat count",IF(SUMIFS($F$5:$F$1004,$B$5:$B$1004,B359,$C$5:$C$1004,C359)&gt;1.0001,"Shares for this step add up to over 100%",IF(I359="","Waiting for sign-off",IF(AND(Settings!$B$10="Yes",I359=E359),"Needs a different member to sign off","OK"))))))</f>
        <v/>
      </c>
    </row>
    <row r="360">
      <c r="A360" s="9" t="n"/>
      <c r="B360" s="6" t="n"/>
      <c r="C360" s="6" t="n"/>
      <c r="D360" s="3">
        <f>IF(C360="","",IFERROR(INDEX(Steps!$C$5:$C$62,MATCH(C360,Steps!$A$5:$A$62,0)),""))</f>
        <v/>
      </c>
      <c r="E360" s="6" t="n"/>
      <c r="F360" s="8" t="n"/>
      <c r="G360" s="6" t="n"/>
      <c r="H360" s="7" t="n"/>
      <c r="I360" s="6" t="n"/>
      <c r="J360" s="9" t="n"/>
      <c r="K360" s="11">
        <f>IF(C360="","",N(IFERROR(INDEX(Steps!$E$5:$E$62,MATCH(C360,Steps!$A$5:$A$62,0)),"")))</f>
        <v/>
      </c>
      <c r="L360" s="11">
        <f>IF(AND(C360&lt;&gt;"",E360&lt;&gt;"",I360&lt;&gt;"",OR(Settings!$B$10="No",I360&lt;&gt;E360)),K360*F360,0)</f>
        <v/>
      </c>
      <c r="M360" s="11">
        <f>IF(AND(AND(C360&lt;&gt;"",E360&lt;&gt;"",I360&lt;&gt;"",OR(Settings!$B$10="No",I360&lt;&gt;E360)),G360="Paid a pro",Settings!$B$9="Yes"),MAX(0,H360-K360*F360),0)</f>
        <v/>
      </c>
      <c r="N360" s="3">
        <f>IF(C360="","",IF(B360="","Enter the boat number",IF(B360&gt;Settings!$B$6,"Boat number above the boat count",IF(SUMIFS($F$5:$F$1004,$B$5:$B$1004,B360,$C$5:$C$1004,C360)&gt;1.0001,"Shares for this step add up to over 100%",IF(I360="","Waiting for sign-off",IF(AND(Settings!$B$10="Yes",I360=E360),"Needs a different member to sign off","OK"))))))</f>
        <v/>
      </c>
    </row>
    <row r="361">
      <c r="A361" s="9" t="n"/>
      <c r="B361" s="6" t="n"/>
      <c r="C361" s="6" t="n"/>
      <c r="D361" s="3">
        <f>IF(C361="","",IFERROR(INDEX(Steps!$C$5:$C$62,MATCH(C361,Steps!$A$5:$A$62,0)),""))</f>
        <v/>
      </c>
      <c r="E361" s="6" t="n"/>
      <c r="F361" s="8" t="n"/>
      <c r="G361" s="6" t="n"/>
      <c r="H361" s="7" t="n"/>
      <c r="I361" s="6" t="n"/>
      <c r="J361" s="9" t="n"/>
      <c r="K361" s="11">
        <f>IF(C361="","",N(IFERROR(INDEX(Steps!$E$5:$E$62,MATCH(C361,Steps!$A$5:$A$62,0)),"")))</f>
        <v/>
      </c>
      <c r="L361" s="11">
        <f>IF(AND(C361&lt;&gt;"",E361&lt;&gt;"",I361&lt;&gt;"",OR(Settings!$B$10="No",I361&lt;&gt;E361)),K361*F361,0)</f>
        <v/>
      </c>
      <c r="M361" s="11">
        <f>IF(AND(AND(C361&lt;&gt;"",E361&lt;&gt;"",I361&lt;&gt;"",OR(Settings!$B$10="No",I361&lt;&gt;E361)),G361="Paid a pro",Settings!$B$9="Yes"),MAX(0,H361-K361*F361),0)</f>
        <v/>
      </c>
      <c r="N361" s="3">
        <f>IF(C361="","",IF(B361="","Enter the boat number",IF(B361&gt;Settings!$B$6,"Boat number above the boat count",IF(SUMIFS($F$5:$F$1004,$B$5:$B$1004,B361,$C$5:$C$1004,C361)&gt;1.0001,"Shares for this step add up to over 100%",IF(I361="","Waiting for sign-off",IF(AND(Settings!$B$10="Yes",I361=E361),"Needs a different member to sign off","OK"))))))</f>
        <v/>
      </c>
    </row>
    <row r="362">
      <c r="A362" s="9" t="n"/>
      <c r="B362" s="6" t="n"/>
      <c r="C362" s="6" t="n"/>
      <c r="D362" s="3">
        <f>IF(C362="","",IFERROR(INDEX(Steps!$C$5:$C$62,MATCH(C362,Steps!$A$5:$A$62,0)),""))</f>
        <v/>
      </c>
      <c r="E362" s="6" t="n"/>
      <c r="F362" s="8" t="n"/>
      <c r="G362" s="6" t="n"/>
      <c r="H362" s="7" t="n"/>
      <c r="I362" s="6" t="n"/>
      <c r="J362" s="9" t="n"/>
      <c r="K362" s="11">
        <f>IF(C362="","",N(IFERROR(INDEX(Steps!$E$5:$E$62,MATCH(C362,Steps!$A$5:$A$62,0)),"")))</f>
        <v/>
      </c>
      <c r="L362" s="11">
        <f>IF(AND(C362&lt;&gt;"",E362&lt;&gt;"",I362&lt;&gt;"",OR(Settings!$B$10="No",I362&lt;&gt;E362)),K362*F362,0)</f>
        <v/>
      </c>
      <c r="M362" s="11">
        <f>IF(AND(AND(C362&lt;&gt;"",E362&lt;&gt;"",I362&lt;&gt;"",OR(Settings!$B$10="No",I362&lt;&gt;E362)),G362="Paid a pro",Settings!$B$9="Yes"),MAX(0,H362-K362*F362),0)</f>
        <v/>
      </c>
      <c r="N362" s="3">
        <f>IF(C362="","",IF(B362="","Enter the boat number",IF(B362&gt;Settings!$B$6,"Boat number above the boat count",IF(SUMIFS($F$5:$F$1004,$B$5:$B$1004,B362,$C$5:$C$1004,C362)&gt;1.0001,"Shares for this step add up to over 100%",IF(I362="","Waiting for sign-off",IF(AND(Settings!$B$10="Yes",I362=E362),"Needs a different member to sign off","OK"))))))</f>
        <v/>
      </c>
    </row>
    <row r="363">
      <c r="A363" s="9" t="n"/>
      <c r="B363" s="6" t="n"/>
      <c r="C363" s="6" t="n"/>
      <c r="D363" s="3">
        <f>IF(C363="","",IFERROR(INDEX(Steps!$C$5:$C$62,MATCH(C363,Steps!$A$5:$A$62,0)),""))</f>
        <v/>
      </c>
      <c r="E363" s="6" t="n"/>
      <c r="F363" s="8" t="n"/>
      <c r="G363" s="6" t="n"/>
      <c r="H363" s="7" t="n"/>
      <c r="I363" s="6" t="n"/>
      <c r="J363" s="9" t="n"/>
      <c r="K363" s="11">
        <f>IF(C363="","",N(IFERROR(INDEX(Steps!$E$5:$E$62,MATCH(C363,Steps!$A$5:$A$62,0)),"")))</f>
        <v/>
      </c>
      <c r="L363" s="11">
        <f>IF(AND(C363&lt;&gt;"",E363&lt;&gt;"",I363&lt;&gt;"",OR(Settings!$B$10="No",I363&lt;&gt;E363)),K363*F363,0)</f>
        <v/>
      </c>
      <c r="M363" s="11">
        <f>IF(AND(AND(C363&lt;&gt;"",E363&lt;&gt;"",I363&lt;&gt;"",OR(Settings!$B$10="No",I363&lt;&gt;E363)),G363="Paid a pro",Settings!$B$9="Yes"),MAX(0,H363-K363*F363),0)</f>
        <v/>
      </c>
      <c r="N363" s="3">
        <f>IF(C363="","",IF(B363="","Enter the boat number",IF(B363&gt;Settings!$B$6,"Boat number above the boat count",IF(SUMIFS($F$5:$F$1004,$B$5:$B$1004,B363,$C$5:$C$1004,C363)&gt;1.0001,"Shares for this step add up to over 100%",IF(I363="","Waiting for sign-off",IF(AND(Settings!$B$10="Yes",I363=E363),"Needs a different member to sign off","OK"))))))</f>
        <v/>
      </c>
    </row>
    <row r="364">
      <c r="A364" s="9" t="n"/>
      <c r="B364" s="6" t="n"/>
      <c r="C364" s="6" t="n"/>
      <c r="D364" s="3">
        <f>IF(C364="","",IFERROR(INDEX(Steps!$C$5:$C$62,MATCH(C364,Steps!$A$5:$A$62,0)),""))</f>
        <v/>
      </c>
      <c r="E364" s="6" t="n"/>
      <c r="F364" s="8" t="n"/>
      <c r="G364" s="6" t="n"/>
      <c r="H364" s="7" t="n"/>
      <c r="I364" s="6" t="n"/>
      <c r="J364" s="9" t="n"/>
      <c r="K364" s="11">
        <f>IF(C364="","",N(IFERROR(INDEX(Steps!$E$5:$E$62,MATCH(C364,Steps!$A$5:$A$62,0)),"")))</f>
        <v/>
      </c>
      <c r="L364" s="11">
        <f>IF(AND(C364&lt;&gt;"",E364&lt;&gt;"",I364&lt;&gt;"",OR(Settings!$B$10="No",I364&lt;&gt;E364)),K364*F364,0)</f>
        <v/>
      </c>
      <c r="M364" s="11">
        <f>IF(AND(AND(C364&lt;&gt;"",E364&lt;&gt;"",I364&lt;&gt;"",OR(Settings!$B$10="No",I364&lt;&gt;E364)),G364="Paid a pro",Settings!$B$9="Yes"),MAX(0,H364-K364*F364),0)</f>
        <v/>
      </c>
      <c r="N364" s="3">
        <f>IF(C364="","",IF(B364="","Enter the boat number",IF(B364&gt;Settings!$B$6,"Boat number above the boat count",IF(SUMIFS($F$5:$F$1004,$B$5:$B$1004,B364,$C$5:$C$1004,C364)&gt;1.0001,"Shares for this step add up to over 100%",IF(I364="","Waiting for sign-off",IF(AND(Settings!$B$10="Yes",I364=E364),"Needs a different member to sign off","OK"))))))</f>
        <v/>
      </c>
    </row>
    <row r="365">
      <c r="A365" s="9" t="n"/>
      <c r="B365" s="6" t="n"/>
      <c r="C365" s="6" t="n"/>
      <c r="D365" s="3">
        <f>IF(C365="","",IFERROR(INDEX(Steps!$C$5:$C$62,MATCH(C365,Steps!$A$5:$A$62,0)),""))</f>
        <v/>
      </c>
      <c r="E365" s="6" t="n"/>
      <c r="F365" s="8" t="n"/>
      <c r="G365" s="6" t="n"/>
      <c r="H365" s="7" t="n"/>
      <c r="I365" s="6" t="n"/>
      <c r="J365" s="9" t="n"/>
      <c r="K365" s="11">
        <f>IF(C365="","",N(IFERROR(INDEX(Steps!$E$5:$E$62,MATCH(C365,Steps!$A$5:$A$62,0)),"")))</f>
        <v/>
      </c>
      <c r="L365" s="11">
        <f>IF(AND(C365&lt;&gt;"",E365&lt;&gt;"",I365&lt;&gt;"",OR(Settings!$B$10="No",I365&lt;&gt;E365)),K365*F365,0)</f>
        <v/>
      </c>
      <c r="M365" s="11">
        <f>IF(AND(AND(C365&lt;&gt;"",E365&lt;&gt;"",I365&lt;&gt;"",OR(Settings!$B$10="No",I365&lt;&gt;E365)),G365="Paid a pro",Settings!$B$9="Yes"),MAX(0,H365-K365*F365),0)</f>
        <v/>
      </c>
      <c r="N365" s="3">
        <f>IF(C365="","",IF(B365="","Enter the boat number",IF(B365&gt;Settings!$B$6,"Boat number above the boat count",IF(SUMIFS($F$5:$F$1004,$B$5:$B$1004,B365,$C$5:$C$1004,C365)&gt;1.0001,"Shares for this step add up to over 100%",IF(I365="","Waiting for sign-off",IF(AND(Settings!$B$10="Yes",I365=E365),"Needs a different member to sign off","OK"))))))</f>
        <v/>
      </c>
    </row>
    <row r="366">
      <c r="A366" s="9" t="n"/>
      <c r="B366" s="6" t="n"/>
      <c r="C366" s="6" t="n"/>
      <c r="D366" s="3">
        <f>IF(C366="","",IFERROR(INDEX(Steps!$C$5:$C$62,MATCH(C366,Steps!$A$5:$A$62,0)),""))</f>
        <v/>
      </c>
      <c r="E366" s="6" t="n"/>
      <c r="F366" s="8" t="n"/>
      <c r="G366" s="6" t="n"/>
      <c r="H366" s="7" t="n"/>
      <c r="I366" s="6" t="n"/>
      <c r="J366" s="9" t="n"/>
      <c r="K366" s="11">
        <f>IF(C366="","",N(IFERROR(INDEX(Steps!$E$5:$E$62,MATCH(C366,Steps!$A$5:$A$62,0)),"")))</f>
        <v/>
      </c>
      <c r="L366" s="11">
        <f>IF(AND(C366&lt;&gt;"",E366&lt;&gt;"",I366&lt;&gt;"",OR(Settings!$B$10="No",I366&lt;&gt;E366)),K366*F366,0)</f>
        <v/>
      </c>
      <c r="M366" s="11">
        <f>IF(AND(AND(C366&lt;&gt;"",E366&lt;&gt;"",I366&lt;&gt;"",OR(Settings!$B$10="No",I366&lt;&gt;E366)),G366="Paid a pro",Settings!$B$9="Yes"),MAX(0,H366-K366*F366),0)</f>
        <v/>
      </c>
      <c r="N366" s="3">
        <f>IF(C366="","",IF(B366="","Enter the boat number",IF(B366&gt;Settings!$B$6,"Boat number above the boat count",IF(SUMIFS($F$5:$F$1004,$B$5:$B$1004,B366,$C$5:$C$1004,C366)&gt;1.0001,"Shares for this step add up to over 100%",IF(I366="","Waiting for sign-off",IF(AND(Settings!$B$10="Yes",I366=E366),"Needs a different member to sign off","OK"))))))</f>
        <v/>
      </c>
    </row>
    <row r="367">
      <c r="A367" s="9" t="n"/>
      <c r="B367" s="6" t="n"/>
      <c r="C367" s="6" t="n"/>
      <c r="D367" s="3">
        <f>IF(C367="","",IFERROR(INDEX(Steps!$C$5:$C$62,MATCH(C367,Steps!$A$5:$A$62,0)),""))</f>
        <v/>
      </c>
      <c r="E367" s="6" t="n"/>
      <c r="F367" s="8" t="n"/>
      <c r="G367" s="6" t="n"/>
      <c r="H367" s="7" t="n"/>
      <c r="I367" s="6" t="n"/>
      <c r="J367" s="9" t="n"/>
      <c r="K367" s="11">
        <f>IF(C367="","",N(IFERROR(INDEX(Steps!$E$5:$E$62,MATCH(C367,Steps!$A$5:$A$62,0)),"")))</f>
        <v/>
      </c>
      <c r="L367" s="11">
        <f>IF(AND(C367&lt;&gt;"",E367&lt;&gt;"",I367&lt;&gt;"",OR(Settings!$B$10="No",I367&lt;&gt;E367)),K367*F367,0)</f>
        <v/>
      </c>
      <c r="M367" s="11">
        <f>IF(AND(AND(C367&lt;&gt;"",E367&lt;&gt;"",I367&lt;&gt;"",OR(Settings!$B$10="No",I367&lt;&gt;E367)),G367="Paid a pro",Settings!$B$9="Yes"),MAX(0,H367-K367*F367),0)</f>
        <v/>
      </c>
      <c r="N367" s="3">
        <f>IF(C367="","",IF(B367="","Enter the boat number",IF(B367&gt;Settings!$B$6,"Boat number above the boat count",IF(SUMIFS($F$5:$F$1004,$B$5:$B$1004,B367,$C$5:$C$1004,C367)&gt;1.0001,"Shares for this step add up to over 100%",IF(I367="","Waiting for sign-off",IF(AND(Settings!$B$10="Yes",I367=E367),"Needs a different member to sign off","OK"))))))</f>
        <v/>
      </c>
    </row>
    <row r="368">
      <c r="A368" s="9" t="n"/>
      <c r="B368" s="6" t="n"/>
      <c r="C368" s="6" t="n"/>
      <c r="D368" s="3">
        <f>IF(C368="","",IFERROR(INDEX(Steps!$C$5:$C$62,MATCH(C368,Steps!$A$5:$A$62,0)),""))</f>
        <v/>
      </c>
      <c r="E368" s="6" t="n"/>
      <c r="F368" s="8" t="n"/>
      <c r="G368" s="6" t="n"/>
      <c r="H368" s="7" t="n"/>
      <c r="I368" s="6" t="n"/>
      <c r="J368" s="9" t="n"/>
      <c r="K368" s="11">
        <f>IF(C368="","",N(IFERROR(INDEX(Steps!$E$5:$E$62,MATCH(C368,Steps!$A$5:$A$62,0)),"")))</f>
        <v/>
      </c>
      <c r="L368" s="11">
        <f>IF(AND(C368&lt;&gt;"",E368&lt;&gt;"",I368&lt;&gt;"",OR(Settings!$B$10="No",I368&lt;&gt;E368)),K368*F368,0)</f>
        <v/>
      </c>
      <c r="M368" s="11">
        <f>IF(AND(AND(C368&lt;&gt;"",E368&lt;&gt;"",I368&lt;&gt;"",OR(Settings!$B$10="No",I368&lt;&gt;E368)),G368="Paid a pro",Settings!$B$9="Yes"),MAX(0,H368-K368*F368),0)</f>
        <v/>
      </c>
      <c r="N368" s="3">
        <f>IF(C368="","",IF(B368="","Enter the boat number",IF(B368&gt;Settings!$B$6,"Boat number above the boat count",IF(SUMIFS($F$5:$F$1004,$B$5:$B$1004,B368,$C$5:$C$1004,C368)&gt;1.0001,"Shares for this step add up to over 100%",IF(I368="","Waiting for sign-off",IF(AND(Settings!$B$10="Yes",I368=E368),"Needs a different member to sign off","OK"))))))</f>
        <v/>
      </c>
    </row>
    <row r="369">
      <c r="A369" s="9" t="n"/>
      <c r="B369" s="6" t="n"/>
      <c r="C369" s="6" t="n"/>
      <c r="D369" s="3">
        <f>IF(C369="","",IFERROR(INDEX(Steps!$C$5:$C$62,MATCH(C369,Steps!$A$5:$A$62,0)),""))</f>
        <v/>
      </c>
      <c r="E369" s="6" t="n"/>
      <c r="F369" s="8" t="n"/>
      <c r="G369" s="6" t="n"/>
      <c r="H369" s="7" t="n"/>
      <c r="I369" s="6" t="n"/>
      <c r="J369" s="9" t="n"/>
      <c r="K369" s="11">
        <f>IF(C369="","",N(IFERROR(INDEX(Steps!$E$5:$E$62,MATCH(C369,Steps!$A$5:$A$62,0)),"")))</f>
        <v/>
      </c>
      <c r="L369" s="11">
        <f>IF(AND(C369&lt;&gt;"",E369&lt;&gt;"",I369&lt;&gt;"",OR(Settings!$B$10="No",I369&lt;&gt;E369)),K369*F369,0)</f>
        <v/>
      </c>
      <c r="M369" s="11">
        <f>IF(AND(AND(C369&lt;&gt;"",E369&lt;&gt;"",I369&lt;&gt;"",OR(Settings!$B$10="No",I369&lt;&gt;E369)),G369="Paid a pro",Settings!$B$9="Yes"),MAX(0,H369-K369*F369),0)</f>
        <v/>
      </c>
      <c r="N369" s="3">
        <f>IF(C369="","",IF(B369="","Enter the boat number",IF(B369&gt;Settings!$B$6,"Boat number above the boat count",IF(SUMIFS($F$5:$F$1004,$B$5:$B$1004,B369,$C$5:$C$1004,C369)&gt;1.0001,"Shares for this step add up to over 100%",IF(I369="","Waiting for sign-off",IF(AND(Settings!$B$10="Yes",I369=E369),"Needs a different member to sign off","OK"))))))</f>
        <v/>
      </c>
    </row>
    <row r="370">
      <c r="A370" s="9" t="n"/>
      <c r="B370" s="6" t="n"/>
      <c r="C370" s="6" t="n"/>
      <c r="D370" s="3">
        <f>IF(C370="","",IFERROR(INDEX(Steps!$C$5:$C$62,MATCH(C370,Steps!$A$5:$A$62,0)),""))</f>
        <v/>
      </c>
      <c r="E370" s="6" t="n"/>
      <c r="F370" s="8" t="n"/>
      <c r="G370" s="6" t="n"/>
      <c r="H370" s="7" t="n"/>
      <c r="I370" s="6" t="n"/>
      <c r="J370" s="9" t="n"/>
      <c r="K370" s="11">
        <f>IF(C370="","",N(IFERROR(INDEX(Steps!$E$5:$E$62,MATCH(C370,Steps!$A$5:$A$62,0)),"")))</f>
        <v/>
      </c>
      <c r="L370" s="11">
        <f>IF(AND(C370&lt;&gt;"",E370&lt;&gt;"",I370&lt;&gt;"",OR(Settings!$B$10="No",I370&lt;&gt;E370)),K370*F370,0)</f>
        <v/>
      </c>
      <c r="M370" s="11">
        <f>IF(AND(AND(C370&lt;&gt;"",E370&lt;&gt;"",I370&lt;&gt;"",OR(Settings!$B$10="No",I370&lt;&gt;E370)),G370="Paid a pro",Settings!$B$9="Yes"),MAX(0,H370-K370*F370),0)</f>
        <v/>
      </c>
      <c r="N370" s="3">
        <f>IF(C370="","",IF(B370="","Enter the boat number",IF(B370&gt;Settings!$B$6,"Boat number above the boat count",IF(SUMIFS($F$5:$F$1004,$B$5:$B$1004,B370,$C$5:$C$1004,C370)&gt;1.0001,"Shares for this step add up to over 100%",IF(I370="","Waiting for sign-off",IF(AND(Settings!$B$10="Yes",I370=E370),"Needs a different member to sign off","OK"))))))</f>
        <v/>
      </c>
    </row>
    <row r="371">
      <c r="A371" s="9" t="n"/>
      <c r="B371" s="6" t="n"/>
      <c r="C371" s="6" t="n"/>
      <c r="D371" s="3">
        <f>IF(C371="","",IFERROR(INDEX(Steps!$C$5:$C$62,MATCH(C371,Steps!$A$5:$A$62,0)),""))</f>
        <v/>
      </c>
      <c r="E371" s="6" t="n"/>
      <c r="F371" s="8" t="n"/>
      <c r="G371" s="6" t="n"/>
      <c r="H371" s="7" t="n"/>
      <c r="I371" s="6" t="n"/>
      <c r="J371" s="9" t="n"/>
      <c r="K371" s="11">
        <f>IF(C371="","",N(IFERROR(INDEX(Steps!$E$5:$E$62,MATCH(C371,Steps!$A$5:$A$62,0)),"")))</f>
        <v/>
      </c>
      <c r="L371" s="11">
        <f>IF(AND(C371&lt;&gt;"",E371&lt;&gt;"",I371&lt;&gt;"",OR(Settings!$B$10="No",I371&lt;&gt;E371)),K371*F371,0)</f>
        <v/>
      </c>
      <c r="M371" s="11">
        <f>IF(AND(AND(C371&lt;&gt;"",E371&lt;&gt;"",I371&lt;&gt;"",OR(Settings!$B$10="No",I371&lt;&gt;E371)),G371="Paid a pro",Settings!$B$9="Yes"),MAX(0,H371-K371*F371),0)</f>
        <v/>
      </c>
      <c r="N371" s="3">
        <f>IF(C371="","",IF(B371="","Enter the boat number",IF(B371&gt;Settings!$B$6,"Boat number above the boat count",IF(SUMIFS($F$5:$F$1004,$B$5:$B$1004,B371,$C$5:$C$1004,C371)&gt;1.0001,"Shares for this step add up to over 100%",IF(I371="","Waiting for sign-off",IF(AND(Settings!$B$10="Yes",I371=E371),"Needs a different member to sign off","OK"))))))</f>
        <v/>
      </c>
    </row>
    <row r="372">
      <c r="A372" s="9" t="n"/>
      <c r="B372" s="6" t="n"/>
      <c r="C372" s="6" t="n"/>
      <c r="D372" s="3">
        <f>IF(C372="","",IFERROR(INDEX(Steps!$C$5:$C$62,MATCH(C372,Steps!$A$5:$A$62,0)),""))</f>
        <v/>
      </c>
      <c r="E372" s="6" t="n"/>
      <c r="F372" s="8" t="n"/>
      <c r="G372" s="6" t="n"/>
      <c r="H372" s="7" t="n"/>
      <c r="I372" s="6" t="n"/>
      <c r="J372" s="9" t="n"/>
      <c r="K372" s="11">
        <f>IF(C372="","",N(IFERROR(INDEX(Steps!$E$5:$E$62,MATCH(C372,Steps!$A$5:$A$62,0)),"")))</f>
        <v/>
      </c>
      <c r="L372" s="11">
        <f>IF(AND(C372&lt;&gt;"",E372&lt;&gt;"",I372&lt;&gt;"",OR(Settings!$B$10="No",I372&lt;&gt;E372)),K372*F372,0)</f>
        <v/>
      </c>
      <c r="M372" s="11">
        <f>IF(AND(AND(C372&lt;&gt;"",E372&lt;&gt;"",I372&lt;&gt;"",OR(Settings!$B$10="No",I372&lt;&gt;E372)),G372="Paid a pro",Settings!$B$9="Yes"),MAX(0,H372-K372*F372),0)</f>
        <v/>
      </c>
      <c r="N372" s="3">
        <f>IF(C372="","",IF(B372="","Enter the boat number",IF(B372&gt;Settings!$B$6,"Boat number above the boat count",IF(SUMIFS($F$5:$F$1004,$B$5:$B$1004,B372,$C$5:$C$1004,C372)&gt;1.0001,"Shares for this step add up to over 100%",IF(I372="","Waiting for sign-off",IF(AND(Settings!$B$10="Yes",I372=E372),"Needs a different member to sign off","OK"))))))</f>
        <v/>
      </c>
    </row>
    <row r="373">
      <c r="A373" s="9" t="n"/>
      <c r="B373" s="6" t="n"/>
      <c r="C373" s="6" t="n"/>
      <c r="D373" s="3">
        <f>IF(C373="","",IFERROR(INDEX(Steps!$C$5:$C$62,MATCH(C373,Steps!$A$5:$A$62,0)),""))</f>
        <v/>
      </c>
      <c r="E373" s="6" t="n"/>
      <c r="F373" s="8" t="n"/>
      <c r="G373" s="6" t="n"/>
      <c r="H373" s="7" t="n"/>
      <c r="I373" s="6" t="n"/>
      <c r="J373" s="9" t="n"/>
      <c r="K373" s="11">
        <f>IF(C373="","",N(IFERROR(INDEX(Steps!$E$5:$E$62,MATCH(C373,Steps!$A$5:$A$62,0)),"")))</f>
        <v/>
      </c>
      <c r="L373" s="11">
        <f>IF(AND(C373&lt;&gt;"",E373&lt;&gt;"",I373&lt;&gt;"",OR(Settings!$B$10="No",I373&lt;&gt;E373)),K373*F373,0)</f>
        <v/>
      </c>
      <c r="M373" s="11">
        <f>IF(AND(AND(C373&lt;&gt;"",E373&lt;&gt;"",I373&lt;&gt;"",OR(Settings!$B$10="No",I373&lt;&gt;E373)),G373="Paid a pro",Settings!$B$9="Yes"),MAX(0,H373-K373*F373),0)</f>
        <v/>
      </c>
      <c r="N373" s="3">
        <f>IF(C373="","",IF(B373="","Enter the boat number",IF(B373&gt;Settings!$B$6,"Boat number above the boat count",IF(SUMIFS($F$5:$F$1004,$B$5:$B$1004,B373,$C$5:$C$1004,C373)&gt;1.0001,"Shares for this step add up to over 100%",IF(I373="","Waiting for sign-off",IF(AND(Settings!$B$10="Yes",I373=E373),"Needs a different member to sign off","OK"))))))</f>
        <v/>
      </c>
    </row>
    <row r="374">
      <c r="A374" s="9" t="n"/>
      <c r="B374" s="6" t="n"/>
      <c r="C374" s="6" t="n"/>
      <c r="D374" s="3">
        <f>IF(C374="","",IFERROR(INDEX(Steps!$C$5:$C$62,MATCH(C374,Steps!$A$5:$A$62,0)),""))</f>
        <v/>
      </c>
      <c r="E374" s="6" t="n"/>
      <c r="F374" s="8" t="n"/>
      <c r="G374" s="6" t="n"/>
      <c r="H374" s="7" t="n"/>
      <c r="I374" s="6" t="n"/>
      <c r="J374" s="9" t="n"/>
      <c r="K374" s="11">
        <f>IF(C374="","",N(IFERROR(INDEX(Steps!$E$5:$E$62,MATCH(C374,Steps!$A$5:$A$62,0)),"")))</f>
        <v/>
      </c>
      <c r="L374" s="11">
        <f>IF(AND(C374&lt;&gt;"",E374&lt;&gt;"",I374&lt;&gt;"",OR(Settings!$B$10="No",I374&lt;&gt;E374)),K374*F374,0)</f>
        <v/>
      </c>
      <c r="M374" s="11">
        <f>IF(AND(AND(C374&lt;&gt;"",E374&lt;&gt;"",I374&lt;&gt;"",OR(Settings!$B$10="No",I374&lt;&gt;E374)),G374="Paid a pro",Settings!$B$9="Yes"),MAX(0,H374-K374*F374),0)</f>
        <v/>
      </c>
      <c r="N374" s="3">
        <f>IF(C374="","",IF(B374="","Enter the boat number",IF(B374&gt;Settings!$B$6,"Boat number above the boat count",IF(SUMIFS($F$5:$F$1004,$B$5:$B$1004,B374,$C$5:$C$1004,C374)&gt;1.0001,"Shares for this step add up to over 100%",IF(I374="","Waiting for sign-off",IF(AND(Settings!$B$10="Yes",I374=E374),"Needs a different member to sign off","OK"))))))</f>
        <v/>
      </c>
    </row>
    <row r="375">
      <c r="A375" s="9" t="n"/>
      <c r="B375" s="6" t="n"/>
      <c r="C375" s="6" t="n"/>
      <c r="D375" s="3">
        <f>IF(C375="","",IFERROR(INDEX(Steps!$C$5:$C$62,MATCH(C375,Steps!$A$5:$A$62,0)),""))</f>
        <v/>
      </c>
      <c r="E375" s="6" t="n"/>
      <c r="F375" s="8" t="n"/>
      <c r="G375" s="6" t="n"/>
      <c r="H375" s="7" t="n"/>
      <c r="I375" s="6" t="n"/>
      <c r="J375" s="9" t="n"/>
      <c r="K375" s="11">
        <f>IF(C375="","",N(IFERROR(INDEX(Steps!$E$5:$E$62,MATCH(C375,Steps!$A$5:$A$62,0)),"")))</f>
        <v/>
      </c>
      <c r="L375" s="11">
        <f>IF(AND(C375&lt;&gt;"",E375&lt;&gt;"",I375&lt;&gt;"",OR(Settings!$B$10="No",I375&lt;&gt;E375)),K375*F375,0)</f>
        <v/>
      </c>
      <c r="M375" s="11">
        <f>IF(AND(AND(C375&lt;&gt;"",E375&lt;&gt;"",I375&lt;&gt;"",OR(Settings!$B$10="No",I375&lt;&gt;E375)),G375="Paid a pro",Settings!$B$9="Yes"),MAX(0,H375-K375*F375),0)</f>
        <v/>
      </c>
      <c r="N375" s="3">
        <f>IF(C375="","",IF(B375="","Enter the boat number",IF(B375&gt;Settings!$B$6,"Boat number above the boat count",IF(SUMIFS($F$5:$F$1004,$B$5:$B$1004,B375,$C$5:$C$1004,C375)&gt;1.0001,"Shares for this step add up to over 100%",IF(I375="","Waiting for sign-off",IF(AND(Settings!$B$10="Yes",I375=E375),"Needs a different member to sign off","OK"))))))</f>
        <v/>
      </c>
    </row>
    <row r="376">
      <c r="A376" s="9" t="n"/>
      <c r="B376" s="6" t="n"/>
      <c r="C376" s="6" t="n"/>
      <c r="D376" s="3">
        <f>IF(C376="","",IFERROR(INDEX(Steps!$C$5:$C$62,MATCH(C376,Steps!$A$5:$A$62,0)),""))</f>
        <v/>
      </c>
      <c r="E376" s="6" t="n"/>
      <c r="F376" s="8" t="n"/>
      <c r="G376" s="6" t="n"/>
      <c r="H376" s="7" t="n"/>
      <c r="I376" s="6" t="n"/>
      <c r="J376" s="9" t="n"/>
      <c r="K376" s="11">
        <f>IF(C376="","",N(IFERROR(INDEX(Steps!$E$5:$E$62,MATCH(C376,Steps!$A$5:$A$62,0)),"")))</f>
        <v/>
      </c>
      <c r="L376" s="11">
        <f>IF(AND(C376&lt;&gt;"",E376&lt;&gt;"",I376&lt;&gt;"",OR(Settings!$B$10="No",I376&lt;&gt;E376)),K376*F376,0)</f>
        <v/>
      </c>
      <c r="M376" s="11">
        <f>IF(AND(AND(C376&lt;&gt;"",E376&lt;&gt;"",I376&lt;&gt;"",OR(Settings!$B$10="No",I376&lt;&gt;E376)),G376="Paid a pro",Settings!$B$9="Yes"),MAX(0,H376-K376*F376),0)</f>
        <v/>
      </c>
      <c r="N376" s="3">
        <f>IF(C376="","",IF(B376="","Enter the boat number",IF(B376&gt;Settings!$B$6,"Boat number above the boat count",IF(SUMIFS($F$5:$F$1004,$B$5:$B$1004,B376,$C$5:$C$1004,C376)&gt;1.0001,"Shares for this step add up to over 100%",IF(I376="","Waiting for sign-off",IF(AND(Settings!$B$10="Yes",I376=E376),"Needs a different member to sign off","OK"))))))</f>
        <v/>
      </c>
    </row>
    <row r="377">
      <c r="A377" s="9" t="n"/>
      <c r="B377" s="6" t="n"/>
      <c r="C377" s="6" t="n"/>
      <c r="D377" s="3">
        <f>IF(C377="","",IFERROR(INDEX(Steps!$C$5:$C$62,MATCH(C377,Steps!$A$5:$A$62,0)),""))</f>
        <v/>
      </c>
      <c r="E377" s="6" t="n"/>
      <c r="F377" s="8" t="n"/>
      <c r="G377" s="6" t="n"/>
      <c r="H377" s="7" t="n"/>
      <c r="I377" s="6" t="n"/>
      <c r="J377" s="9" t="n"/>
      <c r="K377" s="11">
        <f>IF(C377="","",N(IFERROR(INDEX(Steps!$E$5:$E$62,MATCH(C377,Steps!$A$5:$A$62,0)),"")))</f>
        <v/>
      </c>
      <c r="L377" s="11">
        <f>IF(AND(C377&lt;&gt;"",E377&lt;&gt;"",I377&lt;&gt;"",OR(Settings!$B$10="No",I377&lt;&gt;E377)),K377*F377,0)</f>
        <v/>
      </c>
      <c r="M377" s="11">
        <f>IF(AND(AND(C377&lt;&gt;"",E377&lt;&gt;"",I377&lt;&gt;"",OR(Settings!$B$10="No",I377&lt;&gt;E377)),G377="Paid a pro",Settings!$B$9="Yes"),MAX(0,H377-K377*F377),0)</f>
        <v/>
      </c>
      <c r="N377" s="3">
        <f>IF(C377="","",IF(B377="","Enter the boat number",IF(B377&gt;Settings!$B$6,"Boat number above the boat count",IF(SUMIFS($F$5:$F$1004,$B$5:$B$1004,B377,$C$5:$C$1004,C377)&gt;1.0001,"Shares for this step add up to over 100%",IF(I377="","Waiting for sign-off",IF(AND(Settings!$B$10="Yes",I377=E377),"Needs a different member to sign off","OK"))))))</f>
        <v/>
      </c>
    </row>
    <row r="378">
      <c r="A378" s="9" t="n"/>
      <c r="B378" s="6" t="n"/>
      <c r="C378" s="6" t="n"/>
      <c r="D378" s="3">
        <f>IF(C378="","",IFERROR(INDEX(Steps!$C$5:$C$62,MATCH(C378,Steps!$A$5:$A$62,0)),""))</f>
        <v/>
      </c>
      <c r="E378" s="6" t="n"/>
      <c r="F378" s="8" t="n"/>
      <c r="G378" s="6" t="n"/>
      <c r="H378" s="7" t="n"/>
      <c r="I378" s="6" t="n"/>
      <c r="J378" s="9" t="n"/>
      <c r="K378" s="11">
        <f>IF(C378="","",N(IFERROR(INDEX(Steps!$E$5:$E$62,MATCH(C378,Steps!$A$5:$A$62,0)),"")))</f>
        <v/>
      </c>
      <c r="L378" s="11">
        <f>IF(AND(C378&lt;&gt;"",E378&lt;&gt;"",I378&lt;&gt;"",OR(Settings!$B$10="No",I378&lt;&gt;E378)),K378*F378,0)</f>
        <v/>
      </c>
      <c r="M378" s="11">
        <f>IF(AND(AND(C378&lt;&gt;"",E378&lt;&gt;"",I378&lt;&gt;"",OR(Settings!$B$10="No",I378&lt;&gt;E378)),G378="Paid a pro",Settings!$B$9="Yes"),MAX(0,H378-K378*F378),0)</f>
        <v/>
      </c>
      <c r="N378" s="3">
        <f>IF(C378="","",IF(B378="","Enter the boat number",IF(B378&gt;Settings!$B$6,"Boat number above the boat count",IF(SUMIFS($F$5:$F$1004,$B$5:$B$1004,B378,$C$5:$C$1004,C378)&gt;1.0001,"Shares for this step add up to over 100%",IF(I378="","Waiting for sign-off",IF(AND(Settings!$B$10="Yes",I378=E378),"Needs a different member to sign off","OK"))))))</f>
        <v/>
      </c>
    </row>
    <row r="379">
      <c r="A379" s="9" t="n"/>
      <c r="B379" s="6" t="n"/>
      <c r="C379" s="6" t="n"/>
      <c r="D379" s="3">
        <f>IF(C379="","",IFERROR(INDEX(Steps!$C$5:$C$62,MATCH(C379,Steps!$A$5:$A$62,0)),""))</f>
        <v/>
      </c>
      <c r="E379" s="6" t="n"/>
      <c r="F379" s="8" t="n"/>
      <c r="G379" s="6" t="n"/>
      <c r="H379" s="7" t="n"/>
      <c r="I379" s="6" t="n"/>
      <c r="J379" s="9" t="n"/>
      <c r="K379" s="11">
        <f>IF(C379="","",N(IFERROR(INDEX(Steps!$E$5:$E$62,MATCH(C379,Steps!$A$5:$A$62,0)),"")))</f>
        <v/>
      </c>
      <c r="L379" s="11">
        <f>IF(AND(C379&lt;&gt;"",E379&lt;&gt;"",I379&lt;&gt;"",OR(Settings!$B$10="No",I379&lt;&gt;E379)),K379*F379,0)</f>
        <v/>
      </c>
      <c r="M379" s="11">
        <f>IF(AND(AND(C379&lt;&gt;"",E379&lt;&gt;"",I379&lt;&gt;"",OR(Settings!$B$10="No",I379&lt;&gt;E379)),G379="Paid a pro",Settings!$B$9="Yes"),MAX(0,H379-K379*F379),0)</f>
        <v/>
      </c>
      <c r="N379" s="3">
        <f>IF(C379="","",IF(B379="","Enter the boat number",IF(B379&gt;Settings!$B$6,"Boat number above the boat count",IF(SUMIFS($F$5:$F$1004,$B$5:$B$1004,B379,$C$5:$C$1004,C379)&gt;1.0001,"Shares for this step add up to over 100%",IF(I379="","Waiting for sign-off",IF(AND(Settings!$B$10="Yes",I379=E379),"Needs a different member to sign off","OK"))))))</f>
        <v/>
      </c>
    </row>
    <row r="380">
      <c r="A380" s="9" t="n"/>
      <c r="B380" s="6" t="n"/>
      <c r="C380" s="6" t="n"/>
      <c r="D380" s="3">
        <f>IF(C380="","",IFERROR(INDEX(Steps!$C$5:$C$62,MATCH(C380,Steps!$A$5:$A$62,0)),""))</f>
        <v/>
      </c>
      <c r="E380" s="6" t="n"/>
      <c r="F380" s="8" t="n"/>
      <c r="G380" s="6" t="n"/>
      <c r="H380" s="7" t="n"/>
      <c r="I380" s="6" t="n"/>
      <c r="J380" s="9" t="n"/>
      <c r="K380" s="11">
        <f>IF(C380="","",N(IFERROR(INDEX(Steps!$E$5:$E$62,MATCH(C380,Steps!$A$5:$A$62,0)),"")))</f>
        <v/>
      </c>
      <c r="L380" s="11">
        <f>IF(AND(C380&lt;&gt;"",E380&lt;&gt;"",I380&lt;&gt;"",OR(Settings!$B$10="No",I380&lt;&gt;E380)),K380*F380,0)</f>
        <v/>
      </c>
      <c r="M380" s="11">
        <f>IF(AND(AND(C380&lt;&gt;"",E380&lt;&gt;"",I380&lt;&gt;"",OR(Settings!$B$10="No",I380&lt;&gt;E380)),G380="Paid a pro",Settings!$B$9="Yes"),MAX(0,H380-K380*F380),0)</f>
        <v/>
      </c>
      <c r="N380" s="3">
        <f>IF(C380="","",IF(B380="","Enter the boat number",IF(B380&gt;Settings!$B$6,"Boat number above the boat count",IF(SUMIFS($F$5:$F$1004,$B$5:$B$1004,B380,$C$5:$C$1004,C380)&gt;1.0001,"Shares for this step add up to over 100%",IF(I380="","Waiting for sign-off",IF(AND(Settings!$B$10="Yes",I380=E380),"Needs a different member to sign off","OK"))))))</f>
        <v/>
      </c>
    </row>
    <row r="381">
      <c r="A381" s="9" t="n"/>
      <c r="B381" s="6" t="n"/>
      <c r="C381" s="6" t="n"/>
      <c r="D381" s="3">
        <f>IF(C381="","",IFERROR(INDEX(Steps!$C$5:$C$62,MATCH(C381,Steps!$A$5:$A$62,0)),""))</f>
        <v/>
      </c>
      <c r="E381" s="6" t="n"/>
      <c r="F381" s="8" t="n"/>
      <c r="G381" s="6" t="n"/>
      <c r="H381" s="7" t="n"/>
      <c r="I381" s="6" t="n"/>
      <c r="J381" s="9" t="n"/>
      <c r="K381" s="11">
        <f>IF(C381="","",N(IFERROR(INDEX(Steps!$E$5:$E$62,MATCH(C381,Steps!$A$5:$A$62,0)),"")))</f>
        <v/>
      </c>
      <c r="L381" s="11">
        <f>IF(AND(C381&lt;&gt;"",E381&lt;&gt;"",I381&lt;&gt;"",OR(Settings!$B$10="No",I381&lt;&gt;E381)),K381*F381,0)</f>
        <v/>
      </c>
      <c r="M381" s="11">
        <f>IF(AND(AND(C381&lt;&gt;"",E381&lt;&gt;"",I381&lt;&gt;"",OR(Settings!$B$10="No",I381&lt;&gt;E381)),G381="Paid a pro",Settings!$B$9="Yes"),MAX(0,H381-K381*F381),0)</f>
        <v/>
      </c>
      <c r="N381" s="3">
        <f>IF(C381="","",IF(B381="","Enter the boat number",IF(B381&gt;Settings!$B$6,"Boat number above the boat count",IF(SUMIFS($F$5:$F$1004,$B$5:$B$1004,B381,$C$5:$C$1004,C381)&gt;1.0001,"Shares for this step add up to over 100%",IF(I381="","Waiting for sign-off",IF(AND(Settings!$B$10="Yes",I381=E381),"Needs a different member to sign off","OK"))))))</f>
        <v/>
      </c>
    </row>
    <row r="382">
      <c r="A382" s="9" t="n"/>
      <c r="B382" s="6" t="n"/>
      <c r="C382" s="6" t="n"/>
      <c r="D382" s="3">
        <f>IF(C382="","",IFERROR(INDEX(Steps!$C$5:$C$62,MATCH(C382,Steps!$A$5:$A$62,0)),""))</f>
        <v/>
      </c>
      <c r="E382" s="6" t="n"/>
      <c r="F382" s="8" t="n"/>
      <c r="G382" s="6" t="n"/>
      <c r="H382" s="7" t="n"/>
      <c r="I382" s="6" t="n"/>
      <c r="J382" s="9" t="n"/>
      <c r="K382" s="11">
        <f>IF(C382="","",N(IFERROR(INDEX(Steps!$E$5:$E$62,MATCH(C382,Steps!$A$5:$A$62,0)),"")))</f>
        <v/>
      </c>
      <c r="L382" s="11">
        <f>IF(AND(C382&lt;&gt;"",E382&lt;&gt;"",I382&lt;&gt;"",OR(Settings!$B$10="No",I382&lt;&gt;E382)),K382*F382,0)</f>
        <v/>
      </c>
      <c r="M382" s="11">
        <f>IF(AND(AND(C382&lt;&gt;"",E382&lt;&gt;"",I382&lt;&gt;"",OR(Settings!$B$10="No",I382&lt;&gt;E382)),G382="Paid a pro",Settings!$B$9="Yes"),MAX(0,H382-K382*F382),0)</f>
        <v/>
      </c>
      <c r="N382" s="3">
        <f>IF(C382="","",IF(B382="","Enter the boat number",IF(B382&gt;Settings!$B$6,"Boat number above the boat count",IF(SUMIFS($F$5:$F$1004,$B$5:$B$1004,B382,$C$5:$C$1004,C382)&gt;1.0001,"Shares for this step add up to over 100%",IF(I382="","Waiting for sign-off",IF(AND(Settings!$B$10="Yes",I382=E382),"Needs a different member to sign off","OK"))))))</f>
        <v/>
      </c>
    </row>
    <row r="383">
      <c r="A383" s="9" t="n"/>
      <c r="B383" s="6" t="n"/>
      <c r="C383" s="6" t="n"/>
      <c r="D383" s="3">
        <f>IF(C383="","",IFERROR(INDEX(Steps!$C$5:$C$62,MATCH(C383,Steps!$A$5:$A$62,0)),""))</f>
        <v/>
      </c>
      <c r="E383" s="6" t="n"/>
      <c r="F383" s="8" t="n"/>
      <c r="G383" s="6" t="n"/>
      <c r="H383" s="7" t="n"/>
      <c r="I383" s="6" t="n"/>
      <c r="J383" s="9" t="n"/>
      <c r="K383" s="11">
        <f>IF(C383="","",N(IFERROR(INDEX(Steps!$E$5:$E$62,MATCH(C383,Steps!$A$5:$A$62,0)),"")))</f>
        <v/>
      </c>
      <c r="L383" s="11">
        <f>IF(AND(C383&lt;&gt;"",E383&lt;&gt;"",I383&lt;&gt;"",OR(Settings!$B$10="No",I383&lt;&gt;E383)),K383*F383,0)</f>
        <v/>
      </c>
      <c r="M383" s="11">
        <f>IF(AND(AND(C383&lt;&gt;"",E383&lt;&gt;"",I383&lt;&gt;"",OR(Settings!$B$10="No",I383&lt;&gt;E383)),G383="Paid a pro",Settings!$B$9="Yes"),MAX(0,H383-K383*F383),0)</f>
        <v/>
      </c>
      <c r="N383" s="3">
        <f>IF(C383="","",IF(B383="","Enter the boat number",IF(B383&gt;Settings!$B$6,"Boat number above the boat count",IF(SUMIFS($F$5:$F$1004,$B$5:$B$1004,B383,$C$5:$C$1004,C383)&gt;1.0001,"Shares for this step add up to over 100%",IF(I383="","Waiting for sign-off",IF(AND(Settings!$B$10="Yes",I383=E383),"Needs a different member to sign off","OK"))))))</f>
        <v/>
      </c>
    </row>
    <row r="384">
      <c r="A384" s="9" t="n"/>
      <c r="B384" s="6" t="n"/>
      <c r="C384" s="6" t="n"/>
      <c r="D384" s="3">
        <f>IF(C384="","",IFERROR(INDEX(Steps!$C$5:$C$62,MATCH(C384,Steps!$A$5:$A$62,0)),""))</f>
        <v/>
      </c>
      <c r="E384" s="6" t="n"/>
      <c r="F384" s="8" t="n"/>
      <c r="G384" s="6" t="n"/>
      <c r="H384" s="7" t="n"/>
      <c r="I384" s="6" t="n"/>
      <c r="J384" s="9" t="n"/>
      <c r="K384" s="11">
        <f>IF(C384="","",N(IFERROR(INDEX(Steps!$E$5:$E$62,MATCH(C384,Steps!$A$5:$A$62,0)),"")))</f>
        <v/>
      </c>
      <c r="L384" s="11">
        <f>IF(AND(C384&lt;&gt;"",E384&lt;&gt;"",I384&lt;&gt;"",OR(Settings!$B$10="No",I384&lt;&gt;E384)),K384*F384,0)</f>
        <v/>
      </c>
      <c r="M384" s="11">
        <f>IF(AND(AND(C384&lt;&gt;"",E384&lt;&gt;"",I384&lt;&gt;"",OR(Settings!$B$10="No",I384&lt;&gt;E384)),G384="Paid a pro",Settings!$B$9="Yes"),MAX(0,H384-K384*F384),0)</f>
        <v/>
      </c>
      <c r="N384" s="3">
        <f>IF(C384="","",IF(B384="","Enter the boat number",IF(B384&gt;Settings!$B$6,"Boat number above the boat count",IF(SUMIFS($F$5:$F$1004,$B$5:$B$1004,B384,$C$5:$C$1004,C384)&gt;1.0001,"Shares for this step add up to over 100%",IF(I384="","Waiting for sign-off",IF(AND(Settings!$B$10="Yes",I384=E384),"Needs a different member to sign off","OK"))))))</f>
        <v/>
      </c>
    </row>
    <row r="385">
      <c r="A385" s="9" t="n"/>
      <c r="B385" s="6" t="n"/>
      <c r="C385" s="6" t="n"/>
      <c r="D385" s="3">
        <f>IF(C385="","",IFERROR(INDEX(Steps!$C$5:$C$62,MATCH(C385,Steps!$A$5:$A$62,0)),""))</f>
        <v/>
      </c>
      <c r="E385" s="6" t="n"/>
      <c r="F385" s="8" t="n"/>
      <c r="G385" s="6" t="n"/>
      <c r="H385" s="7" t="n"/>
      <c r="I385" s="6" t="n"/>
      <c r="J385" s="9" t="n"/>
      <c r="K385" s="11">
        <f>IF(C385="","",N(IFERROR(INDEX(Steps!$E$5:$E$62,MATCH(C385,Steps!$A$5:$A$62,0)),"")))</f>
        <v/>
      </c>
      <c r="L385" s="11">
        <f>IF(AND(C385&lt;&gt;"",E385&lt;&gt;"",I385&lt;&gt;"",OR(Settings!$B$10="No",I385&lt;&gt;E385)),K385*F385,0)</f>
        <v/>
      </c>
      <c r="M385" s="11">
        <f>IF(AND(AND(C385&lt;&gt;"",E385&lt;&gt;"",I385&lt;&gt;"",OR(Settings!$B$10="No",I385&lt;&gt;E385)),G385="Paid a pro",Settings!$B$9="Yes"),MAX(0,H385-K385*F385),0)</f>
        <v/>
      </c>
      <c r="N385" s="3">
        <f>IF(C385="","",IF(B385="","Enter the boat number",IF(B385&gt;Settings!$B$6,"Boat number above the boat count",IF(SUMIFS($F$5:$F$1004,$B$5:$B$1004,B385,$C$5:$C$1004,C385)&gt;1.0001,"Shares for this step add up to over 100%",IF(I385="","Waiting for sign-off",IF(AND(Settings!$B$10="Yes",I385=E385),"Needs a different member to sign off","OK"))))))</f>
        <v/>
      </c>
    </row>
    <row r="386">
      <c r="A386" s="9" t="n"/>
      <c r="B386" s="6" t="n"/>
      <c r="C386" s="6" t="n"/>
      <c r="D386" s="3">
        <f>IF(C386="","",IFERROR(INDEX(Steps!$C$5:$C$62,MATCH(C386,Steps!$A$5:$A$62,0)),""))</f>
        <v/>
      </c>
      <c r="E386" s="6" t="n"/>
      <c r="F386" s="8" t="n"/>
      <c r="G386" s="6" t="n"/>
      <c r="H386" s="7" t="n"/>
      <c r="I386" s="6" t="n"/>
      <c r="J386" s="9" t="n"/>
      <c r="K386" s="11">
        <f>IF(C386="","",N(IFERROR(INDEX(Steps!$E$5:$E$62,MATCH(C386,Steps!$A$5:$A$62,0)),"")))</f>
        <v/>
      </c>
      <c r="L386" s="11">
        <f>IF(AND(C386&lt;&gt;"",E386&lt;&gt;"",I386&lt;&gt;"",OR(Settings!$B$10="No",I386&lt;&gt;E386)),K386*F386,0)</f>
        <v/>
      </c>
      <c r="M386" s="11">
        <f>IF(AND(AND(C386&lt;&gt;"",E386&lt;&gt;"",I386&lt;&gt;"",OR(Settings!$B$10="No",I386&lt;&gt;E386)),G386="Paid a pro",Settings!$B$9="Yes"),MAX(0,H386-K386*F386),0)</f>
        <v/>
      </c>
      <c r="N386" s="3">
        <f>IF(C386="","",IF(B386="","Enter the boat number",IF(B386&gt;Settings!$B$6,"Boat number above the boat count",IF(SUMIFS($F$5:$F$1004,$B$5:$B$1004,B386,$C$5:$C$1004,C386)&gt;1.0001,"Shares for this step add up to over 100%",IF(I386="","Waiting for sign-off",IF(AND(Settings!$B$10="Yes",I386=E386),"Needs a different member to sign off","OK"))))))</f>
        <v/>
      </c>
    </row>
    <row r="387">
      <c r="A387" s="9" t="n"/>
      <c r="B387" s="6" t="n"/>
      <c r="C387" s="6" t="n"/>
      <c r="D387" s="3">
        <f>IF(C387="","",IFERROR(INDEX(Steps!$C$5:$C$62,MATCH(C387,Steps!$A$5:$A$62,0)),""))</f>
        <v/>
      </c>
      <c r="E387" s="6" t="n"/>
      <c r="F387" s="8" t="n"/>
      <c r="G387" s="6" t="n"/>
      <c r="H387" s="7" t="n"/>
      <c r="I387" s="6" t="n"/>
      <c r="J387" s="9" t="n"/>
      <c r="K387" s="11">
        <f>IF(C387="","",N(IFERROR(INDEX(Steps!$E$5:$E$62,MATCH(C387,Steps!$A$5:$A$62,0)),"")))</f>
        <v/>
      </c>
      <c r="L387" s="11">
        <f>IF(AND(C387&lt;&gt;"",E387&lt;&gt;"",I387&lt;&gt;"",OR(Settings!$B$10="No",I387&lt;&gt;E387)),K387*F387,0)</f>
        <v/>
      </c>
      <c r="M387" s="11">
        <f>IF(AND(AND(C387&lt;&gt;"",E387&lt;&gt;"",I387&lt;&gt;"",OR(Settings!$B$10="No",I387&lt;&gt;E387)),G387="Paid a pro",Settings!$B$9="Yes"),MAX(0,H387-K387*F387),0)</f>
        <v/>
      </c>
      <c r="N387" s="3">
        <f>IF(C387="","",IF(B387="","Enter the boat number",IF(B387&gt;Settings!$B$6,"Boat number above the boat count",IF(SUMIFS($F$5:$F$1004,$B$5:$B$1004,B387,$C$5:$C$1004,C387)&gt;1.0001,"Shares for this step add up to over 100%",IF(I387="","Waiting for sign-off",IF(AND(Settings!$B$10="Yes",I387=E387),"Needs a different member to sign off","OK"))))))</f>
        <v/>
      </c>
    </row>
    <row r="388">
      <c r="A388" s="9" t="n"/>
      <c r="B388" s="6" t="n"/>
      <c r="C388" s="6" t="n"/>
      <c r="D388" s="3">
        <f>IF(C388="","",IFERROR(INDEX(Steps!$C$5:$C$62,MATCH(C388,Steps!$A$5:$A$62,0)),""))</f>
        <v/>
      </c>
      <c r="E388" s="6" t="n"/>
      <c r="F388" s="8" t="n"/>
      <c r="G388" s="6" t="n"/>
      <c r="H388" s="7" t="n"/>
      <c r="I388" s="6" t="n"/>
      <c r="J388" s="9" t="n"/>
      <c r="K388" s="11">
        <f>IF(C388="","",N(IFERROR(INDEX(Steps!$E$5:$E$62,MATCH(C388,Steps!$A$5:$A$62,0)),"")))</f>
        <v/>
      </c>
      <c r="L388" s="11">
        <f>IF(AND(C388&lt;&gt;"",E388&lt;&gt;"",I388&lt;&gt;"",OR(Settings!$B$10="No",I388&lt;&gt;E388)),K388*F388,0)</f>
        <v/>
      </c>
      <c r="M388" s="11">
        <f>IF(AND(AND(C388&lt;&gt;"",E388&lt;&gt;"",I388&lt;&gt;"",OR(Settings!$B$10="No",I388&lt;&gt;E388)),G388="Paid a pro",Settings!$B$9="Yes"),MAX(0,H388-K388*F388),0)</f>
        <v/>
      </c>
      <c r="N388" s="3">
        <f>IF(C388="","",IF(B388="","Enter the boat number",IF(B388&gt;Settings!$B$6,"Boat number above the boat count",IF(SUMIFS($F$5:$F$1004,$B$5:$B$1004,B388,$C$5:$C$1004,C388)&gt;1.0001,"Shares for this step add up to over 100%",IF(I388="","Waiting for sign-off",IF(AND(Settings!$B$10="Yes",I388=E388),"Needs a different member to sign off","OK"))))))</f>
        <v/>
      </c>
    </row>
    <row r="389">
      <c r="A389" s="9" t="n"/>
      <c r="B389" s="6" t="n"/>
      <c r="C389" s="6" t="n"/>
      <c r="D389" s="3">
        <f>IF(C389="","",IFERROR(INDEX(Steps!$C$5:$C$62,MATCH(C389,Steps!$A$5:$A$62,0)),""))</f>
        <v/>
      </c>
      <c r="E389" s="6" t="n"/>
      <c r="F389" s="8" t="n"/>
      <c r="G389" s="6" t="n"/>
      <c r="H389" s="7" t="n"/>
      <c r="I389" s="6" t="n"/>
      <c r="J389" s="9" t="n"/>
      <c r="K389" s="11">
        <f>IF(C389="","",N(IFERROR(INDEX(Steps!$E$5:$E$62,MATCH(C389,Steps!$A$5:$A$62,0)),"")))</f>
        <v/>
      </c>
      <c r="L389" s="11">
        <f>IF(AND(C389&lt;&gt;"",E389&lt;&gt;"",I389&lt;&gt;"",OR(Settings!$B$10="No",I389&lt;&gt;E389)),K389*F389,0)</f>
        <v/>
      </c>
      <c r="M389" s="11">
        <f>IF(AND(AND(C389&lt;&gt;"",E389&lt;&gt;"",I389&lt;&gt;"",OR(Settings!$B$10="No",I389&lt;&gt;E389)),G389="Paid a pro",Settings!$B$9="Yes"),MAX(0,H389-K389*F389),0)</f>
        <v/>
      </c>
      <c r="N389" s="3">
        <f>IF(C389="","",IF(B389="","Enter the boat number",IF(B389&gt;Settings!$B$6,"Boat number above the boat count",IF(SUMIFS($F$5:$F$1004,$B$5:$B$1004,B389,$C$5:$C$1004,C389)&gt;1.0001,"Shares for this step add up to over 100%",IF(I389="","Waiting for sign-off",IF(AND(Settings!$B$10="Yes",I389=E389),"Needs a different member to sign off","OK"))))))</f>
        <v/>
      </c>
    </row>
    <row r="390">
      <c r="A390" s="9" t="n"/>
      <c r="B390" s="6" t="n"/>
      <c r="C390" s="6" t="n"/>
      <c r="D390" s="3">
        <f>IF(C390="","",IFERROR(INDEX(Steps!$C$5:$C$62,MATCH(C390,Steps!$A$5:$A$62,0)),""))</f>
        <v/>
      </c>
      <c r="E390" s="6" t="n"/>
      <c r="F390" s="8" t="n"/>
      <c r="G390" s="6" t="n"/>
      <c r="H390" s="7" t="n"/>
      <c r="I390" s="6" t="n"/>
      <c r="J390" s="9" t="n"/>
      <c r="K390" s="11">
        <f>IF(C390="","",N(IFERROR(INDEX(Steps!$E$5:$E$62,MATCH(C390,Steps!$A$5:$A$62,0)),"")))</f>
        <v/>
      </c>
      <c r="L390" s="11">
        <f>IF(AND(C390&lt;&gt;"",E390&lt;&gt;"",I390&lt;&gt;"",OR(Settings!$B$10="No",I390&lt;&gt;E390)),K390*F390,0)</f>
        <v/>
      </c>
      <c r="M390" s="11">
        <f>IF(AND(AND(C390&lt;&gt;"",E390&lt;&gt;"",I390&lt;&gt;"",OR(Settings!$B$10="No",I390&lt;&gt;E390)),G390="Paid a pro",Settings!$B$9="Yes"),MAX(0,H390-K390*F390),0)</f>
        <v/>
      </c>
      <c r="N390" s="3">
        <f>IF(C390="","",IF(B390="","Enter the boat number",IF(B390&gt;Settings!$B$6,"Boat number above the boat count",IF(SUMIFS($F$5:$F$1004,$B$5:$B$1004,B390,$C$5:$C$1004,C390)&gt;1.0001,"Shares for this step add up to over 100%",IF(I390="","Waiting for sign-off",IF(AND(Settings!$B$10="Yes",I390=E390),"Needs a different member to sign off","OK"))))))</f>
        <v/>
      </c>
    </row>
    <row r="391">
      <c r="A391" s="9" t="n"/>
      <c r="B391" s="6" t="n"/>
      <c r="C391" s="6" t="n"/>
      <c r="D391" s="3">
        <f>IF(C391="","",IFERROR(INDEX(Steps!$C$5:$C$62,MATCH(C391,Steps!$A$5:$A$62,0)),""))</f>
        <v/>
      </c>
      <c r="E391" s="6" t="n"/>
      <c r="F391" s="8" t="n"/>
      <c r="G391" s="6" t="n"/>
      <c r="H391" s="7" t="n"/>
      <c r="I391" s="6" t="n"/>
      <c r="J391" s="9" t="n"/>
      <c r="K391" s="11">
        <f>IF(C391="","",N(IFERROR(INDEX(Steps!$E$5:$E$62,MATCH(C391,Steps!$A$5:$A$62,0)),"")))</f>
        <v/>
      </c>
      <c r="L391" s="11">
        <f>IF(AND(C391&lt;&gt;"",E391&lt;&gt;"",I391&lt;&gt;"",OR(Settings!$B$10="No",I391&lt;&gt;E391)),K391*F391,0)</f>
        <v/>
      </c>
      <c r="M391" s="11">
        <f>IF(AND(AND(C391&lt;&gt;"",E391&lt;&gt;"",I391&lt;&gt;"",OR(Settings!$B$10="No",I391&lt;&gt;E391)),G391="Paid a pro",Settings!$B$9="Yes"),MAX(0,H391-K391*F391),0)</f>
        <v/>
      </c>
      <c r="N391" s="3">
        <f>IF(C391="","",IF(B391="","Enter the boat number",IF(B391&gt;Settings!$B$6,"Boat number above the boat count",IF(SUMIFS($F$5:$F$1004,$B$5:$B$1004,B391,$C$5:$C$1004,C391)&gt;1.0001,"Shares for this step add up to over 100%",IF(I391="","Waiting for sign-off",IF(AND(Settings!$B$10="Yes",I391=E391),"Needs a different member to sign off","OK"))))))</f>
        <v/>
      </c>
    </row>
    <row r="392">
      <c r="A392" s="9" t="n"/>
      <c r="B392" s="6" t="n"/>
      <c r="C392" s="6" t="n"/>
      <c r="D392" s="3">
        <f>IF(C392="","",IFERROR(INDEX(Steps!$C$5:$C$62,MATCH(C392,Steps!$A$5:$A$62,0)),""))</f>
        <v/>
      </c>
      <c r="E392" s="6" t="n"/>
      <c r="F392" s="8" t="n"/>
      <c r="G392" s="6" t="n"/>
      <c r="H392" s="7" t="n"/>
      <c r="I392" s="6" t="n"/>
      <c r="J392" s="9" t="n"/>
      <c r="K392" s="11">
        <f>IF(C392="","",N(IFERROR(INDEX(Steps!$E$5:$E$62,MATCH(C392,Steps!$A$5:$A$62,0)),"")))</f>
        <v/>
      </c>
      <c r="L392" s="11">
        <f>IF(AND(C392&lt;&gt;"",E392&lt;&gt;"",I392&lt;&gt;"",OR(Settings!$B$10="No",I392&lt;&gt;E392)),K392*F392,0)</f>
        <v/>
      </c>
      <c r="M392" s="11">
        <f>IF(AND(AND(C392&lt;&gt;"",E392&lt;&gt;"",I392&lt;&gt;"",OR(Settings!$B$10="No",I392&lt;&gt;E392)),G392="Paid a pro",Settings!$B$9="Yes"),MAX(0,H392-K392*F392),0)</f>
        <v/>
      </c>
      <c r="N392" s="3">
        <f>IF(C392="","",IF(B392="","Enter the boat number",IF(B392&gt;Settings!$B$6,"Boat number above the boat count",IF(SUMIFS($F$5:$F$1004,$B$5:$B$1004,B392,$C$5:$C$1004,C392)&gt;1.0001,"Shares for this step add up to over 100%",IF(I392="","Waiting for sign-off",IF(AND(Settings!$B$10="Yes",I392=E392),"Needs a different member to sign off","OK"))))))</f>
        <v/>
      </c>
    </row>
    <row r="393">
      <c r="A393" s="9" t="n"/>
      <c r="B393" s="6" t="n"/>
      <c r="C393" s="6" t="n"/>
      <c r="D393" s="3">
        <f>IF(C393="","",IFERROR(INDEX(Steps!$C$5:$C$62,MATCH(C393,Steps!$A$5:$A$62,0)),""))</f>
        <v/>
      </c>
      <c r="E393" s="6" t="n"/>
      <c r="F393" s="8" t="n"/>
      <c r="G393" s="6" t="n"/>
      <c r="H393" s="7" t="n"/>
      <c r="I393" s="6" t="n"/>
      <c r="J393" s="9" t="n"/>
      <c r="K393" s="11">
        <f>IF(C393="","",N(IFERROR(INDEX(Steps!$E$5:$E$62,MATCH(C393,Steps!$A$5:$A$62,0)),"")))</f>
        <v/>
      </c>
      <c r="L393" s="11">
        <f>IF(AND(C393&lt;&gt;"",E393&lt;&gt;"",I393&lt;&gt;"",OR(Settings!$B$10="No",I393&lt;&gt;E393)),K393*F393,0)</f>
        <v/>
      </c>
      <c r="M393" s="11">
        <f>IF(AND(AND(C393&lt;&gt;"",E393&lt;&gt;"",I393&lt;&gt;"",OR(Settings!$B$10="No",I393&lt;&gt;E393)),G393="Paid a pro",Settings!$B$9="Yes"),MAX(0,H393-K393*F393),0)</f>
        <v/>
      </c>
      <c r="N393" s="3">
        <f>IF(C393="","",IF(B393="","Enter the boat number",IF(B393&gt;Settings!$B$6,"Boat number above the boat count",IF(SUMIFS($F$5:$F$1004,$B$5:$B$1004,B393,$C$5:$C$1004,C393)&gt;1.0001,"Shares for this step add up to over 100%",IF(I393="","Waiting for sign-off",IF(AND(Settings!$B$10="Yes",I393=E393),"Needs a different member to sign off","OK"))))))</f>
        <v/>
      </c>
    </row>
    <row r="394">
      <c r="A394" s="9" t="n"/>
      <c r="B394" s="6" t="n"/>
      <c r="C394" s="6" t="n"/>
      <c r="D394" s="3">
        <f>IF(C394="","",IFERROR(INDEX(Steps!$C$5:$C$62,MATCH(C394,Steps!$A$5:$A$62,0)),""))</f>
        <v/>
      </c>
      <c r="E394" s="6" t="n"/>
      <c r="F394" s="8" t="n"/>
      <c r="G394" s="6" t="n"/>
      <c r="H394" s="7" t="n"/>
      <c r="I394" s="6" t="n"/>
      <c r="J394" s="9" t="n"/>
      <c r="K394" s="11">
        <f>IF(C394="","",N(IFERROR(INDEX(Steps!$E$5:$E$62,MATCH(C394,Steps!$A$5:$A$62,0)),"")))</f>
        <v/>
      </c>
      <c r="L394" s="11">
        <f>IF(AND(C394&lt;&gt;"",E394&lt;&gt;"",I394&lt;&gt;"",OR(Settings!$B$10="No",I394&lt;&gt;E394)),K394*F394,0)</f>
        <v/>
      </c>
      <c r="M394" s="11">
        <f>IF(AND(AND(C394&lt;&gt;"",E394&lt;&gt;"",I394&lt;&gt;"",OR(Settings!$B$10="No",I394&lt;&gt;E394)),G394="Paid a pro",Settings!$B$9="Yes"),MAX(0,H394-K394*F394),0)</f>
        <v/>
      </c>
      <c r="N394" s="3">
        <f>IF(C394="","",IF(B394="","Enter the boat number",IF(B394&gt;Settings!$B$6,"Boat number above the boat count",IF(SUMIFS($F$5:$F$1004,$B$5:$B$1004,B394,$C$5:$C$1004,C394)&gt;1.0001,"Shares for this step add up to over 100%",IF(I394="","Waiting for sign-off",IF(AND(Settings!$B$10="Yes",I394=E394),"Needs a different member to sign off","OK"))))))</f>
        <v/>
      </c>
    </row>
    <row r="395">
      <c r="A395" s="9" t="n"/>
      <c r="B395" s="6" t="n"/>
      <c r="C395" s="6" t="n"/>
      <c r="D395" s="3">
        <f>IF(C395="","",IFERROR(INDEX(Steps!$C$5:$C$62,MATCH(C395,Steps!$A$5:$A$62,0)),""))</f>
        <v/>
      </c>
      <c r="E395" s="6" t="n"/>
      <c r="F395" s="8" t="n"/>
      <c r="G395" s="6" t="n"/>
      <c r="H395" s="7" t="n"/>
      <c r="I395" s="6" t="n"/>
      <c r="J395" s="9" t="n"/>
      <c r="K395" s="11">
        <f>IF(C395="","",N(IFERROR(INDEX(Steps!$E$5:$E$62,MATCH(C395,Steps!$A$5:$A$62,0)),"")))</f>
        <v/>
      </c>
      <c r="L395" s="11">
        <f>IF(AND(C395&lt;&gt;"",E395&lt;&gt;"",I395&lt;&gt;"",OR(Settings!$B$10="No",I395&lt;&gt;E395)),K395*F395,0)</f>
        <v/>
      </c>
      <c r="M395" s="11">
        <f>IF(AND(AND(C395&lt;&gt;"",E395&lt;&gt;"",I395&lt;&gt;"",OR(Settings!$B$10="No",I395&lt;&gt;E395)),G395="Paid a pro",Settings!$B$9="Yes"),MAX(0,H395-K395*F395),0)</f>
        <v/>
      </c>
      <c r="N395" s="3">
        <f>IF(C395="","",IF(B395="","Enter the boat number",IF(B395&gt;Settings!$B$6,"Boat number above the boat count",IF(SUMIFS($F$5:$F$1004,$B$5:$B$1004,B395,$C$5:$C$1004,C395)&gt;1.0001,"Shares for this step add up to over 100%",IF(I395="","Waiting for sign-off",IF(AND(Settings!$B$10="Yes",I395=E395),"Needs a different member to sign off","OK"))))))</f>
        <v/>
      </c>
    </row>
    <row r="396">
      <c r="A396" s="9" t="n"/>
      <c r="B396" s="6" t="n"/>
      <c r="C396" s="6" t="n"/>
      <c r="D396" s="3">
        <f>IF(C396="","",IFERROR(INDEX(Steps!$C$5:$C$62,MATCH(C396,Steps!$A$5:$A$62,0)),""))</f>
        <v/>
      </c>
      <c r="E396" s="6" t="n"/>
      <c r="F396" s="8" t="n"/>
      <c r="G396" s="6" t="n"/>
      <c r="H396" s="7" t="n"/>
      <c r="I396" s="6" t="n"/>
      <c r="J396" s="9" t="n"/>
      <c r="K396" s="11">
        <f>IF(C396="","",N(IFERROR(INDEX(Steps!$E$5:$E$62,MATCH(C396,Steps!$A$5:$A$62,0)),"")))</f>
        <v/>
      </c>
      <c r="L396" s="11">
        <f>IF(AND(C396&lt;&gt;"",E396&lt;&gt;"",I396&lt;&gt;"",OR(Settings!$B$10="No",I396&lt;&gt;E396)),K396*F396,0)</f>
        <v/>
      </c>
      <c r="M396" s="11">
        <f>IF(AND(AND(C396&lt;&gt;"",E396&lt;&gt;"",I396&lt;&gt;"",OR(Settings!$B$10="No",I396&lt;&gt;E396)),G396="Paid a pro",Settings!$B$9="Yes"),MAX(0,H396-K396*F396),0)</f>
        <v/>
      </c>
      <c r="N396" s="3">
        <f>IF(C396="","",IF(B396="","Enter the boat number",IF(B396&gt;Settings!$B$6,"Boat number above the boat count",IF(SUMIFS($F$5:$F$1004,$B$5:$B$1004,B396,$C$5:$C$1004,C396)&gt;1.0001,"Shares for this step add up to over 100%",IF(I396="","Waiting for sign-off",IF(AND(Settings!$B$10="Yes",I396=E396),"Needs a different member to sign off","OK"))))))</f>
        <v/>
      </c>
    </row>
    <row r="397">
      <c r="A397" s="9" t="n"/>
      <c r="B397" s="6" t="n"/>
      <c r="C397" s="6" t="n"/>
      <c r="D397" s="3">
        <f>IF(C397="","",IFERROR(INDEX(Steps!$C$5:$C$62,MATCH(C397,Steps!$A$5:$A$62,0)),""))</f>
        <v/>
      </c>
      <c r="E397" s="6" t="n"/>
      <c r="F397" s="8" t="n"/>
      <c r="G397" s="6" t="n"/>
      <c r="H397" s="7" t="n"/>
      <c r="I397" s="6" t="n"/>
      <c r="J397" s="9" t="n"/>
      <c r="K397" s="11">
        <f>IF(C397="","",N(IFERROR(INDEX(Steps!$E$5:$E$62,MATCH(C397,Steps!$A$5:$A$62,0)),"")))</f>
        <v/>
      </c>
      <c r="L397" s="11">
        <f>IF(AND(C397&lt;&gt;"",E397&lt;&gt;"",I397&lt;&gt;"",OR(Settings!$B$10="No",I397&lt;&gt;E397)),K397*F397,0)</f>
        <v/>
      </c>
      <c r="M397" s="11">
        <f>IF(AND(AND(C397&lt;&gt;"",E397&lt;&gt;"",I397&lt;&gt;"",OR(Settings!$B$10="No",I397&lt;&gt;E397)),G397="Paid a pro",Settings!$B$9="Yes"),MAX(0,H397-K397*F397),0)</f>
        <v/>
      </c>
      <c r="N397" s="3">
        <f>IF(C397="","",IF(B397="","Enter the boat number",IF(B397&gt;Settings!$B$6,"Boat number above the boat count",IF(SUMIFS($F$5:$F$1004,$B$5:$B$1004,B397,$C$5:$C$1004,C397)&gt;1.0001,"Shares for this step add up to over 100%",IF(I397="","Waiting for sign-off",IF(AND(Settings!$B$10="Yes",I397=E397),"Needs a different member to sign off","OK"))))))</f>
        <v/>
      </c>
    </row>
    <row r="398">
      <c r="A398" s="9" t="n"/>
      <c r="B398" s="6" t="n"/>
      <c r="C398" s="6" t="n"/>
      <c r="D398" s="3">
        <f>IF(C398="","",IFERROR(INDEX(Steps!$C$5:$C$62,MATCH(C398,Steps!$A$5:$A$62,0)),""))</f>
        <v/>
      </c>
      <c r="E398" s="6" t="n"/>
      <c r="F398" s="8" t="n"/>
      <c r="G398" s="6" t="n"/>
      <c r="H398" s="7" t="n"/>
      <c r="I398" s="6" t="n"/>
      <c r="J398" s="9" t="n"/>
      <c r="K398" s="11">
        <f>IF(C398="","",N(IFERROR(INDEX(Steps!$E$5:$E$62,MATCH(C398,Steps!$A$5:$A$62,0)),"")))</f>
        <v/>
      </c>
      <c r="L398" s="11">
        <f>IF(AND(C398&lt;&gt;"",E398&lt;&gt;"",I398&lt;&gt;"",OR(Settings!$B$10="No",I398&lt;&gt;E398)),K398*F398,0)</f>
        <v/>
      </c>
      <c r="M398" s="11">
        <f>IF(AND(AND(C398&lt;&gt;"",E398&lt;&gt;"",I398&lt;&gt;"",OR(Settings!$B$10="No",I398&lt;&gt;E398)),G398="Paid a pro",Settings!$B$9="Yes"),MAX(0,H398-K398*F398),0)</f>
        <v/>
      </c>
      <c r="N398" s="3">
        <f>IF(C398="","",IF(B398="","Enter the boat number",IF(B398&gt;Settings!$B$6,"Boat number above the boat count",IF(SUMIFS($F$5:$F$1004,$B$5:$B$1004,B398,$C$5:$C$1004,C398)&gt;1.0001,"Shares for this step add up to over 100%",IF(I398="","Waiting for sign-off",IF(AND(Settings!$B$10="Yes",I398=E398),"Needs a different member to sign off","OK"))))))</f>
        <v/>
      </c>
    </row>
    <row r="399">
      <c r="A399" s="9" t="n"/>
      <c r="B399" s="6" t="n"/>
      <c r="C399" s="6" t="n"/>
      <c r="D399" s="3">
        <f>IF(C399="","",IFERROR(INDEX(Steps!$C$5:$C$62,MATCH(C399,Steps!$A$5:$A$62,0)),""))</f>
        <v/>
      </c>
      <c r="E399" s="6" t="n"/>
      <c r="F399" s="8" t="n"/>
      <c r="G399" s="6" t="n"/>
      <c r="H399" s="7" t="n"/>
      <c r="I399" s="6" t="n"/>
      <c r="J399" s="9" t="n"/>
      <c r="K399" s="11">
        <f>IF(C399="","",N(IFERROR(INDEX(Steps!$E$5:$E$62,MATCH(C399,Steps!$A$5:$A$62,0)),"")))</f>
        <v/>
      </c>
      <c r="L399" s="11">
        <f>IF(AND(C399&lt;&gt;"",E399&lt;&gt;"",I399&lt;&gt;"",OR(Settings!$B$10="No",I399&lt;&gt;E399)),K399*F399,0)</f>
        <v/>
      </c>
      <c r="M399" s="11">
        <f>IF(AND(AND(C399&lt;&gt;"",E399&lt;&gt;"",I399&lt;&gt;"",OR(Settings!$B$10="No",I399&lt;&gt;E399)),G399="Paid a pro",Settings!$B$9="Yes"),MAX(0,H399-K399*F399),0)</f>
        <v/>
      </c>
      <c r="N399" s="3">
        <f>IF(C399="","",IF(B399="","Enter the boat number",IF(B399&gt;Settings!$B$6,"Boat number above the boat count",IF(SUMIFS($F$5:$F$1004,$B$5:$B$1004,B399,$C$5:$C$1004,C399)&gt;1.0001,"Shares for this step add up to over 100%",IF(I399="","Waiting for sign-off",IF(AND(Settings!$B$10="Yes",I399=E399),"Needs a different member to sign off","OK"))))))</f>
        <v/>
      </c>
    </row>
    <row r="400">
      <c r="A400" s="9" t="n"/>
      <c r="B400" s="6" t="n"/>
      <c r="C400" s="6" t="n"/>
      <c r="D400" s="3">
        <f>IF(C400="","",IFERROR(INDEX(Steps!$C$5:$C$62,MATCH(C400,Steps!$A$5:$A$62,0)),""))</f>
        <v/>
      </c>
      <c r="E400" s="6" t="n"/>
      <c r="F400" s="8" t="n"/>
      <c r="G400" s="6" t="n"/>
      <c r="H400" s="7" t="n"/>
      <c r="I400" s="6" t="n"/>
      <c r="J400" s="9" t="n"/>
      <c r="K400" s="11">
        <f>IF(C400="","",N(IFERROR(INDEX(Steps!$E$5:$E$62,MATCH(C400,Steps!$A$5:$A$62,0)),"")))</f>
        <v/>
      </c>
      <c r="L400" s="11">
        <f>IF(AND(C400&lt;&gt;"",E400&lt;&gt;"",I400&lt;&gt;"",OR(Settings!$B$10="No",I400&lt;&gt;E400)),K400*F400,0)</f>
        <v/>
      </c>
      <c r="M400" s="11">
        <f>IF(AND(AND(C400&lt;&gt;"",E400&lt;&gt;"",I400&lt;&gt;"",OR(Settings!$B$10="No",I400&lt;&gt;E400)),G400="Paid a pro",Settings!$B$9="Yes"),MAX(0,H400-K400*F400),0)</f>
        <v/>
      </c>
      <c r="N400" s="3">
        <f>IF(C400="","",IF(B400="","Enter the boat number",IF(B400&gt;Settings!$B$6,"Boat number above the boat count",IF(SUMIFS($F$5:$F$1004,$B$5:$B$1004,B400,$C$5:$C$1004,C400)&gt;1.0001,"Shares for this step add up to over 100%",IF(I400="","Waiting for sign-off",IF(AND(Settings!$B$10="Yes",I400=E400),"Needs a different member to sign off","OK"))))))</f>
        <v/>
      </c>
    </row>
    <row r="401">
      <c r="A401" s="9" t="n"/>
      <c r="B401" s="6" t="n"/>
      <c r="C401" s="6" t="n"/>
      <c r="D401" s="3">
        <f>IF(C401="","",IFERROR(INDEX(Steps!$C$5:$C$62,MATCH(C401,Steps!$A$5:$A$62,0)),""))</f>
        <v/>
      </c>
      <c r="E401" s="6" t="n"/>
      <c r="F401" s="8" t="n"/>
      <c r="G401" s="6" t="n"/>
      <c r="H401" s="7" t="n"/>
      <c r="I401" s="6" t="n"/>
      <c r="J401" s="9" t="n"/>
      <c r="K401" s="11">
        <f>IF(C401="","",N(IFERROR(INDEX(Steps!$E$5:$E$62,MATCH(C401,Steps!$A$5:$A$62,0)),"")))</f>
        <v/>
      </c>
      <c r="L401" s="11">
        <f>IF(AND(C401&lt;&gt;"",E401&lt;&gt;"",I401&lt;&gt;"",OR(Settings!$B$10="No",I401&lt;&gt;E401)),K401*F401,0)</f>
        <v/>
      </c>
      <c r="M401" s="11">
        <f>IF(AND(AND(C401&lt;&gt;"",E401&lt;&gt;"",I401&lt;&gt;"",OR(Settings!$B$10="No",I401&lt;&gt;E401)),G401="Paid a pro",Settings!$B$9="Yes"),MAX(0,H401-K401*F401),0)</f>
        <v/>
      </c>
      <c r="N401" s="3">
        <f>IF(C401="","",IF(B401="","Enter the boat number",IF(B401&gt;Settings!$B$6,"Boat number above the boat count",IF(SUMIFS($F$5:$F$1004,$B$5:$B$1004,B401,$C$5:$C$1004,C401)&gt;1.0001,"Shares for this step add up to over 100%",IF(I401="","Waiting for sign-off",IF(AND(Settings!$B$10="Yes",I401=E401),"Needs a different member to sign off","OK"))))))</f>
        <v/>
      </c>
    </row>
    <row r="402">
      <c r="A402" s="9" t="n"/>
      <c r="B402" s="6" t="n"/>
      <c r="C402" s="6" t="n"/>
      <c r="D402" s="3">
        <f>IF(C402="","",IFERROR(INDEX(Steps!$C$5:$C$62,MATCH(C402,Steps!$A$5:$A$62,0)),""))</f>
        <v/>
      </c>
      <c r="E402" s="6" t="n"/>
      <c r="F402" s="8" t="n"/>
      <c r="G402" s="6" t="n"/>
      <c r="H402" s="7" t="n"/>
      <c r="I402" s="6" t="n"/>
      <c r="J402" s="9" t="n"/>
      <c r="K402" s="11">
        <f>IF(C402="","",N(IFERROR(INDEX(Steps!$E$5:$E$62,MATCH(C402,Steps!$A$5:$A$62,0)),"")))</f>
        <v/>
      </c>
      <c r="L402" s="11">
        <f>IF(AND(C402&lt;&gt;"",E402&lt;&gt;"",I402&lt;&gt;"",OR(Settings!$B$10="No",I402&lt;&gt;E402)),K402*F402,0)</f>
        <v/>
      </c>
      <c r="M402" s="11">
        <f>IF(AND(AND(C402&lt;&gt;"",E402&lt;&gt;"",I402&lt;&gt;"",OR(Settings!$B$10="No",I402&lt;&gt;E402)),G402="Paid a pro",Settings!$B$9="Yes"),MAX(0,H402-K402*F402),0)</f>
        <v/>
      </c>
      <c r="N402" s="3">
        <f>IF(C402="","",IF(B402="","Enter the boat number",IF(B402&gt;Settings!$B$6,"Boat number above the boat count",IF(SUMIFS($F$5:$F$1004,$B$5:$B$1004,B402,$C$5:$C$1004,C402)&gt;1.0001,"Shares for this step add up to over 100%",IF(I402="","Waiting for sign-off",IF(AND(Settings!$B$10="Yes",I402=E402),"Needs a different member to sign off","OK"))))))</f>
        <v/>
      </c>
    </row>
    <row r="403">
      <c r="A403" s="9" t="n"/>
      <c r="B403" s="6" t="n"/>
      <c r="C403" s="6" t="n"/>
      <c r="D403" s="3">
        <f>IF(C403="","",IFERROR(INDEX(Steps!$C$5:$C$62,MATCH(C403,Steps!$A$5:$A$62,0)),""))</f>
        <v/>
      </c>
      <c r="E403" s="6" t="n"/>
      <c r="F403" s="8" t="n"/>
      <c r="G403" s="6" t="n"/>
      <c r="H403" s="7" t="n"/>
      <c r="I403" s="6" t="n"/>
      <c r="J403" s="9" t="n"/>
      <c r="K403" s="11">
        <f>IF(C403="","",N(IFERROR(INDEX(Steps!$E$5:$E$62,MATCH(C403,Steps!$A$5:$A$62,0)),"")))</f>
        <v/>
      </c>
      <c r="L403" s="11">
        <f>IF(AND(C403&lt;&gt;"",E403&lt;&gt;"",I403&lt;&gt;"",OR(Settings!$B$10="No",I403&lt;&gt;E403)),K403*F403,0)</f>
        <v/>
      </c>
      <c r="M403" s="11">
        <f>IF(AND(AND(C403&lt;&gt;"",E403&lt;&gt;"",I403&lt;&gt;"",OR(Settings!$B$10="No",I403&lt;&gt;E403)),G403="Paid a pro",Settings!$B$9="Yes"),MAX(0,H403-K403*F403),0)</f>
        <v/>
      </c>
      <c r="N403" s="3">
        <f>IF(C403="","",IF(B403="","Enter the boat number",IF(B403&gt;Settings!$B$6,"Boat number above the boat count",IF(SUMIFS($F$5:$F$1004,$B$5:$B$1004,B403,$C$5:$C$1004,C403)&gt;1.0001,"Shares for this step add up to over 100%",IF(I403="","Waiting for sign-off",IF(AND(Settings!$B$10="Yes",I403=E403),"Needs a different member to sign off","OK"))))))</f>
        <v/>
      </c>
    </row>
    <row r="404">
      <c r="A404" s="9" t="n"/>
      <c r="B404" s="6" t="n"/>
      <c r="C404" s="6" t="n"/>
      <c r="D404" s="3">
        <f>IF(C404="","",IFERROR(INDEX(Steps!$C$5:$C$62,MATCH(C404,Steps!$A$5:$A$62,0)),""))</f>
        <v/>
      </c>
      <c r="E404" s="6" t="n"/>
      <c r="F404" s="8" t="n"/>
      <c r="G404" s="6" t="n"/>
      <c r="H404" s="7" t="n"/>
      <c r="I404" s="6" t="n"/>
      <c r="J404" s="9" t="n"/>
      <c r="K404" s="11">
        <f>IF(C404="","",N(IFERROR(INDEX(Steps!$E$5:$E$62,MATCH(C404,Steps!$A$5:$A$62,0)),"")))</f>
        <v/>
      </c>
      <c r="L404" s="11">
        <f>IF(AND(C404&lt;&gt;"",E404&lt;&gt;"",I404&lt;&gt;"",OR(Settings!$B$10="No",I404&lt;&gt;E404)),K404*F404,0)</f>
        <v/>
      </c>
      <c r="M404" s="11">
        <f>IF(AND(AND(C404&lt;&gt;"",E404&lt;&gt;"",I404&lt;&gt;"",OR(Settings!$B$10="No",I404&lt;&gt;E404)),G404="Paid a pro",Settings!$B$9="Yes"),MAX(0,H404-K404*F404),0)</f>
        <v/>
      </c>
      <c r="N404" s="3">
        <f>IF(C404="","",IF(B404="","Enter the boat number",IF(B404&gt;Settings!$B$6,"Boat number above the boat count",IF(SUMIFS($F$5:$F$1004,$B$5:$B$1004,B404,$C$5:$C$1004,C404)&gt;1.0001,"Shares for this step add up to over 100%",IF(I404="","Waiting for sign-off",IF(AND(Settings!$B$10="Yes",I404=E404),"Needs a different member to sign off","OK"))))))</f>
        <v/>
      </c>
    </row>
    <row r="405">
      <c r="A405" s="9" t="n"/>
      <c r="B405" s="6" t="n"/>
      <c r="C405" s="6" t="n"/>
      <c r="D405" s="3">
        <f>IF(C405="","",IFERROR(INDEX(Steps!$C$5:$C$62,MATCH(C405,Steps!$A$5:$A$62,0)),""))</f>
        <v/>
      </c>
      <c r="E405" s="6" t="n"/>
      <c r="F405" s="8" t="n"/>
      <c r="G405" s="6" t="n"/>
      <c r="H405" s="7" t="n"/>
      <c r="I405" s="6" t="n"/>
      <c r="J405" s="9" t="n"/>
      <c r="K405" s="11">
        <f>IF(C405="","",N(IFERROR(INDEX(Steps!$E$5:$E$62,MATCH(C405,Steps!$A$5:$A$62,0)),"")))</f>
        <v/>
      </c>
      <c r="L405" s="11">
        <f>IF(AND(C405&lt;&gt;"",E405&lt;&gt;"",I405&lt;&gt;"",OR(Settings!$B$10="No",I405&lt;&gt;E405)),K405*F405,0)</f>
        <v/>
      </c>
      <c r="M405" s="11">
        <f>IF(AND(AND(C405&lt;&gt;"",E405&lt;&gt;"",I405&lt;&gt;"",OR(Settings!$B$10="No",I405&lt;&gt;E405)),G405="Paid a pro",Settings!$B$9="Yes"),MAX(0,H405-K405*F405),0)</f>
        <v/>
      </c>
      <c r="N405" s="3">
        <f>IF(C405="","",IF(B405="","Enter the boat number",IF(B405&gt;Settings!$B$6,"Boat number above the boat count",IF(SUMIFS($F$5:$F$1004,$B$5:$B$1004,B405,$C$5:$C$1004,C405)&gt;1.0001,"Shares for this step add up to over 100%",IF(I405="","Waiting for sign-off",IF(AND(Settings!$B$10="Yes",I405=E405),"Needs a different member to sign off","OK"))))))</f>
        <v/>
      </c>
    </row>
    <row r="406">
      <c r="A406" s="9" t="n"/>
      <c r="B406" s="6" t="n"/>
      <c r="C406" s="6" t="n"/>
      <c r="D406" s="3">
        <f>IF(C406="","",IFERROR(INDEX(Steps!$C$5:$C$62,MATCH(C406,Steps!$A$5:$A$62,0)),""))</f>
        <v/>
      </c>
      <c r="E406" s="6" t="n"/>
      <c r="F406" s="8" t="n"/>
      <c r="G406" s="6" t="n"/>
      <c r="H406" s="7" t="n"/>
      <c r="I406" s="6" t="n"/>
      <c r="J406" s="9" t="n"/>
      <c r="K406" s="11">
        <f>IF(C406="","",N(IFERROR(INDEX(Steps!$E$5:$E$62,MATCH(C406,Steps!$A$5:$A$62,0)),"")))</f>
        <v/>
      </c>
      <c r="L406" s="11">
        <f>IF(AND(C406&lt;&gt;"",E406&lt;&gt;"",I406&lt;&gt;"",OR(Settings!$B$10="No",I406&lt;&gt;E406)),K406*F406,0)</f>
        <v/>
      </c>
      <c r="M406" s="11">
        <f>IF(AND(AND(C406&lt;&gt;"",E406&lt;&gt;"",I406&lt;&gt;"",OR(Settings!$B$10="No",I406&lt;&gt;E406)),G406="Paid a pro",Settings!$B$9="Yes"),MAX(0,H406-K406*F406),0)</f>
        <v/>
      </c>
      <c r="N406" s="3">
        <f>IF(C406="","",IF(B406="","Enter the boat number",IF(B406&gt;Settings!$B$6,"Boat number above the boat count",IF(SUMIFS($F$5:$F$1004,$B$5:$B$1004,B406,$C$5:$C$1004,C406)&gt;1.0001,"Shares for this step add up to over 100%",IF(I406="","Waiting for sign-off",IF(AND(Settings!$B$10="Yes",I406=E406),"Needs a different member to sign off","OK"))))))</f>
        <v/>
      </c>
    </row>
    <row r="407">
      <c r="A407" s="9" t="n"/>
      <c r="B407" s="6" t="n"/>
      <c r="C407" s="6" t="n"/>
      <c r="D407" s="3">
        <f>IF(C407="","",IFERROR(INDEX(Steps!$C$5:$C$62,MATCH(C407,Steps!$A$5:$A$62,0)),""))</f>
        <v/>
      </c>
      <c r="E407" s="6" t="n"/>
      <c r="F407" s="8" t="n"/>
      <c r="G407" s="6" t="n"/>
      <c r="H407" s="7" t="n"/>
      <c r="I407" s="6" t="n"/>
      <c r="J407" s="9" t="n"/>
      <c r="K407" s="11">
        <f>IF(C407="","",N(IFERROR(INDEX(Steps!$E$5:$E$62,MATCH(C407,Steps!$A$5:$A$62,0)),"")))</f>
        <v/>
      </c>
      <c r="L407" s="11">
        <f>IF(AND(C407&lt;&gt;"",E407&lt;&gt;"",I407&lt;&gt;"",OR(Settings!$B$10="No",I407&lt;&gt;E407)),K407*F407,0)</f>
        <v/>
      </c>
      <c r="M407" s="11">
        <f>IF(AND(AND(C407&lt;&gt;"",E407&lt;&gt;"",I407&lt;&gt;"",OR(Settings!$B$10="No",I407&lt;&gt;E407)),G407="Paid a pro",Settings!$B$9="Yes"),MAX(0,H407-K407*F407),0)</f>
        <v/>
      </c>
      <c r="N407" s="3">
        <f>IF(C407="","",IF(B407="","Enter the boat number",IF(B407&gt;Settings!$B$6,"Boat number above the boat count",IF(SUMIFS($F$5:$F$1004,$B$5:$B$1004,B407,$C$5:$C$1004,C407)&gt;1.0001,"Shares for this step add up to over 100%",IF(I407="","Waiting for sign-off",IF(AND(Settings!$B$10="Yes",I407=E407),"Needs a different member to sign off","OK"))))))</f>
        <v/>
      </c>
    </row>
    <row r="408">
      <c r="A408" s="9" t="n"/>
      <c r="B408" s="6" t="n"/>
      <c r="C408" s="6" t="n"/>
      <c r="D408" s="3">
        <f>IF(C408="","",IFERROR(INDEX(Steps!$C$5:$C$62,MATCH(C408,Steps!$A$5:$A$62,0)),""))</f>
        <v/>
      </c>
      <c r="E408" s="6" t="n"/>
      <c r="F408" s="8" t="n"/>
      <c r="G408" s="6" t="n"/>
      <c r="H408" s="7" t="n"/>
      <c r="I408" s="6" t="n"/>
      <c r="J408" s="9" t="n"/>
      <c r="K408" s="11">
        <f>IF(C408="","",N(IFERROR(INDEX(Steps!$E$5:$E$62,MATCH(C408,Steps!$A$5:$A$62,0)),"")))</f>
        <v/>
      </c>
      <c r="L408" s="11">
        <f>IF(AND(C408&lt;&gt;"",E408&lt;&gt;"",I408&lt;&gt;"",OR(Settings!$B$10="No",I408&lt;&gt;E408)),K408*F408,0)</f>
        <v/>
      </c>
      <c r="M408" s="11">
        <f>IF(AND(AND(C408&lt;&gt;"",E408&lt;&gt;"",I408&lt;&gt;"",OR(Settings!$B$10="No",I408&lt;&gt;E408)),G408="Paid a pro",Settings!$B$9="Yes"),MAX(0,H408-K408*F408),0)</f>
        <v/>
      </c>
      <c r="N408" s="3">
        <f>IF(C408="","",IF(B408="","Enter the boat number",IF(B408&gt;Settings!$B$6,"Boat number above the boat count",IF(SUMIFS($F$5:$F$1004,$B$5:$B$1004,B408,$C$5:$C$1004,C408)&gt;1.0001,"Shares for this step add up to over 100%",IF(I408="","Waiting for sign-off",IF(AND(Settings!$B$10="Yes",I408=E408),"Needs a different member to sign off","OK"))))))</f>
        <v/>
      </c>
    </row>
    <row r="409">
      <c r="A409" s="9" t="n"/>
      <c r="B409" s="6" t="n"/>
      <c r="C409" s="6" t="n"/>
      <c r="D409" s="3">
        <f>IF(C409="","",IFERROR(INDEX(Steps!$C$5:$C$62,MATCH(C409,Steps!$A$5:$A$62,0)),""))</f>
        <v/>
      </c>
      <c r="E409" s="6" t="n"/>
      <c r="F409" s="8" t="n"/>
      <c r="G409" s="6" t="n"/>
      <c r="H409" s="7" t="n"/>
      <c r="I409" s="6" t="n"/>
      <c r="J409" s="9" t="n"/>
      <c r="K409" s="11">
        <f>IF(C409="","",N(IFERROR(INDEX(Steps!$E$5:$E$62,MATCH(C409,Steps!$A$5:$A$62,0)),"")))</f>
        <v/>
      </c>
      <c r="L409" s="11">
        <f>IF(AND(C409&lt;&gt;"",E409&lt;&gt;"",I409&lt;&gt;"",OR(Settings!$B$10="No",I409&lt;&gt;E409)),K409*F409,0)</f>
        <v/>
      </c>
      <c r="M409" s="11">
        <f>IF(AND(AND(C409&lt;&gt;"",E409&lt;&gt;"",I409&lt;&gt;"",OR(Settings!$B$10="No",I409&lt;&gt;E409)),G409="Paid a pro",Settings!$B$9="Yes"),MAX(0,H409-K409*F409),0)</f>
        <v/>
      </c>
      <c r="N409" s="3">
        <f>IF(C409="","",IF(B409="","Enter the boat number",IF(B409&gt;Settings!$B$6,"Boat number above the boat count",IF(SUMIFS($F$5:$F$1004,$B$5:$B$1004,B409,$C$5:$C$1004,C409)&gt;1.0001,"Shares for this step add up to over 100%",IF(I409="","Waiting for sign-off",IF(AND(Settings!$B$10="Yes",I409=E409),"Needs a different member to sign off","OK"))))))</f>
        <v/>
      </c>
    </row>
    <row r="410">
      <c r="A410" s="9" t="n"/>
      <c r="B410" s="6" t="n"/>
      <c r="C410" s="6" t="n"/>
      <c r="D410" s="3">
        <f>IF(C410="","",IFERROR(INDEX(Steps!$C$5:$C$62,MATCH(C410,Steps!$A$5:$A$62,0)),""))</f>
        <v/>
      </c>
      <c r="E410" s="6" t="n"/>
      <c r="F410" s="8" t="n"/>
      <c r="G410" s="6" t="n"/>
      <c r="H410" s="7" t="n"/>
      <c r="I410" s="6" t="n"/>
      <c r="J410" s="9" t="n"/>
      <c r="K410" s="11">
        <f>IF(C410="","",N(IFERROR(INDEX(Steps!$E$5:$E$62,MATCH(C410,Steps!$A$5:$A$62,0)),"")))</f>
        <v/>
      </c>
      <c r="L410" s="11">
        <f>IF(AND(C410&lt;&gt;"",E410&lt;&gt;"",I410&lt;&gt;"",OR(Settings!$B$10="No",I410&lt;&gt;E410)),K410*F410,0)</f>
        <v/>
      </c>
      <c r="M410" s="11">
        <f>IF(AND(AND(C410&lt;&gt;"",E410&lt;&gt;"",I410&lt;&gt;"",OR(Settings!$B$10="No",I410&lt;&gt;E410)),G410="Paid a pro",Settings!$B$9="Yes"),MAX(0,H410-K410*F410),0)</f>
        <v/>
      </c>
      <c r="N410" s="3">
        <f>IF(C410="","",IF(B410="","Enter the boat number",IF(B410&gt;Settings!$B$6,"Boat number above the boat count",IF(SUMIFS($F$5:$F$1004,$B$5:$B$1004,B410,$C$5:$C$1004,C410)&gt;1.0001,"Shares for this step add up to over 100%",IF(I410="","Waiting for sign-off",IF(AND(Settings!$B$10="Yes",I410=E410),"Needs a different member to sign off","OK"))))))</f>
        <v/>
      </c>
    </row>
    <row r="411">
      <c r="A411" s="9" t="n"/>
      <c r="B411" s="6" t="n"/>
      <c r="C411" s="6" t="n"/>
      <c r="D411" s="3">
        <f>IF(C411="","",IFERROR(INDEX(Steps!$C$5:$C$62,MATCH(C411,Steps!$A$5:$A$62,0)),""))</f>
        <v/>
      </c>
      <c r="E411" s="6" t="n"/>
      <c r="F411" s="8" t="n"/>
      <c r="G411" s="6" t="n"/>
      <c r="H411" s="7" t="n"/>
      <c r="I411" s="6" t="n"/>
      <c r="J411" s="9" t="n"/>
      <c r="K411" s="11">
        <f>IF(C411="","",N(IFERROR(INDEX(Steps!$E$5:$E$62,MATCH(C411,Steps!$A$5:$A$62,0)),"")))</f>
        <v/>
      </c>
      <c r="L411" s="11">
        <f>IF(AND(C411&lt;&gt;"",E411&lt;&gt;"",I411&lt;&gt;"",OR(Settings!$B$10="No",I411&lt;&gt;E411)),K411*F411,0)</f>
        <v/>
      </c>
      <c r="M411" s="11">
        <f>IF(AND(AND(C411&lt;&gt;"",E411&lt;&gt;"",I411&lt;&gt;"",OR(Settings!$B$10="No",I411&lt;&gt;E411)),G411="Paid a pro",Settings!$B$9="Yes"),MAX(0,H411-K411*F411),0)</f>
        <v/>
      </c>
      <c r="N411" s="3">
        <f>IF(C411="","",IF(B411="","Enter the boat number",IF(B411&gt;Settings!$B$6,"Boat number above the boat count",IF(SUMIFS($F$5:$F$1004,$B$5:$B$1004,B411,$C$5:$C$1004,C411)&gt;1.0001,"Shares for this step add up to over 100%",IF(I411="","Waiting for sign-off",IF(AND(Settings!$B$10="Yes",I411=E411),"Needs a different member to sign off","OK"))))))</f>
        <v/>
      </c>
    </row>
    <row r="412">
      <c r="A412" s="9" t="n"/>
      <c r="B412" s="6" t="n"/>
      <c r="C412" s="6" t="n"/>
      <c r="D412" s="3">
        <f>IF(C412="","",IFERROR(INDEX(Steps!$C$5:$C$62,MATCH(C412,Steps!$A$5:$A$62,0)),""))</f>
        <v/>
      </c>
      <c r="E412" s="6" t="n"/>
      <c r="F412" s="8" t="n"/>
      <c r="G412" s="6" t="n"/>
      <c r="H412" s="7" t="n"/>
      <c r="I412" s="6" t="n"/>
      <c r="J412" s="9" t="n"/>
      <c r="K412" s="11">
        <f>IF(C412="","",N(IFERROR(INDEX(Steps!$E$5:$E$62,MATCH(C412,Steps!$A$5:$A$62,0)),"")))</f>
        <v/>
      </c>
      <c r="L412" s="11">
        <f>IF(AND(C412&lt;&gt;"",E412&lt;&gt;"",I412&lt;&gt;"",OR(Settings!$B$10="No",I412&lt;&gt;E412)),K412*F412,0)</f>
        <v/>
      </c>
      <c r="M412" s="11">
        <f>IF(AND(AND(C412&lt;&gt;"",E412&lt;&gt;"",I412&lt;&gt;"",OR(Settings!$B$10="No",I412&lt;&gt;E412)),G412="Paid a pro",Settings!$B$9="Yes"),MAX(0,H412-K412*F412),0)</f>
        <v/>
      </c>
      <c r="N412" s="3">
        <f>IF(C412="","",IF(B412="","Enter the boat number",IF(B412&gt;Settings!$B$6,"Boat number above the boat count",IF(SUMIFS($F$5:$F$1004,$B$5:$B$1004,B412,$C$5:$C$1004,C412)&gt;1.0001,"Shares for this step add up to over 100%",IF(I412="","Waiting for sign-off",IF(AND(Settings!$B$10="Yes",I412=E412),"Needs a different member to sign off","OK"))))))</f>
        <v/>
      </c>
    </row>
    <row r="413">
      <c r="A413" s="9" t="n"/>
      <c r="B413" s="6" t="n"/>
      <c r="C413" s="6" t="n"/>
      <c r="D413" s="3">
        <f>IF(C413="","",IFERROR(INDEX(Steps!$C$5:$C$62,MATCH(C413,Steps!$A$5:$A$62,0)),""))</f>
        <v/>
      </c>
      <c r="E413" s="6" t="n"/>
      <c r="F413" s="8" t="n"/>
      <c r="G413" s="6" t="n"/>
      <c r="H413" s="7" t="n"/>
      <c r="I413" s="6" t="n"/>
      <c r="J413" s="9" t="n"/>
      <c r="K413" s="11">
        <f>IF(C413="","",N(IFERROR(INDEX(Steps!$E$5:$E$62,MATCH(C413,Steps!$A$5:$A$62,0)),"")))</f>
        <v/>
      </c>
      <c r="L413" s="11">
        <f>IF(AND(C413&lt;&gt;"",E413&lt;&gt;"",I413&lt;&gt;"",OR(Settings!$B$10="No",I413&lt;&gt;E413)),K413*F413,0)</f>
        <v/>
      </c>
      <c r="M413" s="11">
        <f>IF(AND(AND(C413&lt;&gt;"",E413&lt;&gt;"",I413&lt;&gt;"",OR(Settings!$B$10="No",I413&lt;&gt;E413)),G413="Paid a pro",Settings!$B$9="Yes"),MAX(0,H413-K413*F413),0)</f>
        <v/>
      </c>
      <c r="N413" s="3">
        <f>IF(C413="","",IF(B413="","Enter the boat number",IF(B413&gt;Settings!$B$6,"Boat number above the boat count",IF(SUMIFS($F$5:$F$1004,$B$5:$B$1004,B413,$C$5:$C$1004,C413)&gt;1.0001,"Shares for this step add up to over 100%",IF(I413="","Waiting for sign-off",IF(AND(Settings!$B$10="Yes",I413=E413),"Needs a different member to sign off","OK"))))))</f>
        <v/>
      </c>
    </row>
    <row r="414">
      <c r="A414" s="9" t="n"/>
      <c r="B414" s="6" t="n"/>
      <c r="C414" s="6" t="n"/>
      <c r="D414" s="3">
        <f>IF(C414="","",IFERROR(INDEX(Steps!$C$5:$C$62,MATCH(C414,Steps!$A$5:$A$62,0)),""))</f>
        <v/>
      </c>
      <c r="E414" s="6" t="n"/>
      <c r="F414" s="8" t="n"/>
      <c r="G414" s="6" t="n"/>
      <c r="H414" s="7" t="n"/>
      <c r="I414" s="6" t="n"/>
      <c r="J414" s="9" t="n"/>
      <c r="K414" s="11">
        <f>IF(C414="","",N(IFERROR(INDEX(Steps!$E$5:$E$62,MATCH(C414,Steps!$A$5:$A$62,0)),"")))</f>
        <v/>
      </c>
      <c r="L414" s="11">
        <f>IF(AND(C414&lt;&gt;"",E414&lt;&gt;"",I414&lt;&gt;"",OR(Settings!$B$10="No",I414&lt;&gt;E414)),K414*F414,0)</f>
        <v/>
      </c>
      <c r="M414" s="11">
        <f>IF(AND(AND(C414&lt;&gt;"",E414&lt;&gt;"",I414&lt;&gt;"",OR(Settings!$B$10="No",I414&lt;&gt;E414)),G414="Paid a pro",Settings!$B$9="Yes"),MAX(0,H414-K414*F414),0)</f>
        <v/>
      </c>
      <c r="N414" s="3">
        <f>IF(C414="","",IF(B414="","Enter the boat number",IF(B414&gt;Settings!$B$6,"Boat number above the boat count",IF(SUMIFS($F$5:$F$1004,$B$5:$B$1004,B414,$C$5:$C$1004,C414)&gt;1.0001,"Shares for this step add up to over 100%",IF(I414="","Waiting for sign-off",IF(AND(Settings!$B$10="Yes",I414=E414),"Needs a different member to sign off","OK"))))))</f>
        <v/>
      </c>
    </row>
    <row r="415">
      <c r="A415" s="9" t="n"/>
      <c r="B415" s="6" t="n"/>
      <c r="C415" s="6" t="n"/>
      <c r="D415" s="3">
        <f>IF(C415="","",IFERROR(INDEX(Steps!$C$5:$C$62,MATCH(C415,Steps!$A$5:$A$62,0)),""))</f>
        <v/>
      </c>
      <c r="E415" s="6" t="n"/>
      <c r="F415" s="8" t="n"/>
      <c r="G415" s="6" t="n"/>
      <c r="H415" s="7" t="n"/>
      <c r="I415" s="6" t="n"/>
      <c r="J415" s="9" t="n"/>
      <c r="K415" s="11">
        <f>IF(C415="","",N(IFERROR(INDEX(Steps!$E$5:$E$62,MATCH(C415,Steps!$A$5:$A$62,0)),"")))</f>
        <v/>
      </c>
      <c r="L415" s="11">
        <f>IF(AND(C415&lt;&gt;"",E415&lt;&gt;"",I415&lt;&gt;"",OR(Settings!$B$10="No",I415&lt;&gt;E415)),K415*F415,0)</f>
        <v/>
      </c>
      <c r="M415" s="11">
        <f>IF(AND(AND(C415&lt;&gt;"",E415&lt;&gt;"",I415&lt;&gt;"",OR(Settings!$B$10="No",I415&lt;&gt;E415)),G415="Paid a pro",Settings!$B$9="Yes"),MAX(0,H415-K415*F415),0)</f>
        <v/>
      </c>
      <c r="N415" s="3">
        <f>IF(C415="","",IF(B415="","Enter the boat number",IF(B415&gt;Settings!$B$6,"Boat number above the boat count",IF(SUMIFS($F$5:$F$1004,$B$5:$B$1004,B415,$C$5:$C$1004,C415)&gt;1.0001,"Shares for this step add up to over 100%",IF(I415="","Waiting for sign-off",IF(AND(Settings!$B$10="Yes",I415=E415),"Needs a different member to sign off","OK"))))))</f>
        <v/>
      </c>
    </row>
    <row r="416">
      <c r="A416" s="9" t="n"/>
      <c r="B416" s="6" t="n"/>
      <c r="C416" s="6" t="n"/>
      <c r="D416" s="3">
        <f>IF(C416="","",IFERROR(INDEX(Steps!$C$5:$C$62,MATCH(C416,Steps!$A$5:$A$62,0)),""))</f>
        <v/>
      </c>
      <c r="E416" s="6" t="n"/>
      <c r="F416" s="8" t="n"/>
      <c r="G416" s="6" t="n"/>
      <c r="H416" s="7" t="n"/>
      <c r="I416" s="6" t="n"/>
      <c r="J416" s="9" t="n"/>
      <c r="K416" s="11">
        <f>IF(C416="","",N(IFERROR(INDEX(Steps!$E$5:$E$62,MATCH(C416,Steps!$A$5:$A$62,0)),"")))</f>
        <v/>
      </c>
      <c r="L416" s="11">
        <f>IF(AND(C416&lt;&gt;"",E416&lt;&gt;"",I416&lt;&gt;"",OR(Settings!$B$10="No",I416&lt;&gt;E416)),K416*F416,0)</f>
        <v/>
      </c>
      <c r="M416" s="11">
        <f>IF(AND(AND(C416&lt;&gt;"",E416&lt;&gt;"",I416&lt;&gt;"",OR(Settings!$B$10="No",I416&lt;&gt;E416)),G416="Paid a pro",Settings!$B$9="Yes"),MAX(0,H416-K416*F416),0)</f>
        <v/>
      </c>
      <c r="N416" s="3">
        <f>IF(C416="","",IF(B416="","Enter the boat number",IF(B416&gt;Settings!$B$6,"Boat number above the boat count",IF(SUMIFS($F$5:$F$1004,$B$5:$B$1004,B416,$C$5:$C$1004,C416)&gt;1.0001,"Shares for this step add up to over 100%",IF(I416="","Waiting for sign-off",IF(AND(Settings!$B$10="Yes",I416=E416),"Needs a different member to sign off","OK"))))))</f>
        <v/>
      </c>
    </row>
    <row r="417">
      <c r="A417" s="9" t="n"/>
      <c r="B417" s="6" t="n"/>
      <c r="C417" s="6" t="n"/>
      <c r="D417" s="3">
        <f>IF(C417="","",IFERROR(INDEX(Steps!$C$5:$C$62,MATCH(C417,Steps!$A$5:$A$62,0)),""))</f>
        <v/>
      </c>
      <c r="E417" s="6" t="n"/>
      <c r="F417" s="8" t="n"/>
      <c r="G417" s="6" t="n"/>
      <c r="H417" s="7" t="n"/>
      <c r="I417" s="6" t="n"/>
      <c r="J417" s="9" t="n"/>
      <c r="K417" s="11">
        <f>IF(C417="","",N(IFERROR(INDEX(Steps!$E$5:$E$62,MATCH(C417,Steps!$A$5:$A$62,0)),"")))</f>
        <v/>
      </c>
      <c r="L417" s="11">
        <f>IF(AND(C417&lt;&gt;"",E417&lt;&gt;"",I417&lt;&gt;"",OR(Settings!$B$10="No",I417&lt;&gt;E417)),K417*F417,0)</f>
        <v/>
      </c>
      <c r="M417" s="11">
        <f>IF(AND(AND(C417&lt;&gt;"",E417&lt;&gt;"",I417&lt;&gt;"",OR(Settings!$B$10="No",I417&lt;&gt;E417)),G417="Paid a pro",Settings!$B$9="Yes"),MAX(0,H417-K417*F417),0)</f>
        <v/>
      </c>
      <c r="N417" s="3">
        <f>IF(C417="","",IF(B417="","Enter the boat number",IF(B417&gt;Settings!$B$6,"Boat number above the boat count",IF(SUMIFS($F$5:$F$1004,$B$5:$B$1004,B417,$C$5:$C$1004,C417)&gt;1.0001,"Shares for this step add up to over 100%",IF(I417="","Waiting for sign-off",IF(AND(Settings!$B$10="Yes",I417=E417),"Needs a different member to sign off","OK"))))))</f>
        <v/>
      </c>
    </row>
    <row r="418">
      <c r="A418" s="9" t="n"/>
      <c r="B418" s="6" t="n"/>
      <c r="C418" s="6" t="n"/>
      <c r="D418" s="3">
        <f>IF(C418="","",IFERROR(INDEX(Steps!$C$5:$C$62,MATCH(C418,Steps!$A$5:$A$62,0)),""))</f>
        <v/>
      </c>
      <c r="E418" s="6" t="n"/>
      <c r="F418" s="8" t="n"/>
      <c r="G418" s="6" t="n"/>
      <c r="H418" s="7" t="n"/>
      <c r="I418" s="6" t="n"/>
      <c r="J418" s="9" t="n"/>
      <c r="K418" s="11">
        <f>IF(C418="","",N(IFERROR(INDEX(Steps!$E$5:$E$62,MATCH(C418,Steps!$A$5:$A$62,0)),"")))</f>
        <v/>
      </c>
      <c r="L418" s="11">
        <f>IF(AND(C418&lt;&gt;"",E418&lt;&gt;"",I418&lt;&gt;"",OR(Settings!$B$10="No",I418&lt;&gt;E418)),K418*F418,0)</f>
        <v/>
      </c>
      <c r="M418" s="11">
        <f>IF(AND(AND(C418&lt;&gt;"",E418&lt;&gt;"",I418&lt;&gt;"",OR(Settings!$B$10="No",I418&lt;&gt;E418)),G418="Paid a pro",Settings!$B$9="Yes"),MAX(0,H418-K418*F418),0)</f>
        <v/>
      </c>
      <c r="N418" s="3">
        <f>IF(C418="","",IF(B418="","Enter the boat number",IF(B418&gt;Settings!$B$6,"Boat number above the boat count",IF(SUMIFS($F$5:$F$1004,$B$5:$B$1004,B418,$C$5:$C$1004,C418)&gt;1.0001,"Shares for this step add up to over 100%",IF(I418="","Waiting for sign-off",IF(AND(Settings!$B$10="Yes",I418=E418),"Needs a different member to sign off","OK"))))))</f>
        <v/>
      </c>
    </row>
    <row r="419">
      <c r="A419" s="9" t="n"/>
      <c r="B419" s="6" t="n"/>
      <c r="C419" s="6" t="n"/>
      <c r="D419" s="3">
        <f>IF(C419="","",IFERROR(INDEX(Steps!$C$5:$C$62,MATCH(C419,Steps!$A$5:$A$62,0)),""))</f>
        <v/>
      </c>
      <c r="E419" s="6" t="n"/>
      <c r="F419" s="8" t="n"/>
      <c r="G419" s="6" t="n"/>
      <c r="H419" s="7" t="n"/>
      <c r="I419" s="6" t="n"/>
      <c r="J419" s="9" t="n"/>
      <c r="K419" s="11">
        <f>IF(C419="","",N(IFERROR(INDEX(Steps!$E$5:$E$62,MATCH(C419,Steps!$A$5:$A$62,0)),"")))</f>
        <v/>
      </c>
      <c r="L419" s="11">
        <f>IF(AND(C419&lt;&gt;"",E419&lt;&gt;"",I419&lt;&gt;"",OR(Settings!$B$10="No",I419&lt;&gt;E419)),K419*F419,0)</f>
        <v/>
      </c>
      <c r="M419" s="11">
        <f>IF(AND(AND(C419&lt;&gt;"",E419&lt;&gt;"",I419&lt;&gt;"",OR(Settings!$B$10="No",I419&lt;&gt;E419)),G419="Paid a pro",Settings!$B$9="Yes"),MAX(0,H419-K419*F419),0)</f>
        <v/>
      </c>
      <c r="N419" s="3">
        <f>IF(C419="","",IF(B419="","Enter the boat number",IF(B419&gt;Settings!$B$6,"Boat number above the boat count",IF(SUMIFS($F$5:$F$1004,$B$5:$B$1004,B419,$C$5:$C$1004,C419)&gt;1.0001,"Shares for this step add up to over 100%",IF(I419="","Waiting for sign-off",IF(AND(Settings!$B$10="Yes",I419=E419),"Needs a different member to sign off","OK"))))))</f>
        <v/>
      </c>
    </row>
    <row r="420">
      <c r="A420" s="9" t="n"/>
      <c r="B420" s="6" t="n"/>
      <c r="C420" s="6" t="n"/>
      <c r="D420" s="3">
        <f>IF(C420="","",IFERROR(INDEX(Steps!$C$5:$C$62,MATCH(C420,Steps!$A$5:$A$62,0)),""))</f>
        <v/>
      </c>
      <c r="E420" s="6" t="n"/>
      <c r="F420" s="8" t="n"/>
      <c r="G420" s="6" t="n"/>
      <c r="H420" s="7" t="n"/>
      <c r="I420" s="6" t="n"/>
      <c r="J420" s="9" t="n"/>
      <c r="K420" s="11">
        <f>IF(C420="","",N(IFERROR(INDEX(Steps!$E$5:$E$62,MATCH(C420,Steps!$A$5:$A$62,0)),"")))</f>
        <v/>
      </c>
      <c r="L420" s="11">
        <f>IF(AND(C420&lt;&gt;"",E420&lt;&gt;"",I420&lt;&gt;"",OR(Settings!$B$10="No",I420&lt;&gt;E420)),K420*F420,0)</f>
        <v/>
      </c>
      <c r="M420" s="11">
        <f>IF(AND(AND(C420&lt;&gt;"",E420&lt;&gt;"",I420&lt;&gt;"",OR(Settings!$B$10="No",I420&lt;&gt;E420)),G420="Paid a pro",Settings!$B$9="Yes"),MAX(0,H420-K420*F420),0)</f>
        <v/>
      </c>
      <c r="N420" s="3">
        <f>IF(C420="","",IF(B420="","Enter the boat number",IF(B420&gt;Settings!$B$6,"Boat number above the boat count",IF(SUMIFS($F$5:$F$1004,$B$5:$B$1004,B420,$C$5:$C$1004,C420)&gt;1.0001,"Shares for this step add up to over 100%",IF(I420="","Waiting for sign-off",IF(AND(Settings!$B$10="Yes",I420=E420),"Needs a different member to sign off","OK"))))))</f>
        <v/>
      </c>
    </row>
    <row r="421">
      <c r="A421" s="9" t="n"/>
      <c r="B421" s="6" t="n"/>
      <c r="C421" s="6" t="n"/>
      <c r="D421" s="3">
        <f>IF(C421="","",IFERROR(INDEX(Steps!$C$5:$C$62,MATCH(C421,Steps!$A$5:$A$62,0)),""))</f>
        <v/>
      </c>
      <c r="E421" s="6" t="n"/>
      <c r="F421" s="8" t="n"/>
      <c r="G421" s="6" t="n"/>
      <c r="H421" s="7" t="n"/>
      <c r="I421" s="6" t="n"/>
      <c r="J421" s="9" t="n"/>
      <c r="K421" s="11">
        <f>IF(C421="","",N(IFERROR(INDEX(Steps!$E$5:$E$62,MATCH(C421,Steps!$A$5:$A$62,0)),"")))</f>
        <v/>
      </c>
      <c r="L421" s="11">
        <f>IF(AND(C421&lt;&gt;"",E421&lt;&gt;"",I421&lt;&gt;"",OR(Settings!$B$10="No",I421&lt;&gt;E421)),K421*F421,0)</f>
        <v/>
      </c>
      <c r="M421" s="11">
        <f>IF(AND(AND(C421&lt;&gt;"",E421&lt;&gt;"",I421&lt;&gt;"",OR(Settings!$B$10="No",I421&lt;&gt;E421)),G421="Paid a pro",Settings!$B$9="Yes"),MAX(0,H421-K421*F421),0)</f>
        <v/>
      </c>
      <c r="N421" s="3">
        <f>IF(C421="","",IF(B421="","Enter the boat number",IF(B421&gt;Settings!$B$6,"Boat number above the boat count",IF(SUMIFS($F$5:$F$1004,$B$5:$B$1004,B421,$C$5:$C$1004,C421)&gt;1.0001,"Shares for this step add up to over 100%",IF(I421="","Waiting for sign-off",IF(AND(Settings!$B$10="Yes",I421=E421),"Needs a different member to sign off","OK"))))))</f>
        <v/>
      </c>
    </row>
    <row r="422">
      <c r="A422" s="9" t="n"/>
      <c r="B422" s="6" t="n"/>
      <c r="C422" s="6" t="n"/>
      <c r="D422" s="3">
        <f>IF(C422="","",IFERROR(INDEX(Steps!$C$5:$C$62,MATCH(C422,Steps!$A$5:$A$62,0)),""))</f>
        <v/>
      </c>
      <c r="E422" s="6" t="n"/>
      <c r="F422" s="8" t="n"/>
      <c r="G422" s="6" t="n"/>
      <c r="H422" s="7" t="n"/>
      <c r="I422" s="6" t="n"/>
      <c r="J422" s="9" t="n"/>
      <c r="K422" s="11">
        <f>IF(C422="","",N(IFERROR(INDEX(Steps!$E$5:$E$62,MATCH(C422,Steps!$A$5:$A$62,0)),"")))</f>
        <v/>
      </c>
      <c r="L422" s="11">
        <f>IF(AND(C422&lt;&gt;"",E422&lt;&gt;"",I422&lt;&gt;"",OR(Settings!$B$10="No",I422&lt;&gt;E422)),K422*F422,0)</f>
        <v/>
      </c>
      <c r="M422" s="11">
        <f>IF(AND(AND(C422&lt;&gt;"",E422&lt;&gt;"",I422&lt;&gt;"",OR(Settings!$B$10="No",I422&lt;&gt;E422)),G422="Paid a pro",Settings!$B$9="Yes"),MAX(0,H422-K422*F422),0)</f>
        <v/>
      </c>
      <c r="N422" s="3">
        <f>IF(C422="","",IF(B422="","Enter the boat number",IF(B422&gt;Settings!$B$6,"Boat number above the boat count",IF(SUMIFS($F$5:$F$1004,$B$5:$B$1004,B422,$C$5:$C$1004,C422)&gt;1.0001,"Shares for this step add up to over 100%",IF(I422="","Waiting for sign-off",IF(AND(Settings!$B$10="Yes",I422=E422),"Needs a different member to sign off","OK"))))))</f>
        <v/>
      </c>
    </row>
    <row r="423">
      <c r="A423" s="9" t="n"/>
      <c r="B423" s="6" t="n"/>
      <c r="C423" s="6" t="n"/>
      <c r="D423" s="3">
        <f>IF(C423="","",IFERROR(INDEX(Steps!$C$5:$C$62,MATCH(C423,Steps!$A$5:$A$62,0)),""))</f>
        <v/>
      </c>
      <c r="E423" s="6" t="n"/>
      <c r="F423" s="8" t="n"/>
      <c r="G423" s="6" t="n"/>
      <c r="H423" s="7" t="n"/>
      <c r="I423" s="6" t="n"/>
      <c r="J423" s="9" t="n"/>
      <c r="K423" s="11">
        <f>IF(C423="","",N(IFERROR(INDEX(Steps!$E$5:$E$62,MATCH(C423,Steps!$A$5:$A$62,0)),"")))</f>
        <v/>
      </c>
      <c r="L423" s="11">
        <f>IF(AND(C423&lt;&gt;"",E423&lt;&gt;"",I423&lt;&gt;"",OR(Settings!$B$10="No",I423&lt;&gt;E423)),K423*F423,0)</f>
        <v/>
      </c>
      <c r="M423" s="11">
        <f>IF(AND(AND(C423&lt;&gt;"",E423&lt;&gt;"",I423&lt;&gt;"",OR(Settings!$B$10="No",I423&lt;&gt;E423)),G423="Paid a pro",Settings!$B$9="Yes"),MAX(0,H423-K423*F423),0)</f>
        <v/>
      </c>
      <c r="N423" s="3">
        <f>IF(C423="","",IF(B423="","Enter the boat number",IF(B423&gt;Settings!$B$6,"Boat number above the boat count",IF(SUMIFS($F$5:$F$1004,$B$5:$B$1004,B423,$C$5:$C$1004,C423)&gt;1.0001,"Shares for this step add up to over 100%",IF(I423="","Waiting for sign-off",IF(AND(Settings!$B$10="Yes",I423=E423),"Needs a different member to sign off","OK"))))))</f>
        <v/>
      </c>
    </row>
    <row r="424">
      <c r="A424" s="9" t="n"/>
      <c r="B424" s="6" t="n"/>
      <c r="C424" s="6" t="n"/>
      <c r="D424" s="3">
        <f>IF(C424="","",IFERROR(INDEX(Steps!$C$5:$C$62,MATCH(C424,Steps!$A$5:$A$62,0)),""))</f>
        <v/>
      </c>
      <c r="E424" s="6" t="n"/>
      <c r="F424" s="8" t="n"/>
      <c r="G424" s="6" t="n"/>
      <c r="H424" s="7" t="n"/>
      <c r="I424" s="6" t="n"/>
      <c r="J424" s="9" t="n"/>
      <c r="K424" s="11">
        <f>IF(C424="","",N(IFERROR(INDEX(Steps!$E$5:$E$62,MATCH(C424,Steps!$A$5:$A$62,0)),"")))</f>
        <v/>
      </c>
      <c r="L424" s="11">
        <f>IF(AND(C424&lt;&gt;"",E424&lt;&gt;"",I424&lt;&gt;"",OR(Settings!$B$10="No",I424&lt;&gt;E424)),K424*F424,0)</f>
        <v/>
      </c>
      <c r="M424" s="11">
        <f>IF(AND(AND(C424&lt;&gt;"",E424&lt;&gt;"",I424&lt;&gt;"",OR(Settings!$B$10="No",I424&lt;&gt;E424)),G424="Paid a pro",Settings!$B$9="Yes"),MAX(0,H424-K424*F424),0)</f>
        <v/>
      </c>
      <c r="N424" s="3">
        <f>IF(C424="","",IF(B424="","Enter the boat number",IF(B424&gt;Settings!$B$6,"Boat number above the boat count",IF(SUMIFS($F$5:$F$1004,$B$5:$B$1004,B424,$C$5:$C$1004,C424)&gt;1.0001,"Shares for this step add up to over 100%",IF(I424="","Waiting for sign-off",IF(AND(Settings!$B$10="Yes",I424=E424),"Needs a different member to sign off","OK"))))))</f>
        <v/>
      </c>
    </row>
    <row r="425">
      <c r="A425" s="9" t="n"/>
      <c r="B425" s="6" t="n"/>
      <c r="C425" s="6" t="n"/>
      <c r="D425" s="3">
        <f>IF(C425="","",IFERROR(INDEX(Steps!$C$5:$C$62,MATCH(C425,Steps!$A$5:$A$62,0)),""))</f>
        <v/>
      </c>
      <c r="E425" s="6" t="n"/>
      <c r="F425" s="8" t="n"/>
      <c r="G425" s="6" t="n"/>
      <c r="H425" s="7" t="n"/>
      <c r="I425" s="6" t="n"/>
      <c r="J425" s="9" t="n"/>
      <c r="K425" s="11">
        <f>IF(C425="","",N(IFERROR(INDEX(Steps!$E$5:$E$62,MATCH(C425,Steps!$A$5:$A$62,0)),"")))</f>
        <v/>
      </c>
      <c r="L425" s="11">
        <f>IF(AND(C425&lt;&gt;"",E425&lt;&gt;"",I425&lt;&gt;"",OR(Settings!$B$10="No",I425&lt;&gt;E425)),K425*F425,0)</f>
        <v/>
      </c>
      <c r="M425" s="11">
        <f>IF(AND(AND(C425&lt;&gt;"",E425&lt;&gt;"",I425&lt;&gt;"",OR(Settings!$B$10="No",I425&lt;&gt;E425)),G425="Paid a pro",Settings!$B$9="Yes"),MAX(0,H425-K425*F425),0)</f>
        <v/>
      </c>
      <c r="N425" s="3">
        <f>IF(C425="","",IF(B425="","Enter the boat number",IF(B425&gt;Settings!$B$6,"Boat number above the boat count",IF(SUMIFS($F$5:$F$1004,$B$5:$B$1004,B425,$C$5:$C$1004,C425)&gt;1.0001,"Shares for this step add up to over 100%",IF(I425="","Waiting for sign-off",IF(AND(Settings!$B$10="Yes",I425=E425),"Needs a different member to sign off","OK"))))))</f>
        <v/>
      </c>
    </row>
    <row r="426">
      <c r="A426" s="9" t="n"/>
      <c r="B426" s="6" t="n"/>
      <c r="C426" s="6" t="n"/>
      <c r="D426" s="3">
        <f>IF(C426="","",IFERROR(INDEX(Steps!$C$5:$C$62,MATCH(C426,Steps!$A$5:$A$62,0)),""))</f>
        <v/>
      </c>
      <c r="E426" s="6" t="n"/>
      <c r="F426" s="8" t="n"/>
      <c r="G426" s="6" t="n"/>
      <c r="H426" s="7" t="n"/>
      <c r="I426" s="6" t="n"/>
      <c r="J426" s="9" t="n"/>
      <c r="K426" s="11">
        <f>IF(C426="","",N(IFERROR(INDEX(Steps!$E$5:$E$62,MATCH(C426,Steps!$A$5:$A$62,0)),"")))</f>
        <v/>
      </c>
      <c r="L426" s="11">
        <f>IF(AND(C426&lt;&gt;"",E426&lt;&gt;"",I426&lt;&gt;"",OR(Settings!$B$10="No",I426&lt;&gt;E426)),K426*F426,0)</f>
        <v/>
      </c>
      <c r="M426" s="11">
        <f>IF(AND(AND(C426&lt;&gt;"",E426&lt;&gt;"",I426&lt;&gt;"",OR(Settings!$B$10="No",I426&lt;&gt;E426)),G426="Paid a pro",Settings!$B$9="Yes"),MAX(0,H426-K426*F426),0)</f>
        <v/>
      </c>
      <c r="N426" s="3">
        <f>IF(C426="","",IF(B426="","Enter the boat number",IF(B426&gt;Settings!$B$6,"Boat number above the boat count",IF(SUMIFS($F$5:$F$1004,$B$5:$B$1004,B426,$C$5:$C$1004,C426)&gt;1.0001,"Shares for this step add up to over 100%",IF(I426="","Waiting for sign-off",IF(AND(Settings!$B$10="Yes",I426=E426),"Needs a different member to sign off","OK"))))))</f>
        <v/>
      </c>
    </row>
    <row r="427">
      <c r="A427" s="9" t="n"/>
      <c r="B427" s="6" t="n"/>
      <c r="C427" s="6" t="n"/>
      <c r="D427" s="3">
        <f>IF(C427="","",IFERROR(INDEX(Steps!$C$5:$C$62,MATCH(C427,Steps!$A$5:$A$62,0)),""))</f>
        <v/>
      </c>
      <c r="E427" s="6" t="n"/>
      <c r="F427" s="8" t="n"/>
      <c r="G427" s="6" t="n"/>
      <c r="H427" s="7" t="n"/>
      <c r="I427" s="6" t="n"/>
      <c r="J427" s="9" t="n"/>
      <c r="K427" s="11">
        <f>IF(C427="","",N(IFERROR(INDEX(Steps!$E$5:$E$62,MATCH(C427,Steps!$A$5:$A$62,0)),"")))</f>
        <v/>
      </c>
      <c r="L427" s="11">
        <f>IF(AND(C427&lt;&gt;"",E427&lt;&gt;"",I427&lt;&gt;"",OR(Settings!$B$10="No",I427&lt;&gt;E427)),K427*F427,0)</f>
        <v/>
      </c>
      <c r="M427" s="11">
        <f>IF(AND(AND(C427&lt;&gt;"",E427&lt;&gt;"",I427&lt;&gt;"",OR(Settings!$B$10="No",I427&lt;&gt;E427)),G427="Paid a pro",Settings!$B$9="Yes"),MAX(0,H427-K427*F427),0)</f>
        <v/>
      </c>
      <c r="N427" s="3">
        <f>IF(C427="","",IF(B427="","Enter the boat number",IF(B427&gt;Settings!$B$6,"Boat number above the boat count",IF(SUMIFS($F$5:$F$1004,$B$5:$B$1004,B427,$C$5:$C$1004,C427)&gt;1.0001,"Shares for this step add up to over 100%",IF(I427="","Waiting for sign-off",IF(AND(Settings!$B$10="Yes",I427=E427),"Needs a different member to sign off","OK"))))))</f>
        <v/>
      </c>
    </row>
    <row r="428">
      <c r="A428" s="9" t="n"/>
      <c r="B428" s="6" t="n"/>
      <c r="C428" s="6" t="n"/>
      <c r="D428" s="3">
        <f>IF(C428="","",IFERROR(INDEX(Steps!$C$5:$C$62,MATCH(C428,Steps!$A$5:$A$62,0)),""))</f>
        <v/>
      </c>
      <c r="E428" s="6" t="n"/>
      <c r="F428" s="8" t="n"/>
      <c r="G428" s="6" t="n"/>
      <c r="H428" s="7" t="n"/>
      <c r="I428" s="6" t="n"/>
      <c r="J428" s="9" t="n"/>
      <c r="K428" s="11">
        <f>IF(C428="","",N(IFERROR(INDEX(Steps!$E$5:$E$62,MATCH(C428,Steps!$A$5:$A$62,0)),"")))</f>
        <v/>
      </c>
      <c r="L428" s="11">
        <f>IF(AND(C428&lt;&gt;"",E428&lt;&gt;"",I428&lt;&gt;"",OR(Settings!$B$10="No",I428&lt;&gt;E428)),K428*F428,0)</f>
        <v/>
      </c>
      <c r="M428" s="11">
        <f>IF(AND(AND(C428&lt;&gt;"",E428&lt;&gt;"",I428&lt;&gt;"",OR(Settings!$B$10="No",I428&lt;&gt;E428)),G428="Paid a pro",Settings!$B$9="Yes"),MAX(0,H428-K428*F428),0)</f>
        <v/>
      </c>
      <c r="N428" s="3">
        <f>IF(C428="","",IF(B428="","Enter the boat number",IF(B428&gt;Settings!$B$6,"Boat number above the boat count",IF(SUMIFS($F$5:$F$1004,$B$5:$B$1004,B428,$C$5:$C$1004,C428)&gt;1.0001,"Shares for this step add up to over 100%",IF(I428="","Waiting for sign-off",IF(AND(Settings!$B$10="Yes",I428=E428),"Needs a different member to sign off","OK"))))))</f>
        <v/>
      </c>
    </row>
    <row r="429">
      <c r="A429" s="9" t="n"/>
      <c r="B429" s="6" t="n"/>
      <c r="C429" s="6" t="n"/>
      <c r="D429" s="3">
        <f>IF(C429="","",IFERROR(INDEX(Steps!$C$5:$C$62,MATCH(C429,Steps!$A$5:$A$62,0)),""))</f>
        <v/>
      </c>
      <c r="E429" s="6" t="n"/>
      <c r="F429" s="8" t="n"/>
      <c r="G429" s="6" t="n"/>
      <c r="H429" s="7" t="n"/>
      <c r="I429" s="6" t="n"/>
      <c r="J429" s="9" t="n"/>
      <c r="K429" s="11">
        <f>IF(C429="","",N(IFERROR(INDEX(Steps!$E$5:$E$62,MATCH(C429,Steps!$A$5:$A$62,0)),"")))</f>
        <v/>
      </c>
      <c r="L429" s="11">
        <f>IF(AND(C429&lt;&gt;"",E429&lt;&gt;"",I429&lt;&gt;"",OR(Settings!$B$10="No",I429&lt;&gt;E429)),K429*F429,0)</f>
        <v/>
      </c>
      <c r="M429" s="11">
        <f>IF(AND(AND(C429&lt;&gt;"",E429&lt;&gt;"",I429&lt;&gt;"",OR(Settings!$B$10="No",I429&lt;&gt;E429)),G429="Paid a pro",Settings!$B$9="Yes"),MAX(0,H429-K429*F429),0)</f>
        <v/>
      </c>
      <c r="N429" s="3">
        <f>IF(C429="","",IF(B429="","Enter the boat number",IF(B429&gt;Settings!$B$6,"Boat number above the boat count",IF(SUMIFS($F$5:$F$1004,$B$5:$B$1004,B429,$C$5:$C$1004,C429)&gt;1.0001,"Shares for this step add up to over 100%",IF(I429="","Waiting for sign-off",IF(AND(Settings!$B$10="Yes",I429=E429),"Needs a different member to sign off","OK"))))))</f>
        <v/>
      </c>
    </row>
    <row r="430">
      <c r="A430" s="9" t="n"/>
      <c r="B430" s="6" t="n"/>
      <c r="C430" s="6" t="n"/>
      <c r="D430" s="3">
        <f>IF(C430="","",IFERROR(INDEX(Steps!$C$5:$C$62,MATCH(C430,Steps!$A$5:$A$62,0)),""))</f>
        <v/>
      </c>
      <c r="E430" s="6" t="n"/>
      <c r="F430" s="8" t="n"/>
      <c r="G430" s="6" t="n"/>
      <c r="H430" s="7" t="n"/>
      <c r="I430" s="6" t="n"/>
      <c r="J430" s="9" t="n"/>
      <c r="K430" s="11">
        <f>IF(C430="","",N(IFERROR(INDEX(Steps!$E$5:$E$62,MATCH(C430,Steps!$A$5:$A$62,0)),"")))</f>
        <v/>
      </c>
      <c r="L430" s="11">
        <f>IF(AND(C430&lt;&gt;"",E430&lt;&gt;"",I430&lt;&gt;"",OR(Settings!$B$10="No",I430&lt;&gt;E430)),K430*F430,0)</f>
        <v/>
      </c>
      <c r="M430" s="11">
        <f>IF(AND(AND(C430&lt;&gt;"",E430&lt;&gt;"",I430&lt;&gt;"",OR(Settings!$B$10="No",I430&lt;&gt;E430)),G430="Paid a pro",Settings!$B$9="Yes"),MAX(0,H430-K430*F430),0)</f>
        <v/>
      </c>
      <c r="N430" s="3">
        <f>IF(C430="","",IF(B430="","Enter the boat number",IF(B430&gt;Settings!$B$6,"Boat number above the boat count",IF(SUMIFS($F$5:$F$1004,$B$5:$B$1004,B430,$C$5:$C$1004,C430)&gt;1.0001,"Shares for this step add up to over 100%",IF(I430="","Waiting for sign-off",IF(AND(Settings!$B$10="Yes",I430=E430),"Needs a different member to sign off","OK"))))))</f>
        <v/>
      </c>
    </row>
    <row r="431">
      <c r="A431" s="9" t="n"/>
      <c r="B431" s="6" t="n"/>
      <c r="C431" s="6" t="n"/>
      <c r="D431" s="3">
        <f>IF(C431="","",IFERROR(INDEX(Steps!$C$5:$C$62,MATCH(C431,Steps!$A$5:$A$62,0)),""))</f>
        <v/>
      </c>
      <c r="E431" s="6" t="n"/>
      <c r="F431" s="8" t="n"/>
      <c r="G431" s="6" t="n"/>
      <c r="H431" s="7" t="n"/>
      <c r="I431" s="6" t="n"/>
      <c r="J431" s="9" t="n"/>
      <c r="K431" s="11">
        <f>IF(C431="","",N(IFERROR(INDEX(Steps!$E$5:$E$62,MATCH(C431,Steps!$A$5:$A$62,0)),"")))</f>
        <v/>
      </c>
      <c r="L431" s="11">
        <f>IF(AND(C431&lt;&gt;"",E431&lt;&gt;"",I431&lt;&gt;"",OR(Settings!$B$10="No",I431&lt;&gt;E431)),K431*F431,0)</f>
        <v/>
      </c>
      <c r="M431" s="11">
        <f>IF(AND(AND(C431&lt;&gt;"",E431&lt;&gt;"",I431&lt;&gt;"",OR(Settings!$B$10="No",I431&lt;&gt;E431)),G431="Paid a pro",Settings!$B$9="Yes"),MAX(0,H431-K431*F431),0)</f>
        <v/>
      </c>
      <c r="N431" s="3">
        <f>IF(C431="","",IF(B431="","Enter the boat number",IF(B431&gt;Settings!$B$6,"Boat number above the boat count",IF(SUMIFS($F$5:$F$1004,$B$5:$B$1004,B431,$C$5:$C$1004,C431)&gt;1.0001,"Shares for this step add up to over 100%",IF(I431="","Waiting for sign-off",IF(AND(Settings!$B$10="Yes",I431=E431),"Needs a different member to sign off","OK"))))))</f>
        <v/>
      </c>
    </row>
    <row r="432">
      <c r="A432" s="9" t="n"/>
      <c r="B432" s="6" t="n"/>
      <c r="C432" s="6" t="n"/>
      <c r="D432" s="3">
        <f>IF(C432="","",IFERROR(INDEX(Steps!$C$5:$C$62,MATCH(C432,Steps!$A$5:$A$62,0)),""))</f>
        <v/>
      </c>
      <c r="E432" s="6" t="n"/>
      <c r="F432" s="8" t="n"/>
      <c r="G432" s="6" t="n"/>
      <c r="H432" s="7" t="n"/>
      <c r="I432" s="6" t="n"/>
      <c r="J432" s="9" t="n"/>
      <c r="K432" s="11">
        <f>IF(C432="","",N(IFERROR(INDEX(Steps!$E$5:$E$62,MATCH(C432,Steps!$A$5:$A$62,0)),"")))</f>
        <v/>
      </c>
      <c r="L432" s="11">
        <f>IF(AND(C432&lt;&gt;"",E432&lt;&gt;"",I432&lt;&gt;"",OR(Settings!$B$10="No",I432&lt;&gt;E432)),K432*F432,0)</f>
        <v/>
      </c>
      <c r="M432" s="11">
        <f>IF(AND(AND(C432&lt;&gt;"",E432&lt;&gt;"",I432&lt;&gt;"",OR(Settings!$B$10="No",I432&lt;&gt;E432)),G432="Paid a pro",Settings!$B$9="Yes"),MAX(0,H432-K432*F432),0)</f>
        <v/>
      </c>
      <c r="N432" s="3">
        <f>IF(C432="","",IF(B432="","Enter the boat number",IF(B432&gt;Settings!$B$6,"Boat number above the boat count",IF(SUMIFS($F$5:$F$1004,$B$5:$B$1004,B432,$C$5:$C$1004,C432)&gt;1.0001,"Shares for this step add up to over 100%",IF(I432="","Waiting for sign-off",IF(AND(Settings!$B$10="Yes",I432=E432),"Needs a different member to sign off","OK"))))))</f>
        <v/>
      </c>
    </row>
    <row r="433">
      <c r="A433" s="9" t="n"/>
      <c r="B433" s="6" t="n"/>
      <c r="C433" s="6" t="n"/>
      <c r="D433" s="3">
        <f>IF(C433="","",IFERROR(INDEX(Steps!$C$5:$C$62,MATCH(C433,Steps!$A$5:$A$62,0)),""))</f>
        <v/>
      </c>
      <c r="E433" s="6" t="n"/>
      <c r="F433" s="8" t="n"/>
      <c r="G433" s="6" t="n"/>
      <c r="H433" s="7" t="n"/>
      <c r="I433" s="6" t="n"/>
      <c r="J433" s="9" t="n"/>
      <c r="K433" s="11">
        <f>IF(C433="","",N(IFERROR(INDEX(Steps!$E$5:$E$62,MATCH(C433,Steps!$A$5:$A$62,0)),"")))</f>
        <v/>
      </c>
      <c r="L433" s="11">
        <f>IF(AND(C433&lt;&gt;"",E433&lt;&gt;"",I433&lt;&gt;"",OR(Settings!$B$10="No",I433&lt;&gt;E433)),K433*F433,0)</f>
        <v/>
      </c>
      <c r="M433" s="11">
        <f>IF(AND(AND(C433&lt;&gt;"",E433&lt;&gt;"",I433&lt;&gt;"",OR(Settings!$B$10="No",I433&lt;&gt;E433)),G433="Paid a pro",Settings!$B$9="Yes"),MAX(0,H433-K433*F433),0)</f>
        <v/>
      </c>
      <c r="N433" s="3">
        <f>IF(C433="","",IF(B433="","Enter the boat number",IF(B433&gt;Settings!$B$6,"Boat number above the boat count",IF(SUMIFS($F$5:$F$1004,$B$5:$B$1004,B433,$C$5:$C$1004,C433)&gt;1.0001,"Shares for this step add up to over 100%",IF(I433="","Waiting for sign-off",IF(AND(Settings!$B$10="Yes",I433=E433),"Needs a different member to sign off","OK"))))))</f>
        <v/>
      </c>
    </row>
    <row r="434">
      <c r="A434" s="9" t="n"/>
      <c r="B434" s="6" t="n"/>
      <c r="C434" s="6" t="n"/>
      <c r="D434" s="3">
        <f>IF(C434="","",IFERROR(INDEX(Steps!$C$5:$C$62,MATCH(C434,Steps!$A$5:$A$62,0)),""))</f>
        <v/>
      </c>
      <c r="E434" s="6" t="n"/>
      <c r="F434" s="8" t="n"/>
      <c r="G434" s="6" t="n"/>
      <c r="H434" s="7" t="n"/>
      <c r="I434" s="6" t="n"/>
      <c r="J434" s="9" t="n"/>
      <c r="K434" s="11">
        <f>IF(C434="","",N(IFERROR(INDEX(Steps!$E$5:$E$62,MATCH(C434,Steps!$A$5:$A$62,0)),"")))</f>
        <v/>
      </c>
      <c r="L434" s="11">
        <f>IF(AND(C434&lt;&gt;"",E434&lt;&gt;"",I434&lt;&gt;"",OR(Settings!$B$10="No",I434&lt;&gt;E434)),K434*F434,0)</f>
        <v/>
      </c>
      <c r="M434" s="11">
        <f>IF(AND(AND(C434&lt;&gt;"",E434&lt;&gt;"",I434&lt;&gt;"",OR(Settings!$B$10="No",I434&lt;&gt;E434)),G434="Paid a pro",Settings!$B$9="Yes"),MAX(0,H434-K434*F434),0)</f>
        <v/>
      </c>
      <c r="N434" s="3">
        <f>IF(C434="","",IF(B434="","Enter the boat number",IF(B434&gt;Settings!$B$6,"Boat number above the boat count",IF(SUMIFS($F$5:$F$1004,$B$5:$B$1004,B434,$C$5:$C$1004,C434)&gt;1.0001,"Shares for this step add up to over 100%",IF(I434="","Waiting for sign-off",IF(AND(Settings!$B$10="Yes",I434=E434),"Needs a different member to sign off","OK"))))))</f>
        <v/>
      </c>
    </row>
    <row r="435">
      <c r="A435" s="9" t="n"/>
      <c r="B435" s="6" t="n"/>
      <c r="C435" s="6" t="n"/>
      <c r="D435" s="3">
        <f>IF(C435="","",IFERROR(INDEX(Steps!$C$5:$C$62,MATCH(C435,Steps!$A$5:$A$62,0)),""))</f>
        <v/>
      </c>
      <c r="E435" s="6" t="n"/>
      <c r="F435" s="8" t="n"/>
      <c r="G435" s="6" t="n"/>
      <c r="H435" s="7" t="n"/>
      <c r="I435" s="6" t="n"/>
      <c r="J435" s="9" t="n"/>
      <c r="K435" s="11">
        <f>IF(C435="","",N(IFERROR(INDEX(Steps!$E$5:$E$62,MATCH(C435,Steps!$A$5:$A$62,0)),"")))</f>
        <v/>
      </c>
      <c r="L435" s="11">
        <f>IF(AND(C435&lt;&gt;"",E435&lt;&gt;"",I435&lt;&gt;"",OR(Settings!$B$10="No",I435&lt;&gt;E435)),K435*F435,0)</f>
        <v/>
      </c>
      <c r="M435" s="11">
        <f>IF(AND(AND(C435&lt;&gt;"",E435&lt;&gt;"",I435&lt;&gt;"",OR(Settings!$B$10="No",I435&lt;&gt;E435)),G435="Paid a pro",Settings!$B$9="Yes"),MAX(0,H435-K435*F435),0)</f>
        <v/>
      </c>
      <c r="N435" s="3">
        <f>IF(C435="","",IF(B435="","Enter the boat number",IF(B435&gt;Settings!$B$6,"Boat number above the boat count",IF(SUMIFS($F$5:$F$1004,$B$5:$B$1004,B435,$C$5:$C$1004,C435)&gt;1.0001,"Shares for this step add up to over 100%",IF(I435="","Waiting for sign-off",IF(AND(Settings!$B$10="Yes",I435=E435),"Needs a different member to sign off","OK"))))))</f>
        <v/>
      </c>
    </row>
    <row r="436">
      <c r="A436" s="9" t="n"/>
      <c r="B436" s="6" t="n"/>
      <c r="C436" s="6" t="n"/>
      <c r="D436" s="3">
        <f>IF(C436="","",IFERROR(INDEX(Steps!$C$5:$C$62,MATCH(C436,Steps!$A$5:$A$62,0)),""))</f>
        <v/>
      </c>
      <c r="E436" s="6" t="n"/>
      <c r="F436" s="8" t="n"/>
      <c r="G436" s="6" t="n"/>
      <c r="H436" s="7" t="n"/>
      <c r="I436" s="6" t="n"/>
      <c r="J436" s="9" t="n"/>
      <c r="K436" s="11">
        <f>IF(C436="","",N(IFERROR(INDEX(Steps!$E$5:$E$62,MATCH(C436,Steps!$A$5:$A$62,0)),"")))</f>
        <v/>
      </c>
      <c r="L436" s="11">
        <f>IF(AND(C436&lt;&gt;"",E436&lt;&gt;"",I436&lt;&gt;"",OR(Settings!$B$10="No",I436&lt;&gt;E436)),K436*F436,0)</f>
        <v/>
      </c>
      <c r="M436" s="11">
        <f>IF(AND(AND(C436&lt;&gt;"",E436&lt;&gt;"",I436&lt;&gt;"",OR(Settings!$B$10="No",I436&lt;&gt;E436)),G436="Paid a pro",Settings!$B$9="Yes"),MAX(0,H436-K436*F436),0)</f>
        <v/>
      </c>
      <c r="N436" s="3">
        <f>IF(C436="","",IF(B436="","Enter the boat number",IF(B436&gt;Settings!$B$6,"Boat number above the boat count",IF(SUMIFS($F$5:$F$1004,$B$5:$B$1004,B436,$C$5:$C$1004,C436)&gt;1.0001,"Shares for this step add up to over 100%",IF(I436="","Waiting for sign-off",IF(AND(Settings!$B$10="Yes",I436=E436),"Needs a different member to sign off","OK"))))))</f>
        <v/>
      </c>
    </row>
    <row r="437">
      <c r="A437" s="9" t="n"/>
      <c r="B437" s="6" t="n"/>
      <c r="C437" s="6" t="n"/>
      <c r="D437" s="3">
        <f>IF(C437="","",IFERROR(INDEX(Steps!$C$5:$C$62,MATCH(C437,Steps!$A$5:$A$62,0)),""))</f>
        <v/>
      </c>
      <c r="E437" s="6" t="n"/>
      <c r="F437" s="8" t="n"/>
      <c r="G437" s="6" t="n"/>
      <c r="H437" s="7" t="n"/>
      <c r="I437" s="6" t="n"/>
      <c r="J437" s="9" t="n"/>
      <c r="K437" s="11">
        <f>IF(C437="","",N(IFERROR(INDEX(Steps!$E$5:$E$62,MATCH(C437,Steps!$A$5:$A$62,0)),"")))</f>
        <v/>
      </c>
      <c r="L437" s="11">
        <f>IF(AND(C437&lt;&gt;"",E437&lt;&gt;"",I437&lt;&gt;"",OR(Settings!$B$10="No",I437&lt;&gt;E437)),K437*F437,0)</f>
        <v/>
      </c>
      <c r="M437" s="11">
        <f>IF(AND(AND(C437&lt;&gt;"",E437&lt;&gt;"",I437&lt;&gt;"",OR(Settings!$B$10="No",I437&lt;&gt;E437)),G437="Paid a pro",Settings!$B$9="Yes"),MAX(0,H437-K437*F437),0)</f>
        <v/>
      </c>
      <c r="N437" s="3">
        <f>IF(C437="","",IF(B437="","Enter the boat number",IF(B437&gt;Settings!$B$6,"Boat number above the boat count",IF(SUMIFS($F$5:$F$1004,$B$5:$B$1004,B437,$C$5:$C$1004,C437)&gt;1.0001,"Shares for this step add up to over 100%",IF(I437="","Waiting for sign-off",IF(AND(Settings!$B$10="Yes",I437=E437),"Needs a different member to sign off","OK"))))))</f>
        <v/>
      </c>
    </row>
    <row r="438">
      <c r="A438" s="9" t="n"/>
      <c r="B438" s="6" t="n"/>
      <c r="C438" s="6" t="n"/>
      <c r="D438" s="3">
        <f>IF(C438="","",IFERROR(INDEX(Steps!$C$5:$C$62,MATCH(C438,Steps!$A$5:$A$62,0)),""))</f>
        <v/>
      </c>
      <c r="E438" s="6" t="n"/>
      <c r="F438" s="8" t="n"/>
      <c r="G438" s="6" t="n"/>
      <c r="H438" s="7" t="n"/>
      <c r="I438" s="6" t="n"/>
      <c r="J438" s="9" t="n"/>
      <c r="K438" s="11">
        <f>IF(C438="","",N(IFERROR(INDEX(Steps!$E$5:$E$62,MATCH(C438,Steps!$A$5:$A$62,0)),"")))</f>
        <v/>
      </c>
      <c r="L438" s="11">
        <f>IF(AND(C438&lt;&gt;"",E438&lt;&gt;"",I438&lt;&gt;"",OR(Settings!$B$10="No",I438&lt;&gt;E438)),K438*F438,0)</f>
        <v/>
      </c>
      <c r="M438" s="11">
        <f>IF(AND(AND(C438&lt;&gt;"",E438&lt;&gt;"",I438&lt;&gt;"",OR(Settings!$B$10="No",I438&lt;&gt;E438)),G438="Paid a pro",Settings!$B$9="Yes"),MAX(0,H438-K438*F438),0)</f>
        <v/>
      </c>
      <c r="N438" s="3">
        <f>IF(C438="","",IF(B438="","Enter the boat number",IF(B438&gt;Settings!$B$6,"Boat number above the boat count",IF(SUMIFS($F$5:$F$1004,$B$5:$B$1004,B438,$C$5:$C$1004,C438)&gt;1.0001,"Shares for this step add up to over 100%",IF(I438="","Waiting for sign-off",IF(AND(Settings!$B$10="Yes",I438=E438),"Needs a different member to sign off","OK"))))))</f>
        <v/>
      </c>
    </row>
    <row r="439">
      <c r="A439" s="9" t="n"/>
      <c r="B439" s="6" t="n"/>
      <c r="C439" s="6" t="n"/>
      <c r="D439" s="3">
        <f>IF(C439="","",IFERROR(INDEX(Steps!$C$5:$C$62,MATCH(C439,Steps!$A$5:$A$62,0)),""))</f>
        <v/>
      </c>
      <c r="E439" s="6" t="n"/>
      <c r="F439" s="8" t="n"/>
      <c r="G439" s="6" t="n"/>
      <c r="H439" s="7" t="n"/>
      <c r="I439" s="6" t="n"/>
      <c r="J439" s="9" t="n"/>
      <c r="K439" s="11">
        <f>IF(C439="","",N(IFERROR(INDEX(Steps!$E$5:$E$62,MATCH(C439,Steps!$A$5:$A$62,0)),"")))</f>
        <v/>
      </c>
      <c r="L439" s="11">
        <f>IF(AND(C439&lt;&gt;"",E439&lt;&gt;"",I439&lt;&gt;"",OR(Settings!$B$10="No",I439&lt;&gt;E439)),K439*F439,0)</f>
        <v/>
      </c>
      <c r="M439" s="11">
        <f>IF(AND(AND(C439&lt;&gt;"",E439&lt;&gt;"",I439&lt;&gt;"",OR(Settings!$B$10="No",I439&lt;&gt;E439)),G439="Paid a pro",Settings!$B$9="Yes"),MAX(0,H439-K439*F439),0)</f>
        <v/>
      </c>
      <c r="N439" s="3">
        <f>IF(C439="","",IF(B439="","Enter the boat number",IF(B439&gt;Settings!$B$6,"Boat number above the boat count",IF(SUMIFS($F$5:$F$1004,$B$5:$B$1004,B439,$C$5:$C$1004,C439)&gt;1.0001,"Shares for this step add up to over 100%",IF(I439="","Waiting for sign-off",IF(AND(Settings!$B$10="Yes",I439=E439),"Needs a different member to sign off","OK"))))))</f>
        <v/>
      </c>
    </row>
    <row r="440">
      <c r="A440" s="9" t="n"/>
      <c r="B440" s="6" t="n"/>
      <c r="C440" s="6" t="n"/>
      <c r="D440" s="3">
        <f>IF(C440="","",IFERROR(INDEX(Steps!$C$5:$C$62,MATCH(C440,Steps!$A$5:$A$62,0)),""))</f>
        <v/>
      </c>
      <c r="E440" s="6" t="n"/>
      <c r="F440" s="8" t="n"/>
      <c r="G440" s="6" t="n"/>
      <c r="H440" s="7" t="n"/>
      <c r="I440" s="6" t="n"/>
      <c r="J440" s="9" t="n"/>
      <c r="K440" s="11">
        <f>IF(C440="","",N(IFERROR(INDEX(Steps!$E$5:$E$62,MATCH(C440,Steps!$A$5:$A$62,0)),"")))</f>
        <v/>
      </c>
      <c r="L440" s="11">
        <f>IF(AND(C440&lt;&gt;"",E440&lt;&gt;"",I440&lt;&gt;"",OR(Settings!$B$10="No",I440&lt;&gt;E440)),K440*F440,0)</f>
        <v/>
      </c>
      <c r="M440" s="11">
        <f>IF(AND(AND(C440&lt;&gt;"",E440&lt;&gt;"",I440&lt;&gt;"",OR(Settings!$B$10="No",I440&lt;&gt;E440)),G440="Paid a pro",Settings!$B$9="Yes"),MAX(0,H440-K440*F440),0)</f>
        <v/>
      </c>
      <c r="N440" s="3">
        <f>IF(C440="","",IF(B440="","Enter the boat number",IF(B440&gt;Settings!$B$6,"Boat number above the boat count",IF(SUMIFS($F$5:$F$1004,$B$5:$B$1004,B440,$C$5:$C$1004,C440)&gt;1.0001,"Shares for this step add up to over 100%",IF(I440="","Waiting for sign-off",IF(AND(Settings!$B$10="Yes",I440=E440),"Needs a different member to sign off","OK"))))))</f>
        <v/>
      </c>
    </row>
    <row r="441">
      <c r="A441" s="9" t="n"/>
      <c r="B441" s="6" t="n"/>
      <c r="C441" s="6" t="n"/>
      <c r="D441" s="3">
        <f>IF(C441="","",IFERROR(INDEX(Steps!$C$5:$C$62,MATCH(C441,Steps!$A$5:$A$62,0)),""))</f>
        <v/>
      </c>
      <c r="E441" s="6" t="n"/>
      <c r="F441" s="8" t="n"/>
      <c r="G441" s="6" t="n"/>
      <c r="H441" s="7" t="n"/>
      <c r="I441" s="6" t="n"/>
      <c r="J441" s="9" t="n"/>
      <c r="K441" s="11">
        <f>IF(C441="","",N(IFERROR(INDEX(Steps!$E$5:$E$62,MATCH(C441,Steps!$A$5:$A$62,0)),"")))</f>
        <v/>
      </c>
      <c r="L441" s="11">
        <f>IF(AND(C441&lt;&gt;"",E441&lt;&gt;"",I441&lt;&gt;"",OR(Settings!$B$10="No",I441&lt;&gt;E441)),K441*F441,0)</f>
        <v/>
      </c>
      <c r="M441" s="11">
        <f>IF(AND(AND(C441&lt;&gt;"",E441&lt;&gt;"",I441&lt;&gt;"",OR(Settings!$B$10="No",I441&lt;&gt;E441)),G441="Paid a pro",Settings!$B$9="Yes"),MAX(0,H441-K441*F441),0)</f>
        <v/>
      </c>
      <c r="N441" s="3">
        <f>IF(C441="","",IF(B441="","Enter the boat number",IF(B441&gt;Settings!$B$6,"Boat number above the boat count",IF(SUMIFS($F$5:$F$1004,$B$5:$B$1004,B441,$C$5:$C$1004,C441)&gt;1.0001,"Shares for this step add up to over 100%",IF(I441="","Waiting for sign-off",IF(AND(Settings!$B$10="Yes",I441=E441),"Needs a different member to sign off","OK"))))))</f>
        <v/>
      </c>
    </row>
    <row r="442">
      <c r="A442" s="9" t="n"/>
      <c r="B442" s="6" t="n"/>
      <c r="C442" s="6" t="n"/>
      <c r="D442" s="3">
        <f>IF(C442="","",IFERROR(INDEX(Steps!$C$5:$C$62,MATCH(C442,Steps!$A$5:$A$62,0)),""))</f>
        <v/>
      </c>
      <c r="E442" s="6" t="n"/>
      <c r="F442" s="8" t="n"/>
      <c r="G442" s="6" t="n"/>
      <c r="H442" s="7" t="n"/>
      <c r="I442" s="6" t="n"/>
      <c r="J442" s="9" t="n"/>
      <c r="K442" s="11">
        <f>IF(C442="","",N(IFERROR(INDEX(Steps!$E$5:$E$62,MATCH(C442,Steps!$A$5:$A$62,0)),"")))</f>
        <v/>
      </c>
      <c r="L442" s="11">
        <f>IF(AND(C442&lt;&gt;"",E442&lt;&gt;"",I442&lt;&gt;"",OR(Settings!$B$10="No",I442&lt;&gt;E442)),K442*F442,0)</f>
        <v/>
      </c>
      <c r="M442" s="11">
        <f>IF(AND(AND(C442&lt;&gt;"",E442&lt;&gt;"",I442&lt;&gt;"",OR(Settings!$B$10="No",I442&lt;&gt;E442)),G442="Paid a pro",Settings!$B$9="Yes"),MAX(0,H442-K442*F442),0)</f>
        <v/>
      </c>
      <c r="N442" s="3">
        <f>IF(C442="","",IF(B442="","Enter the boat number",IF(B442&gt;Settings!$B$6,"Boat number above the boat count",IF(SUMIFS($F$5:$F$1004,$B$5:$B$1004,B442,$C$5:$C$1004,C442)&gt;1.0001,"Shares for this step add up to over 100%",IF(I442="","Waiting for sign-off",IF(AND(Settings!$B$10="Yes",I442=E442),"Needs a different member to sign off","OK"))))))</f>
        <v/>
      </c>
    </row>
    <row r="443">
      <c r="A443" s="9" t="n"/>
      <c r="B443" s="6" t="n"/>
      <c r="C443" s="6" t="n"/>
      <c r="D443" s="3">
        <f>IF(C443="","",IFERROR(INDEX(Steps!$C$5:$C$62,MATCH(C443,Steps!$A$5:$A$62,0)),""))</f>
        <v/>
      </c>
      <c r="E443" s="6" t="n"/>
      <c r="F443" s="8" t="n"/>
      <c r="G443" s="6" t="n"/>
      <c r="H443" s="7" t="n"/>
      <c r="I443" s="6" t="n"/>
      <c r="J443" s="9" t="n"/>
      <c r="K443" s="11">
        <f>IF(C443="","",N(IFERROR(INDEX(Steps!$E$5:$E$62,MATCH(C443,Steps!$A$5:$A$62,0)),"")))</f>
        <v/>
      </c>
      <c r="L443" s="11">
        <f>IF(AND(C443&lt;&gt;"",E443&lt;&gt;"",I443&lt;&gt;"",OR(Settings!$B$10="No",I443&lt;&gt;E443)),K443*F443,0)</f>
        <v/>
      </c>
      <c r="M443" s="11">
        <f>IF(AND(AND(C443&lt;&gt;"",E443&lt;&gt;"",I443&lt;&gt;"",OR(Settings!$B$10="No",I443&lt;&gt;E443)),G443="Paid a pro",Settings!$B$9="Yes"),MAX(0,H443-K443*F443),0)</f>
        <v/>
      </c>
      <c r="N443" s="3">
        <f>IF(C443="","",IF(B443="","Enter the boat number",IF(B443&gt;Settings!$B$6,"Boat number above the boat count",IF(SUMIFS($F$5:$F$1004,$B$5:$B$1004,B443,$C$5:$C$1004,C443)&gt;1.0001,"Shares for this step add up to over 100%",IF(I443="","Waiting for sign-off",IF(AND(Settings!$B$10="Yes",I443=E443),"Needs a different member to sign off","OK"))))))</f>
        <v/>
      </c>
    </row>
    <row r="444">
      <c r="A444" s="9" t="n"/>
      <c r="B444" s="6" t="n"/>
      <c r="C444" s="6" t="n"/>
      <c r="D444" s="3">
        <f>IF(C444="","",IFERROR(INDEX(Steps!$C$5:$C$62,MATCH(C444,Steps!$A$5:$A$62,0)),""))</f>
        <v/>
      </c>
      <c r="E444" s="6" t="n"/>
      <c r="F444" s="8" t="n"/>
      <c r="G444" s="6" t="n"/>
      <c r="H444" s="7" t="n"/>
      <c r="I444" s="6" t="n"/>
      <c r="J444" s="9" t="n"/>
      <c r="K444" s="11">
        <f>IF(C444="","",N(IFERROR(INDEX(Steps!$E$5:$E$62,MATCH(C444,Steps!$A$5:$A$62,0)),"")))</f>
        <v/>
      </c>
      <c r="L444" s="11">
        <f>IF(AND(C444&lt;&gt;"",E444&lt;&gt;"",I444&lt;&gt;"",OR(Settings!$B$10="No",I444&lt;&gt;E444)),K444*F444,0)</f>
        <v/>
      </c>
      <c r="M444" s="11">
        <f>IF(AND(AND(C444&lt;&gt;"",E444&lt;&gt;"",I444&lt;&gt;"",OR(Settings!$B$10="No",I444&lt;&gt;E444)),G444="Paid a pro",Settings!$B$9="Yes"),MAX(0,H444-K444*F444),0)</f>
        <v/>
      </c>
      <c r="N444" s="3">
        <f>IF(C444="","",IF(B444="","Enter the boat number",IF(B444&gt;Settings!$B$6,"Boat number above the boat count",IF(SUMIFS($F$5:$F$1004,$B$5:$B$1004,B444,$C$5:$C$1004,C444)&gt;1.0001,"Shares for this step add up to over 100%",IF(I444="","Waiting for sign-off",IF(AND(Settings!$B$10="Yes",I444=E444),"Needs a different member to sign off","OK"))))))</f>
        <v/>
      </c>
    </row>
    <row r="445">
      <c r="A445" s="9" t="n"/>
      <c r="B445" s="6" t="n"/>
      <c r="C445" s="6" t="n"/>
      <c r="D445" s="3">
        <f>IF(C445="","",IFERROR(INDEX(Steps!$C$5:$C$62,MATCH(C445,Steps!$A$5:$A$62,0)),""))</f>
        <v/>
      </c>
      <c r="E445" s="6" t="n"/>
      <c r="F445" s="8" t="n"/>
      <c r="G445" s="6" t="n"/>
      <c r="H445" s="7" t="n"/>
      <c r="I445" s="6" t="n"/>
      <c r="J445" s="9" t="n"/>
      <c r="K445" s="11">
        <f>IF(C445="","",N(IFERROR(INDEX(Steps!$E$5:$E$62,MATCH(C445,Steps!$A$5:$A$62,0)),"")))</f>
        <v/>
      </c>
      <c r="L445" s="11">
        <f>IF(AND(C445&lt;&gt;"",E445&lt;&gt;"",I445&lt;&gt;"",OR(Settings!$B$10="No",I445&lt;&gt;E445)),K445*F445,0)</f>
        <v/>
      </c>
      <c r="M445" s="11">
        <f>IF(AND(AND(C445&lt;&gt;"",E445&lt;&gt;"",I445&lt;&gt;"",OR(Settings!$B$10="No",I445&lt;&gt;E445)),G445="Paid a pro",Settings!$B$9="Yes"),MAX(0,H445-K445*F445),0)</f>
        <v/>
      </c>
      <c r="N445" s="3">
        <f>IF(C445="","",IF(B445="","Enter the boat number",IF(B445&gt;Settings!$B$6,"Boat number above the boat count",IF(SUMIFS($F$5:$F$1004,$B$5:$B$1004,B445,$C$5:$C$1004,C445)&gt;1.0001,"Shares for this step add up to over 100%",IF(I445="","Waiting for sign-off",IF(AND(Settings!$B$10="Yes",I445=E445),"Needs a different member to sign off","OK"))))))</f>
        <v/>
      </c>
    </row>
    <row r="446">
      <c r="A446" s="9" t="n"/>
      <c r="B446" s="6" t="n"/>
      <c r="C446" s="6" t="n"/>
      <c r="D446" s="3">
        <f>IF(C446="","",IFERROR(INDEX(Steps!$C$5:$C$62,MATCH(C446,Steps!$A$5:$A$62,0)),""))</f>
        <v/>
      </c>
      <c r="E446" s="6" t="n"/>
      <c r="F446" s="8" t="n"/>
      <c r="G446" s="6" t="n"/>
      <c r="H446" s="7" t="n"/>
      <c r="I446" s="6" t="n"/>
      <c r="J446" s="9" t="n"/>
      <c r="K446" s="11">
        <f>IF(C446="","",N(IFERROR(INDEX(Steps!$E$5:$E$62,MATCH(C446,Steps!$A$5:$A$62,0)),"")))</f>
        <v/>
      </c>
      <c r="L446" s="11">
        <f>IF(AND(C446&lt;&gt;"",E446&lt;&gt;"",I446&lt;&gt;"",OR(Settings!$B$10="No",I446&lt;&gt;E446)),K446*F446,0)</f>
        <v/>
      </c>
      <c r="M446" s="11">
        <f>IF(AND(AND(C446&lt;&gt;"",E446&lt;&gt;"",I446&lt;&gt;"",OR(Settings!$B$10="No",I446&lt;&gt;E446)),G446="Paid a pro",Settings!$B$9="Yes"),MAX(0,H446-K446*F446),0)</f>
        <v/>
      </c>
      <c r="N446" s="3">
        <f>IF(C446="","",IF(B446="","Enter the boat number",IF(B446&gt;Settings!$B$6,"Boat number above the boat count",IF(SUMIFS($F$5:$F$1004,$B$5:$B$1004,B446,$C$5:$C$1004,C446)&gt;1.0001,"Shares for this step add up to over 100%",IF(I446="","Waiting for sign-off",IF(AND(Settings!$B$10="Yes",I446=E446),"Needs a different member to sign off","OK"))))))</f>
        <v/>
      </c>
    </row>
    <row r="447">
      <c r="A447" s="9" t="n"/>
      <c r="B447" s="6" t="n"/>
      <c r="C447" s="6" t="n"/>
      <c r="D447" s="3">
        <f>IF(C447="","",IFERROR(INDEX(Steps!$C$5:$C$62,MATCH(C447,Steps!$A$5:$A$62,0)),""))</f>
        <v/>
      </c>
      <c r="E447" s="6" t="n"/>
      <c r="F447" s="8" t="n"/>
      <c r="G447" s="6" t="n"/>
      <c r="H447" s="7" t="n"/>
      <c r="I447" s="6" t="n"/>
      <c r="J447" s="9" t="n"/>
      <c r="K447" s="11">
        <f>IF(C447="","",N(IFERROR(INDEX(Steps!$E$5:$E$62,MATCH(C447,Steps!$A$5:$A$62,0)),"")))</f>
        <v/>
      </c>
      <c r="L447" s="11">
        <f>IF(AND(C447&lt;&gt;"",E447&lt;&gt;"",I447&lt;&gt;"",OR(Settings!$B$10="No",I447&lt;&gt;E447)),K447*F447,0)</f>
        <v/>
      </c>
      <c r="M447" s="11">
        <f>IF(AND(AND(C447&lt;&gt;"",E447&lt;&gt;"",I447&lt;&gt;"",OR(Settings!$B$10="No",I447&lt;&gt;E447)),G447="Paid a pro",Settings!$B$9="Yes"),MAX(0,H447-K447*F447),0)</f>
        <v/>
      </c>
      <c r="N447" s="3">
        <f>IF(C447="","",IF(B447="","Enter the boat number",IF(B447&gt;Settings!$B$6,"Boat number above the boat count",IF(SUMIFS($F$5:$F$1004,$B$5:$B$1004,B447,$C$5:$C$1004,C447)&gt;1.0001,"Shares for this step add up to over 100%",IF(I447="","Waiting for sign-off",IF(AND(Settings!$B$10="Yes",I447=E447),"Needs a different member to sign off","OK"))))))</f>
        <v/>
      </c>
    </row>
    <row r="448">
      <c r="A448" s="9" t="n"/>
      <c r="B448" s="6" t="n"/>
      <c r="C448" s="6" t="n"/>
      <c r="D448" s="3">
        <f>IF(C448="","",IFERROR(INDEX(Steps!$C$5:$C$62,MATCH(C448,Steps!$A$5:$A$62,0)),""))</f>
        <v/>
      </c>
      <c r="E448" s="6" t="n"/>
      <c r="F448" s="8" t="n"/>
      <c r="G448" s="6" t="n"/>
      <c r="H448" s="7" t="n"/>
      <c r="I448" s="6" t="n"/>
      <c r="J448" s="9" t="n"/>
      <c r="K448" s="11">
        <f>IF(C448="","",N(IFERROR(INDEX(Steps!$E$5:$E$62,MATCH(C448,Steps!$A$5:$A$62,0)),"")))</f>
        <v/>
      </c>
      <c r="L448" s="11">
        <f>IF(AND(C448&lt;&gt;"",E448&lt;&gt;"",I448&lt;&gt;"",OR(Settings!$B$10="No",I448&lt;&gt;E448)),K448*F448,0)</f>
        <v/>
      </c>
      <c r="M448" s="11">
        <f>IF(AND(AND(C448&lt;&gt;"",E448&lt;&gt;"",I448&lt;&gt;"",OR(Settings!$B$10="No",I448&lt;&gt;E448)),G448="Paid a pro",Settings!$B$9="Yes"),MAX(0,H448-K448*F448),0)</f>
        <v/>
      </c>
      <c r="N448" s="3">
        <f>IF(C448="","",IF(B448="","Enter the boat number",IF(B448&gt;Settings!$B$6,"Boat number above the boat count",IF(SUMIFS($F$5:$F$1004,$B$5:$B$1004,B448,$C$5:$C$1004,C448)&gt;1.0001,"Shares for this step add up to over 100%",IF(I448="","Waiting for sign-off",IF(AND(Settings!$B$10="Yes",I448=E448),"Needs a different member to sign off","OK"))))))</f>
        <v/>
      </c>
    </row>
    <row r="449">
      <c r="A449" s="9" t="n"/>
      <c r="B449" s="6" t="n"/>
      <c r="C449" s="6" t="n"/>
      <c r="D449" s="3">
        <f>IF(C449="","",IFERROR(INDEX(Steps!$C$5:$C$62,MATCH(C449,Steps!$A$5:$A$62,0)),""))</f>
        <v/>
      </c>
      <c r="E449" s="6" t="n"/>
      <c r="F449" s="8" t="n"/>
      <c r="G449" s="6" t="n"/>
      <c r="H449" s="7" t="n"/>
      <c r="I449" s="6" t="n"/>
      <c r="J449" s="9" t="n"/>
      <c r="K449" s="11">
        <f>IF(C449="","",N(IFERROR(INDEX(Steps!$E$5:$E$62,MATCH(C449,Steps!$A$5:$A$62,0)),"")))</f>
        <v/>
      </c>
      <c r="L449" s="11">
        <f>IF(AND(C449&lt;&gt;"",E449&lt;&gt;"",I449&lt;&gt;"",OR(Settings!$B$10="No",I449&lt;&gt;E449)),K449*F449,0)</f>
        <v/>
      </c>
      <c r="M449" s="11">
        <f>IF(AND(AND(C449&lt;&gt;"",E449&lt;&gt;"",I449&lt;&gt;"",OR(Settings!$B$10="No",I449&lt;&gt;E449)),G449="Paid a pro",Settings!$B$9="Yes"),MAX(0,H449-K449*F449),0)</f>
        <v/>
      </c>
      <c r="N449" s="3">
        <f>IF(C449="","",IF(B449="","Enter the boat number",IF(B449&gt;Settings!$B$6,"Boat number above the boat count",IF(SUMIFS($F$5:$F$1004,$B$5:$B$1004,B449,$C$5:$C$1004,C449)&gt;1.0001,"Shares for this step add up to over 100%",IF(I449="","Waiting for sign-off",IF(AND(Settings!$B$10="Yes",I449=E449),"Needs a different member to sign off","OK"))))))</f>
        <v/>
      </c>
    </row>
    <row r="450">
      <c r="A450" s="9" t="n"/>
      <c r="B450" s="6" t="n"/>
      <c r="C450" s="6" t="n"/>
      <c r="D450" s="3">
        <f>IF(C450="","",IFERROR(INDEX(Steps!$C$5:$C$62,MATCH(C450,Steps!$A$5:$A$62,0)),""))</f>
        <v/>
      </c>
      <c r="E450" s="6" t="n"/>
      <c r="F450" s="8" t="n"/>
      <c r="G450" s="6" t="n"/>
      <c r="H450" s="7" t="n"/>
      <c r="I450" s="6" t="n"/>
      <c r="J450" s="9" t="n"/>
      <c r="K450" s="11">
        <f>IF(C450="","",N(IFERROR(INDEX(Steps!$E$5:$E$62,MATCH(C450,Steps!$A$5:$A$62,0)),"")))</f>
        <v/>
      </c>
      <c r="L450" s="11">
        <f>IF(AND(C450&lt;&gt;"",E450&lt;&gt;"",I450&lt;&gt;"",OR(Settings!$B$10="No",I450&lt;&gt;E450)),K450*F450,0)</f>
        <v/>
      </c>
      <c r="M450" s="11">
        <f>IF(AND(AND(C450&lt;&gt;"",E450&lt;&gt;"",I450&lt;&gt;"",OR(Settings!$B$10="No",I450&lt;&gt;E450)),G450="Paid a pro",Settings!$B$9="Yes"),MAX(0,H450-K450*F450),0)</f>
        <v/>
      </c>
      <c r="N450" s="3">
        <f>IF(C450="","",IF(B450="","Enter the boat number",IF(B450&gt;Settings!$B$6,"Boat number above the boat count",IF(SUMIFS($F$5:$F$1004,$B$5:$B$1004,B450,$C$5:$C$1004,C450)&gt;1.0001,"Shares for this step add up to over 100%",IF(I450="","Waiting for sign-off",IF(AND(Settings!$B$10="Yes",I450=E450),"Needs a different member to sign off","OK"))))))</f>
        <v/>
      </c>
    </row>
    <row r="451">
      <c r="A451" s="9" t="n"/>
      <c r="B451" s="6" t="n"/>
      <c r="C451" s="6" t="n"/>
      <c r="D451" s="3">
        <f>IF(C451="","",IFERROR(INDEX(Steps!$C$5:$C$62,MATCH(C451,Steps!$A$5:$A$62,0)),""))</f>
        <v/>
      </c>
      <c r="E451" s="6" t="n"/>
      <c r="F451" s="8" t="n"/>
      <c r="G451" s="6" t="n"/>
      <c r="H451" s="7" t="n"/>
      <c r="I451" s="6" t="n"/>
      <c r="J451" s="9" t="n"/>
      <c r="K451" s="11">
        <f>IF(C451="","",N(IFERROR(INDEX(Steps!$E$5:$E$62,MATCH(C451,Steps!$A$5:$A$62,0)),"")))</f>
        <v/>
      </c>
      <c r="L451" s="11">
        <f>IF(AND(C451&lt;&gt;"",E451&lt;&gt;"",I451&lt;&gt;"",OR(Settings!$B$10="No",I451&lt;&gt;E451)),K451*F451,0)</f>
        <v/>
      </c>
      <c r="M451" s="11">
        <f>IF(AND(AND(C451&lt;&gt;"",E451&lt;&gt;"",I451&lt;&gt;"",OR(Settings!$B$10="No",I451&lt;&gt;E451)),G451="Paid a pro",Settings!$B$9="Yes"),MAX(0,H451-K451*F451),0)</f>
        <v/>
      </c>
      <c r="N451" s="3">
        <f>IF(C451="","",IF(B451="","Enter the boat number",IF(B451&gt;Settings!$B$6,"Boat number above the boat count",IF(SUMIFS($F$5:$F$1004,$B$5:$B$1004,B451,$C$5:$C$1004,C451)&gt;1.0001,"Shares for this step add up to over 100%",IF(I451="","Waiting for sign-off",IF(AND(Settings!$B$10="Yes",I451=E451),"Needs a different member to sign off","OK"))))))</f>
        <v/>
      </c>
    </row>
    <row r="452">
      <c r="A452" s="9" t="n"/>
      <c r="B452" s="6" t="n"/>
      <c r="C452" s="6" t="n"/>
      <c r="D452" s="3">
        <f>IF(C452="","",IFERROR(INDEX(Steps!$C$5:$C$62,MATCH(C452,Steps!$A$5:$A$62,0)),""))</f>
        <v/>
      </c>
      <c r="E452" s="6" t="n"/>
      <c r="F452" s="8" t="n"/>
      <c r="G452" s="6" t="n"/>
      <c r="H452" s="7" t="n"/>
      <c r="I452" s="6" t="n"/>
      <c r="J452" s="9" t="n"/>
      <c r="K452" s="11">
        <f>IF(C452="","",N(IFERROR(INDEX(Steps!$E$5:$E$62,MATCH(C452,Steps!$A$5:$A$62,0)),"")))</f>
        <v/>
      </c>
      <c r="L452" s="11">
        <f>IF(AND(C452&lt;&gt;"",E452&lt;&gt;"",I452&lt;&gt;"",OR(Settings!$B$10="No",I452&lt;&gt;E452)),K452*F452,0)</f>
        <v/>
      </c>
      <c r="M452" s="11">
        <f>IF(AND(AND(C452&lt;&gt;"",E452&lt;&gt;"",I452&lt;&gt;"",OR(Settings!$B$10="No",I452&lt;&gt;E452)),G452="Paid a pro",Settings!$B$9="Yes"),MAX(0,H452-K452*F452),0)</f>
        <v/>
      </c>
      <c r="N452" s="3">
        <f>IF(C452="","",IF(B452="","Enter the boat number",IF(B452&gt;Settings!$B$6,"Boat number above the boat count",IF(SUMIFS($F$5:$F$1004,$B$5:$B$1004,B452,$C$5:$C$1004,C452)&gt;1.0001,"Shares for this step add up to over 100%",IF(I452="","Waiting for sign-off",IF(AND(Settings!$B$10="Yes",I452=E452),"Needs a different member to sign off","OK"))))))</f>
        <v/>
      </c>
    </row>
    <row r="453">
      <c r="A453" s="9" t="n"/>
      <c r="B453" s="6" t="n"/>
      <c r="C453" s="6" t="n"/>
      <c r="D453" s="3">
        <f>IF(C453="","",IFERROR(INDEX(Steps!$C$5:$C$62,MATCH(C453,Steps!$A$5:$A$62,0)),""))</f>
        <v/>
      </c>
      <c r="E453" s="6" t="n"/>
      <c r="F453" s="8" t="n"/>
      <c r="G453" s="6" t="n"/>
      <c r="H453" s="7" t="n"/>
      <c r="I453" s="6" t="n"/>
      <c r="J453" s="9" t="n"/>
      <c r="K453" s="11">
        <f>IF(C453="","",N(IFERROR(INDEX(Steps!$E$5:$E$62,MATCH(C453,Steps!$A$5:$A$62,0)),"")))</f>
        <v/>
      </c>
      <c r="L453" s="11">
        <f>IF(AND(C453&lt;&gt;"",E453&lt;&gt;"",I453&lt;&gt;"",OR(Settings!$B$10="No",I453&lt;&gt;E453)),K453*F453,0)</f>
        <v/>
      </c>
      <c r="M453" s="11">
        <f>IF(AND(AND(C453&lt;&gt;"",E453&lt;&gt;"",I453&lt;&gt;"",OR(Settings!$B$10="No",I453&lt;&gt;E453)),G453="Paid a pro",Settings!$B$9="Yes"),MAX(0,H453-K453*F453),0)</f>
        <v/>
      </c>
      <c r="N453" s="3">
        <f>IF(C453="","",IF(B453="","Enter the boat number",IF(B453&gt;Settings!$B$6,"Boat number above the boat count",IF(SUMIFS($F$5:$F$1004,$B$5:$B$1004,B453,$C$5:$C$1004,C453)&gt;1.0001,"Shares for this step add up to over 100%",IF(I453="","Waiting for sign-off",IF(AND(Settings!$B$10="Yes",I453=E453),"Needs a different member to sign off","OK"))))))</f>
        <v/>
      </c>
    </row>
    <row r="454">
      <c r="A454" s="9" t="n"/>
      <c r="B454" s="6" t="n"/>
      <c r="C454" s="6" t="n"/>
      <c r="D454" s="3">
        <f>IF(C454="","",IFERROR(INDEX(Steps!$C$5:$C$62,MATCH(C454,Steps!$A$5:$A$62,0)),""))</f>
        <v/>
      </c>
      <c r="E454" s="6" t="n"/>
      <c r="F454" s="8" t="n"/>
      <c r="G454" s="6" t="n"/>
      <c r="H454" s="7" t="n"/>
      <c r="I454" s="6" t="n"/>
      <c r="J454" s="9" t="n"/>
      <c r="K454" s="11">
        <f>IF(C454="","",N(IFERROR(INDEX(Steps!$E$5:$E$62,MATCH(C454,Steps!$A$5:$A$62,0)),"")))</f>
        <v/>
      </c>
      <c r="L454" s="11">
        <f>IF(AND(C454&lt;&gt;"",E454&lt;&gt;"",I454&lt;&gt;"",OR(Settings!$B$10="No",I454&lt;&gt;E454)),K454*F454,0)</f>
        <v/>
      </c>
      <c r="M454" s="11">
        <f>IF(AND(AND(C454&lt;&gt;"",E454&lt;&gt;"",I454&lt;&gt;"",OR(Settings!$B$10="No",I454&lt;&gt;E454)),G454="Paid a pro",Settings!$B$9="Yes"),MAX(0,H454-K454*F454),0)</f>
        <v/>
      </c>
      <c r="N454" s="3">
        <f>IF(C454="","",IF(B454="","Enter the boat number",IF(B454&gt;Settings!$B$6,"Boat number above the boat count",IF(SUMIFS($F$5:$F$1004,$B$5:$B$1004,B454,$C$5:$C$1004,C454)&gt;1.0001,"Shares for this step add up to over 100%",IF(I454="","Waiting for sign-off",IF(AND(Settings!$B$10="Yes",I454=E454),"Needs a different member to sign off","OK"))))))</f>
        <v/>
      </c>
    </row>
    <row r="455">
      <c r="A455" s="9" t="n"/>
      <c r="B455" s="6" t="n"/>
      <c r="C455" s="6" t="n"/>
      <c r="D455" s="3">
        <f>IF(C455="","",IFERROR(INDEX(Steps!$C$5:$C$62,MATCH(C455,Steps!$A$5:$A$62,0)),""))</f>
        <v/>
      </c>
      <c r="E455" s="6" t="n"/>
      <c r="F455" s="8" t="n"/>
      <c r="G455" s="6" t="n"/>
      <c r="H455" s="7" t="n"/>
      <c r="I455" s="6" t="n"/>
      <c r="J455" s="9" t="n"/>
      <c r="K455" s="11">
        <f>IF(C455="","",N(IFERROR(INDEX(Steps!$E$5:$E$62,MATCH(C455,Steps!$A$5:$A$62,0)),"")))</f>
        <v/>
      </c>
      <c r="L455" s="11">
        <f>IF(AND(C455&lt;&gt;"",E455&lt;&gt;"",I455&lt;&gt;"",OR(Settings!$B$10="No",I455&lt;&gt;E455)),K455*F455,0)</f>
        <v/>
      </c>
      <c r="M455" s="11">
        <f>IF(AND(AND(C455&lt;&gt;"",E455&lt;&gt;"",I455&lt;&gt;"",OR(Settings!$B$10="No",I455&lt;&gt;E455)),G455="Paid a pro",Settings!$B$9="Yes"),MAX(0,H455-K455*F455),0)</f>
        <v/>
      </c>
      <c r="N455" s="3">
        <f>IF(C455="","",IF(B455="","Enter the boat number",IF(B455&gt;Settings!$B$6,"Boat number above the boat count",IF(SUMIFS($F$5:$F$1004,$B$5:$B$1004,B455,$C$5:$C$1004,C455)&gt;1.0001,"Shares for this step add up to over 100%",IF(I455="","Waiting for sign-off",IF(AND(Settings!$B$10="Yes",I455=E455),"Needs a different member to sign off","OK"))))))</f>
        <v/>
      </c>
    </row>
    <row r="456">
      <c r="A456" s="9" t="n"/>
      <c r="B456" s="6" t="n"/>
      <c r="C456" s="6" t="n"/>
      <c r="D456" s="3">
        <f>IF(C456="","",IFERROR(INDEX(Steps!$C$5:$C$62,MATCH(C456,Steps!$A$5:$A$62,0)),""))</f>
        <v/>
      </c>
      <c r="E456" s="6" t="n"/>
      <c r="F456" s="8" t="n"/>
      <c r="G456" s="6" t="n"/>
      <c r="H456" s="7" t="n"/>
      <c r="I456" s="6" t="n"/>
      <c r="J456" s="9" t="n"/>
      <c r="K456" s="11">
        <f>IF(C456="","",N(IFERROR(INDEX(Steps!$E$5:$E$62,MATCH(C456,Steps!$A$5:$A$62,0)),"")))</f>
        <v/>
      </c>
      <c r="L456" s="11">
        <f>IF(AND(C456&lt;&gt;"",E456&lt;&gt;"",I456&lt;&gt;"",OR(Settings!$B$10="No",I456&lt;&gt;E456)),K456*F456,0)</f>
        <v/>
      </c>
      <c r="M456" s="11">
        <f>IF(AND(AND(C456&lt;&gt;"",E456&lt;&gt;"",I456&lt;&gt;"",OR(Settings!$B$10="No",I456&lt;&gt;E456)),G456="Paid a pro",Settings!$B$9="Yes"),MAX(0,H456-K456*F456),0)</f>
        <v/>
      </c>
      <c r="N456" s="3">
        <f>IF(C456="","",IF(B456="","Enter the boat number",IF(B456&gt;Settings!$B$6,"Boat number above the boat count",IF(SUMIFS($F$5:$F$1004,$B$5:$B$1004,B456,$C$5:$C$1004,C456)&gt;1.0001,"Shares for this step add up to over 100%",IF(I456="","Waiting for sign-off",IF(AND(Settings!$B$10="Yes",I456=E456),"Needs a different member to sign off","OK"))))))</f>
        <v/>
      </c>
    </row>
    <row r="457">
      <c r="A457" s="9" t="n"/>
      <c r="B457" s="6" t="n"/>
      <c r="C457" s="6" t="n"/>
      <c r="D457" s="3">
        <f>IF(C457="","",IFERROR(INDEX(Steps!$C$5:$C$62,MATCH(C457,Steps!$A$5:$A$62,0)),""))</f>
        <v/>
      </c>
      <c r="E457" s="6" t="n"/>
      <c r="F457" s="8" t="n"/>
      <c r="G457" s="6" t="n"/>
      <c r="H457" s="7" t="n"/>
      <c r="I457" s="6" t="n"/>
      <c r="J457" s="9" t="n"/>
      <c r="K457" s="11">
        <f>IF(C457="","",N(IFERROR(INDEX(Steps!$E$5:$E$62,MATCH(C457,Steps!$A$5:$A$62,0)),"")))</f>
        <v/>
      </c>
      <c r="L457" s="11">
        <f>IF(AND(C457&lt;&gt;"",E457&lt;&gt;"",I457&lt;&gt;"",OR(Settings!$B$10="No",I457&lt;&gt;E457)),K457*F457,0)</f>
        <v/>
      </c>
      <c r="M457" s="11">
        <f>IF(AND(AND(C457&lt;&gt;"",E457&lt;&gt;"",I457&lt;&gt;"",OR(Settings!$B$10="No",I457&lt;&gt;E457)),G457="Paid a pro",Settings!$B$9="Yes"),MAX(0,H457-K457*F457),0)</f>
        <v/>
      </c>
      <c r="N457" s="3">
        <f>IF(C457="","",IF(B457="","Enter the boat number",IF(B457&gt;Settings!$B$6,"Boat number above the boat count",IF(SUMIFS($F$5:$F$1004,$B$5:$B$1004,B457,$C$5:$C$1004,C457)&gt;1.0001,"Shares for this step add up to over 100%",IF(I457="","Waiting for sign-off",IF(AND(Settings!$B$10="Yes",I457=E457),"Needs a different member to sign off","OK"))))))</f>
        <v/>
      </c>
    </row>
    <row r="458">
      <c r="A458" s="9" t="n"/>
      <c r="B458" s="6" t="n"/>
      <c r="C458" s="6" t="n"/>
      <c r="D458" s="3">
        <f>IF(C458="","",IFERROR(INDEX(Steps!$C$5:$C$62,MATCH(C458,Steps!$A$5:$A$62,0)),""))</f>
        <v/>
      </c>
      <c r="E458" s="6" t="n"/>
      <c r="F458" s="8" t="n"/>
      <c r="G458" s="6" t="n"/>
      <c r="H458" s="7" t="n"/>
      <c r="I458" s="6" t="n"/>
      <c r="J458" s="9" t="n"/>
      <c r="K458" s="11">
        <f>IF(C458="","",N(IFERROR(INDEX(Steps!$E$5:$E$62,MATCH(C458,Steps!$A$5:$A$62,0)),"")))</f>
        <v/>
      </c>
      <c r="L458" s="11">
        <f>IF(AND(C458&lt;&gt;"",E458&lt;&gt;"",I458&lt;&gt;"",OR(Settings!$B$10="No",I458&lt;&gt;E458)),K458*F458,0)</f>
        <v/>
      </c>
      <c r="M458" s="11">
        <f>IF(AND(AND(C458&lt;&gt;"",E458&lt;&gt;"",I458&lt;&gt;"",OR(Settings!$B$10="No",I458&lt;&gt;E458)),G458="Paid a pro",Settings!$B$9="Yes"),MAX(0,H458-K458*F458),0)</f>
        <v/>
      </c>
      <c r="N458" s="3">
        <f>IF(C458="","",IF(B458="","Enter the boat number",IF(B458&gt;Settings!$B$6,"Boat number above the boat count",IF(SUMIFS($F$5:$F$1004,$B$5:$B$1004,B458,$C$5:$C$1004,C458)&gt;1.0001,"Shares for this step add up to over 100%",IF(I458="","Waiting for sign-off",IF(AND(Settings!$B$10="Yes",I458=E458),"Needs a different member to sign off","OK"))))))</f>
        <v/>
      </c>
    </row>
    <row r="459">
      <c r="A459" s="9" t="n"/>
      <c r="B459" s="6" t="n"/>
      <c r="C459" s="6" t="n"/>
      <c r="D459" s="3">
        <f>IF(C459="","",IFERROR(INDEX(Steps!$C$5:$C$62,MATCH(C459,Steps!$A$5:$A$62,0)),""))</f>
        <v/>
      </c>
      <c r="E459" s="6" t="n"/>
      <c r="F459" s="8" t="n"/>
      <c r="G459" s="6" t="n"/>
      <c r="H459" s="7" t="n"/>
      <c r="I459" s="6" t="n"/>
      <c r="J459" s="9" t="n"/>
      <c r="K459" s="11">
        <f>IF(C459="","",N(IFERROR(INDEX(Steps!$E$5:$E$62,MATCH(C459,Steps!$A$5:$A$62,0)),"")))</f>
        <v/>
      </c>
      <c r="L459" s="11">
        <f>IF(AND(C459&lt;&gt;"",E459&lt;&gt;"",I459&lt;&gt;"",OR(Settings!$B$10="No",I459&lt;&gt;E459)),K459*F459,0)</f>
        <v/>
      </c>
      <c r="M459" s="11">
        <f>IF(AND(AND(C459&lt;&gt;"",E459&lt;&gt;"",I459&lt;&gt;"",OR(Settings!$B$10="No",I459&lt;&gt;E459)),G459="Paid a pro",Settings!$B$9="Yes"),MAX(0,H459-K459*F459),0)</f>
        <v/>
      </c>
      <c r="N459" s="3">
        <f>IF(C459="","",IF(B459="","Enter the boat number",IF(B459&gt;Settings!$B$6,"Boat number above the boat count",IF(SUMIFS($F$5:$F$1004,$B$5:$B$1004,B459,$C$5:$C$1004,C459)&gt;1.0001,"Shares for this step add up to over 100%",IF(I459="","Waiting for sign-off",IF(AND(Settings!$B$10="Yes",I459=E459),"Needs a different member to sign off","OK"))))))</f>
        <v/>
      </c>
    </row>
    <row r="460">
      <c r="A460" s="9" t="n"/>
      <c r="B460" s="6" t="n"/>
      <c r="C460" s="6" t="n"/>
      <c r="D460" s="3">
        <f>IF(C460="","",IFERROR(INDEX(Steps!$C$5:$C$62,MATCH(C460,Steps!$A$5:$A$62,0)),""))</f>
        <v/>
      </c>
      <c r="E460" s="6" t="n"/>
      <c r="F460" s="8" t="n"/>
      <c r="G460" s="6" t="n"/>
      <c r="H460" s="7" t="n"/>
      <c r="I460" s="6" t="n"/>
      <c r="J460" s="9" t="n"/>
      <c r="K460" s="11">
        <f>IF(C460="","",N(IFERROR(INDEX(Steps!$E$5:$E$62,MATCH(C460,Steps!$A$5:$A$62,0)),"")))</f>
        <v/>
      </c>
      <c r="L460" s="11">
        <f>IF(AND(C460&lt;&gt;"",E460&lt;&gt;"",I460&lt;&gt;"",OR(Settings!$B$10="No",I460&lt;&gt;E460)),K460*F460,0)</f>
        <v/>
      </c>
      <c r="M460" s="11">
        <f>IF(AND(AND(C460&lt;&gt;"",E460&lt;&gt;"",I460&lt;&gt;"",OR(Settings!$B$10="No",I460&lt;&gt;E460)),G460="Paid a pro",Settings!$B$9="Yes"),MAX(0,H460-K460*F460),0)</f>
        <v/>
      </c>
      <c r="N460" s="3">
        <f>IF(C460="","",IF(B460="","Enter the boat number",IF(B460&gt;Settings!$B$6,"Boat number above the boat count",IF(SUMIFS($F$5:$F$1004,$B$5:$B$1004,B460,$C$5:$C$1004,C460)&gt;1.0001,"Shares for this step add up to over 100%",IF(I460="","Waiting for sign-off",IF(AND(Settings!$B$10="Yes",I460=E460),"Needs a different member to sign off","OK"))))))</f>
        <v/>
      </c>
    </row>
    <row r="461">
      <c r="A461" s="9" t="n"/>
      <c r="B461" s="6" t="n"/>
      <c r="C461" s="6" t="n"/>
      <c r="D461" s="3">
        <f>IF(C461="","",IFERROR(INDEX(Steps!$C$5:$C$62,MATCH(C461,Steps!$A$5:$A$62,0)),""))</f>
        <v/>
      </c>
      <c r="E461" s="6" t="n"/>
      <c r="F461" s="8" t="n"/>
      <c r="G461" s="6" t="n"/>
      <c r="H461" s="7" t="n"/>
      <c r="I461" s="6" t="n"/>
      <c r="J461" s="9" t="n"/>
      <c r="K461" s="11">
        <f>IF(C461="","",N(IFERROR(INDEX(Steps!$E$5:$E$62,MATCH(C461,Steps!$A$5:$A$62,0)),"")))</f>
        <v/>
      </c>
      <c r="L461" s="11">
        <f>IF(AND(C461&lt;&gt;"",E461&lt;&gt;"",I461&lt;&gt;"",OR(Settings!$B$10="No",I461&lt;&gt;E461)),K461*F461,0)</f>
        <v/>
      </c>
      <c r="M461" s="11">
        <f>IF(AND(AND(C461&lt;&gt;"",E461&lt;&gt;"",I461&lt;&gt;"",OR(Settings!$B$10="No",I461&lt;&gt;E461)),G461="Paid a pro",Settings!$B$9="Yes"),MAX(0,H461-K461*F461),0)</f>
        <v/>
      </c>
      <c r="N461" s="3">
        <f>IF(C461="","",IF(B461="","Enter the boat number",IF(B461&gt;Settings!$B$6,"Boat number above the boat count",IF(SUMIFS($F$5:$F$1004,$B$5:$B$1004,B461,$C$5:$C$1004,C461)&gt;1.0001,"Shares for this step add up to over 100%",IF(I461="","Waiting for sign-off",IF(AND(Settings!$B$10="Yes",I461=E461),"Needs a different member to sign off","OK"))))))</f>
        <v/>
      </c>
    </row>
    <row r="462">
      <c r="A462" s="9" t="n"/>
      <c r="B462" s="6" t="n"/>
      <c r="C462" s="6" t="n"/>
      <c r="D462" s="3">
        <f>IF(C462="","",IFERROR(INDEX(Steps!$C$5:$C$62,MATCH(C462,Steps!$A$5:$A$62,0)),""))</f>
        <v/>
      </c>
      <c r="E462" s="6" t="n"/>
      <c r="F462" s="8" t="n"/>
      <c r="G462" s="6" t="n"/>
      <c r="H462" s="7" t="n"/>
      <c r="I462" s="6" t="n"/>
      <c r="J462" s="9" t="n"/>
      <c r="K462" s="11">
        <f>IF(C462="","",N(IFERROR(INDEX(Steps!$E$5:$E$62,MATCH(C462,Steps!$A$5:$A$62,0)),"")))</f>
        <v/>
      </c>
      <c r="L462" s="11">
        <f>IF(AND(C462&lt;&gt;"",E462&lt;&gt;"",I462&lt;&gt;"",OR(Settings!$B$10="No",I462&lt;&gt;E462)),K462*F462,0)</f>
        <v/>
      </c>
      <c r="M462" s="11">
        <f>IF(AND(AND(C462&lt;&gt;"",E462&lt;&gt;"",I462&lt;&gt;"",OR(Settings!$B$10="No",I462&lt;&gt;E462)),G462="Paid a pro",Settings!$B$9="Yes"),MAX(0,H462-K462*F462),0)</f>
        <v/>
      </c>
      <c r="N462" s="3">
        <f>IF(C462="","",IF(B462="","Enter the boat number",IF(B462&gt;Settings!$B$6,"Boat number above the boat count",IF(SUMIFS($F$5:$F$1004,$B$5:$B$1004,B462,$C$5:$C$1004,C462)&gt;1.0001,"Shares for this step add up to over 100%",IF(I462="","Waiting for sign-off",IF(AND(Settings!$B$10="Yes",I462=E462),"Needs a different member to sign off","OK"))))))</f>
        <v/>
      </c>
    </row>
    <row r="463">
      <c r="A463" s="9" t="n"/>
      <c r="B463" s="6" t="n"/>
      <c r="C463" s="6" t="n"/>
      <c r="D463" s="3">
        <f>IF(C463="","",IFERROR(INDEX(Steps!$C$5:$C$62,MATCH(C463,Steps!$A$5:$A$62,0)),""))</f>
        <v/>
      </c>
      <c r="E463" s="6" t="n"/>
      <c r="F463" s="8" t="n"/>
      <c r="G463" s="6" t="n"/>
      <c r="H463" s="7" t="n"/>
      <c r="I463" s="6" t="n"/>
      <c r="J463" s="9" t="n"/>
      <c r="K463" s="11">
        <f>IF(C463="","",N(IFERROR(INDEX(Steps!$E$5:$E$62,MATCH(C463,Steps!$A$5:$A$62,0)),"")))</f>
        <v/>
      </c>
      <c r="L463" s="11">
        <f>IF(AND(C463&lt;&gt;"",E463&lt;&gt;"",I463&lt;&gt;"",OR(Settings!$B$10="No",I463&lt;&gt;E463)),K463*F463,0)</f>
        <v/>
      </c>
      <c r="M463" s="11">
        <f>IF(AND(AND(C463&lt;&gt;"",E463&lt;&gt;"",I463&lt;&gt;"",OR(Settings!$B$10="No",I463&lt;&gt;E463)),G463="Paid a pro",Settings!$B$9="Yes"),MAX(0,H463-K463*F463),0)</f>
        <v/>
      </c>
      <c r="N463" s="3">
        <f>IF(C463="","",IF(B463="","Enter the boat number",IF(B463&gt;Settings!$B$6,"Boat number above the boat count",IF(SUMIFS($F$5:$F$1004,$B$5:$B$1004,B463,$C$5:$C$1004,C463)&gt;1.0001,"Shares for this step add up to over 100%",IF(I463="","Waiting for sign-off",IF(AND(Settings!$B$10="Yes",I463=E463),"Needs a different member to sign off","OK"))))))</f>
        <v/>
      </c>
    </row>
    <row r="464">
      <c r="A464" s="9" t="n"/>
      <c r="B464" s="6" t="n"/>
      <c r="C464" s="6" t="n"/>
      <c r="D464" s="3">
        <f>IF(C464="","",IFERROR(INDEX(Steps!$C$5:$C$62,MATCH(C464,Steps!$A$5:$A$62,0)),""))</f>
        <v/>
      </c>
      <c r="E464" s="6" t="n"/>
      <c r="F464" s="8" t="n"/>
      <c r="G464" s="6" t="n"/>
      <c r="H464" s="7" t="n"/>
      <c r="I464" s="6" t="n"/>
      <c r="J464" s="9" t="n"/>
      <c r="K464" s="11">
        <f>IF(C464="","",N(IFERROR(INDEX(Steps!$E$5:$E$62,MATCH(C464,Steps!$A$5:$A$62,0)),"")))</f>
        <v/>
      </c>
      <c r="L464" s="11">
        <f>IF(AND(C464&lt;&gt;"",E464&lt;&gt;"",I464&lt;&gt;"",OR(Settings!$B$10="No",I464&lt;&gt;E464)),K464*F464,0)</f>
        <v/>
      </c>
      <c r="M464" s="11">
        <f>IF(AND(AND(C464&lt;&gt;"",E464&lt;&gt;"",I464&lt;&gt;"",OR(Settings!$B$10="No",I464&lt;&gt;E464)),G464="Paid a pro",Settings!$B$9="Yes"),MAX(0,H464-K464*F464),0)</f>
        <v/>
      </c>
      <c r="N464" s="3">
        <f>IF(C464="","",IF(B464="","Enter the boat number",IF(B464&gt;Settings!$B$6,"Boat number above the boat count",IF(SUMIFS($F$5:$F$1004,$B$5:$B$1004,B464,$C$5:$C$1004,C464)&gt;1.0001,"Shares for this step add up to over 100%",IF(I464="","Waiting for sign-off",IF(AND(Settings!$B$10="Yes",I464=E464),"Needs a different member to sign off","OK"))))))</f>
        <v/>
      </c>
    </row>
    <row r="465">
      <c r="A465" s="9" t="n"/>
      <c r="B465" s="6" t="n"/>
      <c r="C465" s="6" t="n"/>
      <c r="D465" s="3">
        <f>IF(C465="","",IFERROR(INDEX(Steps!$C$5:$C$62,MATCH(C465,Steps!$A$5:$A$62,0)),""))</f>
        <v/>
      </c>
      <c r="E465" s="6" t="n"/>
      <c r="F465" s="8" t="n"/>
      <c r="G465" s="6" t="n"/>
      <c r="H465" s="7" t="n"/>
      <c r="I465" s="6" t="n"/>
      <c r="J465" s="9" t="n"/>
      <c r="K465" s="11">
        <f>IF(C465="","",N(IFERROR(INDEX(Steps!$E$5:$E$62,MATCH(C465,Steps!$A$5:$A$62,0)),"")))</f>
        <v/>
      </c>
      <c r="L465" s="11">
        <f>IF(AND(C465&lt;&gt;"",E465&lt;&gt;"",I465&lt;&gt;"",OR(Settings!$B$10="No",I465&lt;&gt;E465)),K465*F465,0)</f>
        <v/>
      </c>
      <c r="M465" s="11">
        <f>IF(AND(AND(C465&lt;&gt;"",E465&lt;&gt;"",I465&lt;&gt;"",OR(Settings!$B$10="No",I465&lt;&gt;E465)),G465="Paid a pro",Settings!$B$9="Yes"),MAX(0,H465-K465*F465),0)</f>
        <v/>
      </c>
      <c r="N465" s="3">
        <f>IF(C465="","",IF(B465="","Enter the boat number",IF(B465&gt;Settings!$B$6,"Boat number above the boat count",IF(SUMIFS($F$5:$F$1004,$B$5:$B$1004,B465,$C$5:$C$1004,C465)&gt;1.0001,"Shares for this step add up to over 100%",IF(I465="","Waiting for sign-off",IF(AND(Settings!$B$10="Yes",I465=E465),"Needs a different member to sign off","OK"))))))</f>
        <v/>
      </c>
    </row>
    <row r="466">
      <c r="A466" s="9" t="n"/>
      <c r="B466" s="6" t="n"/>
      <c r="C466" s="6" t="n"/>
      <c r="D466" s="3">
        <f>IF(C466="","",IFERROR(INDEX(Steps!$C$5:$C$62,MATCH(C466,Steps!$A$5:$A$62,0)),""))</f>
        <v/>
      </c>
      <c r="E466" s="6" t="n"/>
      <c r="F466" s="8" t="n"/>
      <c r="G466" s="6" t="n"/>
      <c r="H466" s="7" t="n"/>
      <c r="I466" s="6" t="n"/>
      <c r="J466" s="9" t="n"/>
      <c r="K466" s="11">
        <f>IF(C466="","",N(IFERROR(INDEX(Steps!$E$5:$E$62,MATCH(C466,Steps!$A$5:$A$62,0)),"")))</f>
        <v/>
      </c>
      <c r="L466" s="11">
        <f>IF(AND(C466&lt;&gt;"",E466&lt;&gt;"",I466&lt;&gt;"",OR(Settings!$B$10="No",I466&lt;&gt;E466)),K466*F466,0)</f>
        <v/>
      </c>
      <c r="M466" s="11">
        <f>IF(AND(AND(C466&lt;&gt;"",E466&lt;&gt;"",I466&lt;&gt;"",OR(Settings!$B$10="No",I466&lt;&gt;E466)),G466="Paid a pro",Settings!$B$9="Yes"),MAX(0,H466-K466*F466),0)</f>
        <v/>
      </c>
      <c r="N466" s="3">
        <f>IF(C466="","",IF(B466="","Enter the boat number",IF(B466&gt;Settings!$B$6,"Boat number above the boat count",IF(SUMIFS($F$5:$F$1004,$B$5:$B$1004,B466,$C$5:$C$1004,C466)&gt;1.0001,"Shares for this step add up to over 100%",IF(I466="","Waiting for sign-off",IF(AND(Settings!$B$10="Yes",I466=E466),"Needs a different member to sign off","OK"))))))</f>
        <v/>
      </c>
    </row>
    <row r="467">
      <c r="A467" s="9" t="n"/>
      <c r="B467" s="6" t="n"/>
      <c r="C467" s="6" t="n"/>
      <c r="D467" s="3">
        <f>IF(C467="","",IFERROR(INDEX(Steps!$C$5:$C$62,MATCH(C467,Steps!$A$5:$A$62,0)),""))</f>
        <v/>
      </c>
      <c r="E467" s="6" t="n"/>
      <c r="F467" s="8" t="n"/>
      <c r="G467" s="6" t="n"/>
      <c r="H467" s="7" t="n"/>
      <c r="I467" s="6" t="n"/>
      <c r="J467" s="9" t="n"/>
      <c r="K467" s="11">
        <f>IF(C467="","",N(IFERROR(INDEX(Steps!$E$5:$E$62,MATCH(C467,Steps!$A$5:$A$62,0)),"")))</f>
        <v/>
      </c>
      <c r="L467" s="11">
        <f>IF(AND(C467&lt;&gt;"",E467&lt;&gt;"",I467&lt;&gt;"",OR(Settings!$B$10="No",I467&lt;&gt;E467)),K467*F467,0)</f>
        <v/>
      </c>
      <c r="M467" s="11">
        <f>IF(AND(AND(C467&lt;&gt;"",E467&lt;&gt;"",I467&lt;&gt;"",OR(Settings!$B$10="No",I467&lt;&gt;E467)),G467="Paid a pro",Settings!$B$9="Yes"),MAX(0,H467-K467*F467),0)</f>
        <v/>
      </c>
      <c r="N467" s="3">
        <f>IF(C467="","",IF(B467="","Enter the boat number",IF(B467&gt;Settings!$B$6,"Boat number above the boat count",IF(SUMIFS($F$5:$F$1004,$B$5:$B$1004,B467,$C$5:$C$1004,C467)&gt;1.0001,"Shares for this step add up to over 100%",IF(I467="","Waiting for sign-off",IF(AND(Settings!$B$10="Yes",I467=E467),"Needs a different member to sign off","OK"))))))</f>
        <v/>
      </c>
    </row>
    <row r="468">
      <c r="A468" s="9" t="n"/>
      <c r="B468" s="6" t="n"/>
      <c r="C468" s="6" t="n"/>
      <c r="D468" s="3">
        <f>IF(C468="","",IFERROR(INDEX(Steps!$C$5:$C$62,MATCH(C468,Steps!$A$5:$A$62,0)),""))</f>
        <v/>
      </c>
      <c r="E468" s="6" t="n"/>
      <c r="F468" s="8" t="n"/>
      <c r="G468" s="6" t="n"/>
      <c r="H468" s="7" t="n"/>
      <c r="I468" s="6" t="n"/>
      <c r="J468" s="9" t="n"/>
      <c r="K468" s="11">
        <f>IF(C468="","",N(IFERROR(INDEX(Steps!$E$5:$E$62,MATCH(C468,Steps!$A$5:$A$62,0)),"")))</f>
        <v/>
      </c>
      <c r="L468" s="11">
        <f>IF(AND(C468&lt;&gt;"",E468&lt;&gt;"",I468&lt;&gt;"",OR(Settings!$B$10="No",I468&lt;&gt;E468)),K468*F468,0)</f>
        <v/>
      </c>
      <c r="M468" s="11">
        <f>IF(AND(AND(C468&lt;&gt;"",E468&lt;&gt;"",I468&lt;&gt;"",OR(Settings!$B$10="No",I468&lt;&gt;E468)),G468="Paid a pro",Settings!$B$9="Yes"),MAX(0,H468-K468*F468),0)</f>
        <v/>
      </c>
      <c r="N468" s="3">
        <f>IF(C468="","",IF(B468="","Enter the boat number",IF(B468&gt;Settings!$B$6,"Boat number above the boat count",IF(SUMIFS($F$5:$F$1004,$B$5:$B$1004,B468,$C$5:$C$1004,C468)&gt;1.0001,"Shares for this step add up to over 100%",IF(I468="","Waiting for sign-off",IF(AND(Settings!$B$10="Yes",I468=E468),"Needs a different member to sign off","OK"))))))</f>
        <v/>
      </c>
    </row>
    <row r="469">
      <c r="A469" s="9" t="n"/>
      <c r="B469" s="6" t="n"/>
      <c r="C469" s="6" t="n"/>
      <c r="D469" s="3">
        <f>IF(C469="","",IFERROR(INDEX(Steps!$C$5:$C$62,MATCH(C469,Steps!$A$5:$A$62,0)),""))</f>
        <v/>
      </c>
      <c r="E469" s="6" t="n"/>
      <c r="F469" s="8" t="n"/>
      <c r="G469" s="6" t="n"/>
      <c r="H469" s="7" t="n"/>
      <c r="I469" s="6" t="n"/>
      <c r="J469" s="9" t="n"/>
      <c r="K469" s="11">
        <f>IF(C469="","",N(IFERROR(INDEX(Steps!$E$5:$E$62,MATCH(C469,Steps!$A$5:$A$62,0)),"")))</f>
        <v/>
      </c>
      <c r="L469" s="11">
        <f>IF(AND(C469&lt;&gt;"",E469&lt;&gt;"",I469&lt;&gt;"",OR(Settings!$B$10="No",I469&lt;&gt;E469)),K469*F469,0)</f>
        <v/>
      </c>
      <c r="M469" s="11">
        <f>IF(AND(AND(C469&lt;&gt;"",E469&lt;&gt;"",I469&lt;&gt;"",OR(Settings!$B$10="No",I469&lt;&gt;E469)),G469="Paid a pro",Settings!$B$9="Yes"),MAX(0,H469-K469*F469),0)</f>
        <v/>
      </c>
      <c r="N469" s="3">
        <f>IF(C469="","",IF(B469="","Enter the boat number",IF(B469&gt;Settings!$B$6,"Boat number above the boat count",IF(SUMIFS($F$5:$F$1004,$B$5:$B$1004,B469,$C$5:$C$1004,C469)&gt;1.0001,"Shares for this step add up to over 100%",IF(I469="","Waiting for sign-off",IF(AND(Settings!$B$10="Yes",I469=E469),"Needs a different member to sign off","OK"))))))</f>
        <v/>
      </c>
    </row>
    <row r="470">
      <c r="A470" s="9" t="n"/>
      <c r="B470" s="6" t="n"/>
      <c r="C470" s="6" t="n"/>
      <c r="D470" s="3">
        <f>IF(C470="","",IFERROR(INDEX(Steps!$C$5:$C$62,MATCH(C470,Steps!$A$5:$A$62,0)),""))</f>
        <v/>
      </c>
      <c r="E470" s="6" t="n"/>
      <c r="F470" s="8" t="n"/>
      <c r="G470" s="6" t="n"/>
      <c r="H470" s="7" t="n"/>
      <c r="I470" s="6" t="n"/>
      <c r="J470" s="9" t="n"/>
      <c r="K470" s="11">
        <f>IF(C470="","",N(IFERROR(INDEX(Steps!$E$5:$E$62,MATCH(C470,Steps!$A$5:$A$62,0)),"")))</f>
        <v/>
      </c>
      <c r="L470" s="11">
        <f>IF(AND(C470&lt;&gt;"",E470&lt;&gt;"",I470&lt;&gt;"",OR(Settings!$B$10="No",I470&lt;&gt;E470)),K470*F470,0)</f>
        <v/>
      </c>
      <c r="M470" s="11">
        <f>IF(AND(AND(C470&lt;&gt;"",E470&lt;&gt;"",I470&lt;&gt;"",OR(Settings!$B$10="No",I470&lt;&gt;E470)),G470="Paid a pro",Settings!$B$9="Yes"),MAX(0,H470-K470*F470),0)</f>
        <v/>
      </c>
      <c r="N470" s="3">
        <f>IF(C470="","",IF(B470="","Enter the boat number",IF(B470&gt;Settings!$B$6,"Boat number above the boat count",IF(SUMIFS($F$5:$F$1004,$B$5:$B$1004,B470,$C$5:$C$1004,C470)&gt;1.0001,"Shares for this step add up to over 100%",IF(I470="","Waiting for sign-off",IF(AND(Settings!$B$10="Yes",I470=E470),"Needs a different member to sign off","OK"))))))</f>
        <v/>
      </c>
    </row>
    <row r="471">
      <c r="A471" s="9" t="n"/>
      <c r="B471" s="6" t="n"/>
      <c r="C471" s="6" t="n"/>
      <c r="D471" s="3">
        <f>IF(C471="","",IFERROR(INDEX(Steps!$C$5:$C$62,MATCH(C471,Steps!$A$5:$A$62,0)),""))</f>
        <v/>
      </c>
      <c r="E471" s="6" t="n"/>
      <c r="F471" s="8" t="n"/>
      <c r="G471" s="6" t="n"/>
      <c r="H471" s="7" t="n"/>
      <c r="I471" s="6" t="n"/>
      <c r="J471" s="9" t="n"/>
      <c r="K471" s="11">
        <f>IF(C471="","",N(IFERROR(INDEX(Steps!$E$5:$E$62,MATCH(C471,Steps!$A$5:$A$62,0)),"")))</f>
        <v/>
      </c>
      <c r="L471" s="11">
        <f>IF(AND(C471&lt;&gt;"",E471&lt;&gt;"",I471&lt;&gt;"",OR(Settings!$B$10="No",I471&lt;&gt;E471)),K471*F471,0)</f>
        <v/>
      </c>
      <c r="M471" s="11">
        <f>IF(AND(AND(C471&lt;&gt;"",E471&lt;&gt;"",I471&lt;&gt;"",OR(Settings!$B$10="No",I471&lt;&gt;E471)),G471="Paid a pro",Settings!$B$9="Yes"),MAX(0,H471-K471*F471),0)</f>
        <v/>
      </c>
      <c r="N471" s="3">
        <f>IF(C471="","",IF(B471="","Enter the boat number",IF(B471&gt;Settings!$B$6,"Boat number above the boat count",IF(SUMIFS($F$5:$F$1004,$B$5:$B$1004,B471,$C$5:$C$1004,C471)&gt;1.0001,"Shares for this step add up to over 100%",IF(I471="","Waiting for sign-off",IF(AND(Settings!$B$10="Yes",I471=E471),"Needs a different member to sign off","OK"))))))</f>
        <v/>
      </c>
    </row>
    <row r="472">
      <c r="A472" s="9" t="n"/>
      <c r="B472" s="6" t="n"/>
      <c r="C472" s="6" t="n"/>
      <c r="D472" s="3">
        <f>IF(C472="","",IFERROR(INDEX(Steps!$C$5:$C$62,MATCH(C472,Steps!$A$5:$A$62,0)),""))</f>
        <v/>
      </c>
      <c r="E472" s="6" t="n"/>
      <c r="F472" s="8" t="n"/>
      <c r="G472" s="6" t="n"/>
      <c r="H472" s="7" t="n"/>
      <c r="I472" s="6" t="n"/>
      <c r="J472" s="9" t="n"/>
      <c r="K472" s="11">
        <f>IF(C472="","",N(IFERROR(INDEX(Steps!$E$5:$E$62,MATCH(C472,Steps!$A$5:$A$62,0)),"")))</f>
        <v/>
      </c>
      <c r="L472" s="11">
        <f>IF(AND(C472&lt;&gt;"",E472&lt;&gt;"",I472&lt;&gt;"",OR(Settings!$B$10="No",I472&lt;&gt;E472)),K472*F472,0)</f>
        <v/>
      </c>
      <c r="M472" s="11">
        <f>IF(AND(AND(C472&lt;&gt;"",E472&lt;&gt;"",I472&lt;&gt;"",OR(Settings!$B$10="No",I472&lt;&gt;E472)),G472="Paid a pro",Settings!$B$9="Yes"),MAX(0,H472-K472*F472),0)</f>
        <v/>
      </c>
      <c r="N472" s="3">
        <f>IF(C472="","",IF(B472="","Enter the boat number",IF(B472&gt;Settings!$B$6,"Boat number above the boat count",IF(SUMIFS($F$5:$F$1004,$B$5:$B$1004,B472,$C$5:$C$1004,C472)&gt;1.0001,"Shares for this step add up to over 100%",IF(I472="","Waiting for sign-off",IF(AND(Settings!$B$10="Yes",I472=E472),"Needs a different member to sign off","OK"))))))</f>
        <v/>
      </c>
    </row>
    <row r="473">
      <c r="A473" s="9" t="n"/>
      <c r="B473" s="6" t="n"/>
      <c r="C473" s="6" t="n"/>
      <c r="D473" s="3">
        <f>IF(C473="","",IFERROR(INDEX(Steps!$C$5:$C$62,MATCH(C473,Steps!$A$5:$A$62,0)),""))</f>
        <v/>
      </c>
      <c r="E473" s="6" t="n"/>
      <c r="F473" s="8" t="n"/>
      <c r="G473" s="6" t="n"/>
      <c r="H473" s="7" t="n"/>
      <c r="I473" s="6" t="n"/>
      <c r="J473" s="9" t="n"/>
      <c r="K473" s="11">
        <f>IF(C473="","",N(IFERROR(INDEX(Steps!$E$5:$E$62,MATCH(C473,Steps!$A$5:$A$62,0)),"")))</f>
        <v/>
      </c>
      <c r="L473" s="11">
        <f>IF(AND(C473&lt;&gt;"",E473&lt;&gt;"",I473&lt;&gt;"",OR(Settings!$B$10="No",I473&lt;&gt;E473)),K473*F473,0)</f>
        <v/>
      </c>
      <c r="M473" s="11">
        <f>IF(AND(AND(C473&lt;&gt;"",E473&lt;&gt;"",I473&lt;&gt;"",OR(Settings!$B$10="No",I473&lt;&gt;E473)),G473="Paid a pro",Settings!$B$9="Yes"),MAX(0,H473-K473*F473),0)</f>
        <v/>
      </c>
      <c r="N473" s="3">
        <f>IF(C473="","",IF(B473="","Enter the boat number",IF(B473&gt;Settings!$B$6,"Boat number above the boat count",IF(SUMIFS($F$5:$F$1004,$B$5:$B$1004,B473,$C$5:$C$1004,C473)&gt;1.0001,"Shares for this step add up to over 100%",IF(I473="","Waiting for sign-off",IF(AND(Settings!$B$10="Yes",I473=E473),"Needs a different member to sign off","OK"))))))</f>
        <v/>
      </c>
    </row>
    <row r="474">
      <c r="A474" s="9" t="n"/>
      <c r="B474" s="6" t="n"/>
      <c r="C474" s="6" t="n"/>
      <c r="D474" s="3">
        <f>IF(C474="","",IFERROR(INDEX(Steps!$C$5:$C$62,MATCH(C474,Steps!$A$5:$A$62,0)),""))</f>
        <v/>
      </c>
      <c r="E474" s="6" t="n"/>
      <c r="F474" s="8" t="n"/>
      <c r="G474" s="6" t="n"/>
      <c r="H474" s="7" t="n"/>
      <c r="I474" s="6" t="n"/>
      <c r="J474" s="9" t="n"/>
      <c r="K474" s="11">
        <f>IF(C474="","",N(IFERROR(INDEX(Steps!$E$5:$E$62,MATCH(C474,Steps!$A$5:$A$62,0)),"")))</f>
        <v/>
      </c>
      <c r="L474" s="11">
        <f>IF(AND(C474&lt;&gt;"",E474&lt;&gt;"",I474&lt;&gt;"",OR(Settings!$B$10="No",I474&lt;&gt;E474)),K474*F474,0)</f>
        <v/>
      </c>
      <c r="M474" s="11">
        <f>IF(AND(AND(C474&lt;&gt;"",E474&lt;&gt;"",I474&lt;&gt;"",OR(Settings!$B$10="No",I474&lt;&gt;E474)),G474="Paid a pro",Settings!$B$9="Yes"),MAX(0,H474-K474*F474),0)</f>
        <v/>
      </c>
      <c r="N474" s="3">
        <f>IF(C474="","",IF(B474="","Enter the boat number",IF(B474&gt;Settings!$B$6,"Boat number above the boat count",IF(SUMIFS($F$5:$F$1004,$B$5:$B$1004,B474,$C$5:$C$1004,C474)&gt;1.0001,"Shares for this step add up to over 100%",IF(I474="","Waiting for sign-off",IF(AND(Settings!$B$10="Yes",I474=E474),"Needs a different member to sign off","OK"))))))</f>
        <v/>
      </c>
    </row>
    <row r="475">
      <c r="A475" s="9" t="n"/>
      <c r="B475" s="6" t="n"/>
      <c r="C475" s="6" t="n"/>
      <c r="D475" s="3">
        <f>IF(C475="","",IFERROR(INDEX(Steps!$C$5:$C$62,MATCH(C475,Steps!$A$5:$A$62,0)),""))</f>
        <v/>
      </c>
      <c r="E475" s="6" t="n"/>
      <c r="F475" s="8" t="n"/>
      <c r="G475" s="6" t="n"/>
      <c r="H475" s="7" t="n"/>
      <c r="I475" s="6" t="n"/>
      <c r="J475" s="9" t="n"/>
      <c r="K475" s="11">
        <f>IF(C475="","",N(IFERROR(INDEX(Steps!$E$5:$E$62,MATCH(C475,Steps!$A$5:$A$62,0)),"")))</f>
        <v/>
      </c>
      <c r="L475" s="11">
        <f>IF(AND(C475&lt;&gt;"",E475&lt;&gt;"",I475&lt;&gt;"",OR(Settings!$B$10="No",I475&lt;&gt;E475)),K475*F475,0)</f>
        <v/>
      </c>
      <c r="M475" s="11">
        <f>IF(AND(AND(C475&lt;&gt;"",E475&lt;&gt;"",I475&lt;&gt;"",OR(Settings!$B$10="No",I475&lt;&gt;E475)),G475="Paid a pro",Settings!$B$9="Yes"),MAX(0,H475-K475*F475),0)</f>
        <v/>
      </c>
      <c r="N475" s="3">
        <f>IF(C475="","",IF(B475="","Enter the boat number",IF(B475&gt;Settings!$B$6,"Boat number above the boat count",IF(SUMIFS($F$5:$F$1004,$B$5:$B$1004,B475,$C$5:$C$1004,C475)&gt;1.0001,"Shares for this step add up to over 100%",IF(I475="","Waiting for sign-off",IF(AND(Settings!$B$10="Yes",I475=E475),"Needs a different member to sign off","OK"))))))</f>
        <v/>
      </c>
    </row>
    <row r="476">
      <c r="A476" s="9" t="n"/>
      <c r="B476" s="6" t="n"/>
      <c r="C476" s="6" t="n"/>
      <c r="D476" s="3">
        <f>IF(C476="","",IFERROR(INDEX(Steps!$C$5:$C$62,MATCH(C476,Steps!$A$5:$A$62,0)),""))</f>
        <v/>
      </c>
      <c r="E476" s="6" t="n"/>
      <c r="F476" s="8" t="n"/>
      <c r="G476" s="6" t="n"/>
      <c r="H476" s="7" t="n"/>
      <c r="I476" s="6" t="n"/>
      <c r="J476" s="9" t="n"/>
      <c r="K476" s="11">
        <f>IF(C476="","",N(IFERROR(INDEX(Steps!$E$5:$E$62,MATCH(C476,Steps!$A$5:$A$62,0)),"")))</f>
        <v/>
      </c>
      <c r="L476" s="11">
        <f>IF(AND(C476&lt;&gt;"",E476&lt;&gt;"",I476&lt;&gt;"",OR(Settings!$B$10="No",I476&lt;&gt;E476)),K476*F476,0)</f>
        <v/>
      </c>
      <c r="M476" s="11">
        <f>IF(AND(AND(C476&lt;&gt;"",E476&lt;&gt;"",I476&lt;&gt;"",OR(Settings!$B$10="No",I476&lt;&gt;E476)),G476="Paid a pro",Settings!$B$9="Yes"),MAX(0,H476-K476*F476),0)</f>
        <v/>
      </c>
      <c r="N476" s="3">
        <f>IF(C476="","",IF(B476="","Enter the boat number",IF(B476&gt;Settings!$B$6,"Boat number above the boat count",IF(SUMIFS($F$5:$F$1004,$B$5:$B$1004,B476,$C$5:$C$1004,C476)&gt;1.0001,"Shares for this step add up to over 100%",IF(I476="","Waiting for sign-off",IF(AND(Settings!$B$10="Yes",I476=E476),"Needs a different member to sign off","OK"))))))</f>
        <v/>
      </c>
    </row>
    <row r="477">
      <c r="A477" s="9" t="n"/>
      <c r="B477" s="6" t="n"/>
      <c r="C477" s="6" t="n"/>
      <c r="D477" s="3">
        <f>IF(C477="","",IFERROR(INDEX(Steps!$C$5:$C$62,MATCH(C477,Steps!$A$5:$A$62,0)),""))</f>
        <v/>
      </c>
      <c r="E477" s="6" t="n"/>
      <c r="F477" s="8" t="n"/>
      <c r="G477" s="6" t="n"/>
      <c r="H477" s="7" t="n"/>
      <c r="I477" s="6" t="n"/>
      <c r="J477" s="9" t="n"/>
      <c r="K477" s="11">
        <f>IF(C477="","",N(IFERROR(INDEX(Steps!$E$5:$E$62,MATCH(C477,Steps!$A$5:$A$62,0)),"")))</f>
        <v/>
      </c>
      <c r="L477" s="11">
        <f>IF(AND(C477&lt;&gt;"",E477&lt;&gt;"",I477&lt;&gt;"",OR(Settings!$B$10="No",I477&lt;&gt;E477)),K477*F477,0)</f>
        <v/>
      </c>
      <c r="M477" s="11">
        <f>IF(AND(AND(C477&lt;&gt;"",E477&lt;&gt;"",I477&lt;&gt;"",OR(Settings!$B$10="No",I477&lt;&gt;E477)),G477="Paid a pro",Settings!$B$9="Yes"),MAX(0,H477-K477*F477),0)</f>
        <v/>
      </c>
      <c r="N477" s="3">
        <f>IF(C477="","",IF(B477="","Enter the boat number",IF(B477&gt;Settings!$B$6,"Boat number above the boat count",IF(SUMIFS($F$5:$F$1004,$B$5:$B$1004,B477,$C$5:$C$1004,C477)&gt;1.0001,"Shares for this step add up to over 100%",IF(I477="","Waiting for sign-off",IF(AND(Settings!$B$10="Yes",I477=E477),"Needs a different member to sign off","OK"))))))</f>
        <v/>
      </c>
    </row>
    <row r="478">
      <c r="A478" s="9" t="n"/>
      <c r="B478" s="6" t="n"/>
      <c r="C478" s="6" t="n"/>
      <c r="D478" s="3">
        <f>IF(C478="","",IFERROR(INDEX(Steps!$C$5:$C$62,MATCH(C478,Steps!$A$5:$A$62,0)),""))</f>
        <v/>
      </c>
      <c r="E478" s="6" t="n"/>
      <c r="F478" s="8" t="n"/>
      <c r="G478" s="6" t="n"/>
      <c r="H478" s="7" t="n"/>
      <c r="I478" s="6" t="n"/>
      <c r="J478" s="9" t="n"/>
      <c r="K478" s="11">
        <f>IF(C478="","",N(IFERROR(INDEX(Steps!$E$5:$E$62,MATCH(C478,Steps!$A$5:$A$62,0)),"")))</f>
        <v/>
      </c>
      <c r="L478" s="11">
        <f>IF(AND(C478&lt;&gt;"",E478&lt;&gt;"",I478&lt;&gt;"",OR(Settings!$B$10="No",I478&lt;&gt;E478)),K478*F478,0)</f>
        <v/>
      </c>
      <c r="M478" s="11">
        <f>IF(AND(AND(C478&lt;&gt;"",E478&lt;&gt;"",I478&lt;&gt;"",OR(Settings!$B$10="No",I478&lt;&gt;E478)),G478="Paid a pro",Settings!$B$9="Yes"),MAX(0,H478-K478*F478),0)</f>
        <v/>
      </c>
      <c r="N478" s="3">
        <f>IF(C478="","",IF(B478="","Enter the boat number",IF(B478&gt;Settings!$B$6,"Boat number above the boat count",IF(SUMIFS($F$5:$F$1004,$B$5:$B$1004,B478,$C$5:$C$1004,C478)&gt;1.0001,"Shares for this step add up to over 100%",IF(I478="","Waiting for sign-off",IF(AND(Settings!$B$10="Yes",I478=E478),"Needs a different member to sign off","OK"))))))</f>
        <v/>
      </c>
    </row>
    <row r="479">
      <c r="A479" s="9" t="n"/>
      <c r="B479" s="6" t="n"/>
      <c r="C479" s="6" t="n"/>
      <c r="D479" s="3">
        <f>IF(C479="","",IFERROR(INDEX(Steps!$C$5:$C$62,MATCH(C479,Steps!$A$5:$A$62,0)),""))</f>
        <v/>
      </c>
      <c r="E479" s="6" t="n"/>
      <c r="F479" s="8" t="n"/>
      <c r="G479" s="6" t="n"/>
      <c r="H479" s="7" t="n"/>
      <c r="I479" s="6" t="n"/>
      <c r="J479" s="9" t="n"/>
      <c r="K479" s="11">
        <f>IF(C479="","",N(IFERROR(INDEX(Steps!$E$5:$E$62,MATCH(C479,Steps!$A$5:$A$62,0)),"")))</f>
        <v/>
      </c>
      <c r="L479" s="11">
        <f>IF(AND(C479&lt;&gt;"",E479&lt;&gt;"",I479&lt;&gt;"",OR(Settings!$B$10="No",I479&lt;&gt;E479)),K479*F479,0)</f>
        <v/>
      </c>
      <c r="M479" s="11">
        <f>IF(AND(AND(C479&lt;&gt;"",E479&lt;&gt;"",I479&lt;&gt;"",OR(Settings!$B$10="No",I479&lt;&gt;E479)),G479="Paid a pro",Settings!$B$9="Yes"),MAX(0,H479-K479*F479),0)</f>
        <v/>
      </c>
      <c r="N479" s="3">
        <f>IF(C479="","",IF(B479="","Enter the boat number",IF(B479&gt;Settings!$B$6,"Boat number above the boat count",IF(SUMIFS($F$5:$F$1004,$B$5:$B$1004,B479,$C$5:$C$1004,C479)&gt;1.0001,"Shares for this step add up to over 100%",IF(I479="","Waiting for sign-off",IF(AND(Settings!$B$10="Yes",I479=E479),"Needs a different member to sign off","OK"))))))</f>
        <v/>
      </c>
    </row>
    <row r="480">
      <c r="A480" s="9" t="n"/>
      <c r="B480" s="6" t="n"/>
      <c r="C480" s="6" t="n"/>
      <c r="D480" s="3">
        <f>IF(C480="","",IFERROR(INDEX(Steps!$C$5:$C$62,MATCH(C480,Steps!$A$5:$A$62,0)),""))</f>
        <v/>
      </c>
      <c r="E480" s="6" t="n"/>
      <c r="F480" s="8" t="n"/>
      <c r="G480" s="6" t="n"/>
      <c r="H480" s="7" t="n"/>
      <c r="I480" s="6" t="n"/>
      <c r="J480" s="9" t="n"/>
      <c r="K480" s="11">
        <f>IF(C480="","",N(IFERROR(INDEX(Steps!$E$5:$E$62,MATCH(C480,Steps!$A$5:$A$62,0)),"")))</f>
        <v/>
      </c>
      <c r="L480" s="11">
        <f>IF(AND(C480&lt;&gt;"",E480&lt;&gt;"",I480&lt;&gt;"",OR(Settings!$B$10="No",I480&lt;&gt;E480)),K480*F480,0)</f>
        <v/>
      </c>
      <c r="M480" s="11">
        <f>IF(AND(AND(C480&lt;&gt;"",E480&lt;&gt;"",I480&lt;&gt;"",OR(Settings!$B$10="No",I480&lt;&gt;E480)),G480="Paid a pro",Settings!$B$9="Yes"),MAX(0,H480-K480*F480),0)</f>
        <v/>
      </c>
      <c r="N480" s="3">
        <f>IF(C480="","",IF(B480="","Enter the boat number",IF(B480&gt;Settings!$B$6,"Boat number above the boat count",IF(SUMIFS($F$5:$F$1004,$B$5:$B$1004,B480,$C$5:$C$1004,C480)&gt;1.0001,"Shares for this step add up to over 100%",IF(I480="","Waiting for sign-off",IF(AND(Settings!$B$10="Yes",I480=E480),"Needs a different member to sign off","OK"))))))</f>
        <v/>
      </c>
    </row>
    <row r="481">
      <c r="A481" s="9" t="n"/>
      <c r="B481" s="6" t="n"/>
      <c r="C481" s="6" t="n"/>
      <c r="D481" s="3">
        <f>IF(C481="","",IFERROR(INDEX(Steps!$C$5:$C$62,MATCH(C481,Steps!$A$5:$A$62,0)),""))</f>
        <v/>
      </c>
      <c r="E481" s="6" t="n"/>
      <c r="F481" s="8" t="n"/>
      <c r="G481" s="6" t="n"/>
      <c r="H481" s="7" t="n"/>
      <c r="I481" s="6" t="n"/>
      <c r="J481" s="9" t="n"/>
      <c r="K481" s="11">
        <f>IF(C481="","",N(IFERROR(INDEX(Steps!$E$5:$E$62,MATCH(C481,Steps!$A$5:$A$62,0)),"")))</f>
        <v/>
      </c>
      <c r="L481" s="11">
        <f>IF(AND(C481&lt;&gt;"",E481&lt;&gt;"",I481&lt;&gt;"",OR(Settings!$B$10="No",I481&lt;&gt;E481)),K481*F481,0)</f>
        <v/>
      </c>
      <c r="M481" s="11">
        <f>IF(AND(AND(C481&lt;&gt;"",E481&lt;&gt;"",I481&lt;&gt;"",OR(Settings!$B$10="No",I481&lt;&gt;E481)),G481="Paid a pro",Settings!$B$9="Yes"),MAX(0,H481-K481*F481),0)</f>
        <v/>
      </c>
      <c r="N481" s="3">
        <f>IF(C481="","",IF(B481="","Enter the boat number",IF(B481&gt;Settings!$B$6,"Boat number above the boat count",IF(SUMIFS($F$5:$F$1004,$B$5:$B$1004,B481,$C$5:$C$1004,C481)&gt;1.0001,"Shares for this step add up to over 100%",IF(I481="","Waiting for sign-off",IF(AND(Settings!$B$10="Yes",I481=E481),"Needs a different member to sign off","OK"))))))</f>
        <v/>
      </c>
    </row>
    <row r="482">
      <c r="A482" s="9" t="n"/>
      <c r="B482" s="6" t="n"/>
      <c r="C482" s="6" t="n"/>
      <c r="D482" s="3">
        <f>IF(C482="","",IFERROR(INDEX(Steps!$C$5:$C$62,MATCH(C482,Steps!$A$5:$A$62,0)),""))</f>
        <v/>
      </c>
      <c r="E482" s="6" t="n"/>
      <c r="F482" s="8" t="n"/>
      <c r="G482" s="6" t="n"/>
      <c r="H482" s="7" t="n"/>
      <c r="I482" s="6" t="n"/>
      <c r="J482" s="9" t="n"/>
      <c r="K482" s="11">
        <f>IF(C482="","",N(IFERROR(INDEX(Steps!$E$5:$E$62,MATCH(C482,Steps!$A$5:$A$62,0)),"")))</f>
        <v/>
      </c>
      <c r="L482" s="11">
        <f>IF(AND(C482&lt;&gt;"",E482&lt;&gt;"",I482&lt;&gt;"",OR(Settings!$B$10="No",I482&lt;&gt;E482)),K482*F482,0)</f>
        <v/>
      </c>
      <c r="M482" s="11">
        <f>IF(AND(AND(C482&lt;&gt;"",E482&lt;&gt;"",I482&lt;&gt;"",OR(Settings!$B$10="No",I482&lt;&gt;E482)),G482="Paid a pro",Settings!$B$9="Yes"),MAX(0,H482-K482*F482),0)</f>
        <v/>
      </c>
      <c r="N482" s="3">
        <f>IF(C482="","",IF(B482="","Enter the boat number",IF(B482&gt;Settings!$B$6,"Boat number above the boat count",IF(SUMIFS($F$5:$F$1004,$B$5:$B$1004,B482,$C$5:$C$1004,C482)&gt;1.0001,"Shares for this step add up to over 100%",IF(I482="","Waiting for sign-off",IF(AND(Settings!$B$10="Yes",I482=E482),"Needs a different member to sign off","OK"))))))</f>
        <v/>
      </c>
    </row>
    <row r="483">
      <c r="A483" s="9" t="n"/>
      <c r="B483" s="6" t="n"/>
      <c r="C483" s="6" t="n"/>
      <c r="D483" s="3">
        <f>IF(C483="","",IFERROR(INDEX(Steps!$C$5:$C$62,MATCH(C483,Steps!$A$5:$A$62,0)),""))</f>
        <v/>
      </c>
      <c r="E483" s="6" t="n"/>
      <c r="F483" s="8" t="n"/>
      <c r="G483" s="6" t="n"/>
      <c r="H483" s="7" t="n"/>
      <c r="I483" s="6" t="n"/>
      <c r="J483" s="9" t="n"/>
      <c r="K483" s="11">
        <f>IF(C483="","",N(IFERROR(INDEX(Steps!$E$5:$E$62,MATCH(C483,Steps!$A$5:$A$62,0)),"")))</f>
        <v/>
      </c>
      <c r="L483" s="11">
        <f>IF(AND(C483&lt;&gt;"",E483&lt;&gt;"",I483&lt;&gt;"",OR(Settings!$B$10="No",I483&lt;&gt;E483)),K483*F483,0)</f>
        <v/>
      </c>
      <c r="M483" s="11">
        <f>IF(AND(AND(C483&lt;&gt;"",E483&lt;&gt;"",I483&lt;&gt;"",OR(Settings!$B$10="No",I483&lt;&gt;E483)),G483="Paid a pro",Settings!$B$9="Yes"),MAX(0,H483-K483*F483),0)</f>
        <v/>
      </c>
      <c r="N483" s="3">
        <f>IF(C483="","",IF(B483="","Enter the boat number",IF(B483&gt;Settings!$B$6,"Boat number above the boat count",IF(SUMIFS($F$5:$F$1004,$B$5:$B$1004,B483,$C$5:$C$1004,C483)&gt;1.0001,"Shares for this step add up to over 100%",IF(I483="","Waiting for sign-off",IF(AND(Settings!$B$10="Yes",I483=E483),"Needs a different member to sign off","OK"))))))</f>
        <v/>
      </c>
    </row>
    <row r="484">
      <c r="A484" s="9" t="n"/>
      <c r="B484" s="6" t="n"/>
      <c r="C484" s="6" t="n"/>
      <c r="D484" s="3">
        <f>IF(C484="","",IFERROR(INDEX(Steps!$C$5:$C$62,MATCH(C484,Steps!$A$5:$A$62,0)),""))</f>
        <v/>
      </c>
      <c r="E484" s="6" t="n"/>
      <c r="F484" s="8" t="n"/>
      <c r="G484" s="6" t="n"/>
      <c r="H484" s="7" t="n"/>
      <c r="I484" s="6" t="n"/>
      <c r="J484" s="9" t="n"/>
      <c r="K484" s="11">
        <f>IF(C484="","",N(IFERROR(INDEX(Steps!$E$5:$E$62,MATCH(C484,Steps!$A$5:$A$62,0)),"")))</f>
        <v/>
      </c>
      <c r="L484" s="11">
        <f>IF(AND(C484&lt;&gt;"",E484&lt;&gt;"",I484&lt;&gt;"",OR(Settings!$B$10="No",I484&lt;&gt;E484)),K484*F484,0)</f>
        <v/>
      </c>
      <c r="M484" s="11">
        <f>IF(AND(AND(C484&lt;&gt;"",E484&lt;&gt;"",I484&lt;&gt;"",OR(Settings!$B$10="No",I484&lt;&gt;E484)),G484="Paid a pro",Settings!$B$9="Yes"),MAX(0,H484-K484*F484),0)</f>
        <v/>
      </c>
      <c r="N484" s="3">
        <f>IF(C484="","",IF(B484="","Enter the boat number",IF(B484&gt;Settings!$B$6,"Boat number above the boat count",IF(SUMIFS($F$5:$F$1004,$B$5:$B$1004,B484,$C$5:$C$1004,C484)&gt;1.0001,"Shares for this step add up to over 100%",IF(I484="","Waiting for sign-off",IF(AND(Settings!$B$10="Yes",I484=E484),"Needs a different member to sign off","OK"))))))</f>
        <v/>
      </c>
    </row>
    <row r="485">
      <c r="A485" s="9" t="n"/>
      <c r="B485" s="6" t="n"/>
      <c r="C485" s="6" t="n"/>
      <c r="D485" s="3">
        <f>IF(C485="","",IFERROR(INDEX(Steps!$C$5:$C$62,MATCH(C485,Steps!$A$5:$A$62,0)),""))</f>
        <v/>
      </c>
      <c r="E485" s="6" t="n"/>
      <c r="F485" s="8" t="n"/>
      <c r="G485" s="6" t="n"/>
      <c r="H485" s="7" t="n"/>
      <c r="I485" s="6" t="n"/>
      <c r="J485" s="9" t="n"/>
      <c r="K485" s="11">
        <f>IF(C485="","",N(IFERROR(INDEX(Steps!$E$5:$E$62,MATCH(C485,Steps!$A$5:$A$62,0)),"")))</f>
        <v/>
      </c>
      <c r="L485" s="11">
        <f>IF(AND(C485&lt;&gt;"",E485&lt;&gt;"",I485&lt;&gt;"",OR(Settings!$B$10="No",I485&lt;&gt;E485)),K485*F485,0)</f>
        <v/>
      </c>
      <c r="M485" s="11">
        <f>IF(AND(AND(C485&lt;&gt;"",E485&lt;&gt;"",I485&lt;&gt;"",OR(Settings!$B$10="No",I485&lt;&gt;E485)),G485="Paid a pro",Settings!$B$9="Yes"),MAX(0,H485-K485*F485),0)</f>
        <v/>
      </c>
      <c r="N485" s="3">
        <f>IF(C485="","",IF(B485="","Enter the boat number",IF(B485&gt;Settings!$B$6,"Boat number above the boat count",IF(SUMIFS($F$5:$F$1004,$B$5:$B$1004,B485,$C$5:$C$1004,C485)&gt;1.0001,"Shares for this step add up to over 100%",IF(I485="","Waiting for sign-off",IF(AND(Settings!$B$10="Yes",I485=E485),"Needs a different member to sign off","OK"))))))</f>
        <v/>
      </c>
    </row>
    <row r="486">
      <c r="A486" s="9" t="n"/>
      <c r="B486" s="6" t="n"/>
      <c r="C486" s="6" t="n"/>
      <c r="D486" s="3">
        <f>IF(C486="","",IFERROR(INDEX(Steps!$C$5:$C$62,MATCH(C486,Steps!$A$5:$A$62,0)),""))</f>
        <v/>
      </c>
      <c r="E486" s="6" t="n"/>
      <c r="F486" s="8" t="n"/>
      <c r="G486" s="6" t="n"/>
      <c r="H486" s="7" t="n"/>
      <c r="I486" s="6" t="n"/>
      <c r="J486" s="9" t="n"/>
      <c r="K486" s="11">
        <f>IF(C486="","",N(IFERROR(INDEX(Steps!$E$5:$E$62,MATCH(C486,Steps!$A$5:$A$62,0)),"")))</f>
        <v/>
      </c>
      <c r="L486" s="11">
        <f>IF(AND(C486&lt;&gt;"",E486&lt;&gt;"",I486&lt;&gt;"",OR(Settings!$B$10="No",I486&lt;&gt;E486)),K486*F486,0)</f>
        <v/>
      </c>
      <c r="M486" s="11">
        <f>IF(AND(AND(C486&lt;&gt;"",E486&lt;&gt;"",I486&lt;&gt;"",OR(Settings!$B$10="No",I486&lt;&gt;E486)),G486="Paid a pro",Settings!$B$9="Yes"),MAX(0,H486-K486*F486),0)</f>
        <v/>
      </c>
      <c r="N486" s="3">
        <f>IF(C486="","",IF(B486="","Enter the boat number",IF(B486&gt;Settings!$B$6,"Boat number above the boat count",IF(SUMIFS($F$5:$F$1004,$B$5:$B$1004,B486,$C$5:$C$1004,C486)&gt;1.0001,"Shares for this step add up to over 100%",IF(I486="","Waiting for sign-off",IF(AND(Settings!$B$10="Yes",I486=E486),"Needs a different member to sign off","OK"))))))</f>
        <v/>
      </c>
    </row>
    <row r="487">
      <c r="A487" s="9" t="n"/>
      <c r="B487" s="6" t="n"/>
      <c r="C487" s="6" t="n"/>
      <c r="D487" s="3">
        <f>IF(C487="","",IFERROR(INDEX(Steps!$C$5:$C$62,MATCH(C487,Steps!$A$5:$A$62,0)),""))</f>
        <v/>
      </c>
      <c r="E487" s="6" t="n"/>
      <c r="F487" s="8" t="n"/>
      <c r="G487" s="6" t="n"/>
      <c r="H487" s="7" t="n"/>
      <c r="I487" s="6" t="n"/>
      <c r="J487" s="9" t="n"/>
      <c r="K487" s="11">
        <f>IF(C487="","",N(IFERROR(INDEX(Steps!$E$5:$E$62,MATCH(C487,Steps!$A$5:$A$62,0)),"")))</f>
        <v/>
      </c>
      <c r="L487" s="11">
        <f>IF(AND(C487&lt;&gt;"",E487&lt;&gt;"",I487&lt;&gt;"",OR(Settings!$B$10="No",I487&lt;&gt;E487)),K487*F487,0)</f>
        <v/>
      </c>
      <c r="M487" s="11">
        <f>IF(AND(AND(C487&lt;&gt;"",E487&lt;&gt;"",I487&lt;&gt;"",OR(Settings!$B$10="No",I487&lt;&gt;E487)),G487="Paid a pro",Settings!$B$9="Yes"),MAX(0,H487-K487*F487),0)</f>
        <v/>
      </c>
      <c r="N487" s="3">
        <f>IF(C487="","",IF(B487="","Enter the boat number",IF(B487&gt;Settings!$B$6,"Boat number above the boat count",IF(SUMIFS($F$5:$F$1004,$B$5:$B$1004,B487,$C$5:$C$1004,C487)&gt;1.0001,"Shares for this step add up to over 100%",IF(I487="","Waiting for sign-off",IF(AND(Settings!$B$10="Yes",I487=E487),"Needs a different member to sign off","OK"))))))</f>
        <v/>
      </c>
    </row>
    <row r="488">
      <c r="A488" s="9" t="n"/>
      <c r="B488" s="6" t="n"/>
      <c r="C488" s="6" t="n"/>
      <c r="D488" s="3">
        <f>IF(C488="","",IFERROR(INDEX(Steps!$C$5:$C$62,MATCH(C488,Steps!$A$5:$A$62,0)),""))</f>
        <v/>
      </c>
      <c r="E488" s="6" t="n"/>
      <c r="F488" s="8" t="n"/>
      <c r="G488" s="6" t="n"/>
      <c r="H488" s="7" t="n"/>
      <c r="I488" s="6" t="n"/>
      <c r="J488" s="9" t="n"/>
      <c r="K488" s="11">
        <f>IF(C488="","",N(IFERROR(INDEX(Steps!$E$5:$E$62,MATCH(C488,Steps!$A$5:$A$62,0)),"")))</f>
        <v/>
      </c>
      <c r="L488" s="11">
        <f>IF(AND(C488&lt;&gt;"",E488&lt;&gt;"",I488&lt;&gt;"",OR(Settings!$B$10="No",I488&lt;&gt;E488)),K488*F488,0)</f>
        <v/>
      </c>
      <c r="M488" s="11">
        <f>IF(AND(AND(C488&lt;&gt;"",E488&lt;&gt;"",I488&lt;&gt;"",OR(Settings!$B$10="No",I488&lt;&gt;E488)),G488="Paid a pro",Settings!$B$9="Yes"),MAX(0,H488-K488*F488),0)</f>
        <v/>
      </c>
      <c r="N488" s="3">
        <f>IF(C488="","",IF(B488="","Enter the boat number",IF(B488&gt;Settings!$B$6,"Boat number above the boat count",IF(SUMIFS($F$5:$F$1004,$B$5:$B$1004,B488,$C$5:$C$1004,C488)&gt;1.0001,"Shares for this step add up to over 100%",IF(I488="","Waiting for sign-off",IF(AND(Settings!$B$10="Yes",I488=E488),"Needs a different member to sign off","OK"))))))</f>
        <v/>
      </c>
    </row>
    <row r="489">
      <c r="A489" s="9" t="n"/>
      <c r="B489" s="6" t="n"/>
      <c r="C489" s="6" t="n"/>
      <c r="D489" s="3">
        <f>IF(C489="","",IFERROR(INDEX(Steps!$C$5:$C$62,MATCH(C489,Steps!$A$5:$A$62,0)),""))</f>
        <v/>
      </c>
      <c r="E489" s="6" t="n"/>
      <c r="F489" s="8" t="n"/>
      <c r="G489" s="6" t="n"/>
      <c r="H489" s="7" t="n"/>
      <c r="I489" s="6" t="n"/>
      <c r="J489" s="9" t="n"/>
      <c r="K489" s="11">
        <f>IF(C489="","",N(IFERROR(INDEX(Steps!$E$5:$E$62,MATCH(C489,Steps!$A$5:$A$62,0)),"")))</f>
        <v/>
      </c>
      <c r="L489" s="11">
        <f>IF(AND(C489&lt;&gt;"",E489&lt;&gt;"",I489&lt;&gt;"",OR(Settings!$B$10="No",I489&lt;&gt;E489)),K489*F489,0)</f>
        <v/>
      </c>
      <c r="M489" s="11">
        <f>IF(AND(AND(C489&lt;&gt;"",E489&lt;&gt;"",I489&lt;&gt;"",OR(Settings!$B$10="No",I489&lt;&gt;E489)),G489="Paid a pro",Settings!$B$9="Yes"),MAX(0,H489-K489*F489),0)</f>
        <v/>
      </c>
      <c r="N489" s="3">
        <f>IF(C489="","",IF(B489="","Enter the boat number",IF(B489&gt;Settings!$B$6,"Boat number above the boat count",IF(SUMIFS($F$5:$F$1004,$B$5:$B$1004,B489,$C$5:$C$1004,C489)&gt;1.0001,"Shares for this step add up to over 100%",IF(I489="","Waiting for sign-off",IF(AND(Settings!$B$10="Yes",I489=E489),"Needs a different member to sign off","OK"))))))</f>
        <v/>
      </c>
    </row>
    <row r="490">
      <c r="A490" s="9" t="n"/>
      <c r="B490" s="6" t="n"/>
      <c r="C490" s="6" t="n"/>
      <c r="D490" s="3">
        <f>IF(C490="","",IFERROR(INDEX(Steps!$C$5:$C$62,MATCH(C490,Steps!$A$5:$A$62,0)),""))</f>
        <v/>
      </c>
      <c r="E490" s="6" t="n"/>
      <c r="F490" s="8" t="n"/>
      <c r="G490" s="6" t="n"/>
      <c r="H490" s="7" t="n"/>
      <c r="I490" s="6" t="n"/>
      <c r="J490" s="9" t="n"/>
      <c r="K490" s="11">
        <f>IF(C490="","",N(IFERROR(INDEX(Steps!$E$5:$E$62,MATCH(C490,Steps!$A$5:$A$62,0)),"")))</f>
        <v/>
      </c>
      <c r="L490" s="11">
        <f>IF(AND(C490&lt;&gt;"",E490&lt;&gt;"",I490&lt;&gt;"",OR(Settings!$B$10="No",I490&lt;&gt;E490)),K490*F490,0)</f>
        <v/>
      </c>
      <c r="M490" s="11">
        <f>IF(AND(AND(C490&lt;&gt;"",E490&lt;&gt;"",I490&lt;&gt;"",OR(Settings!$B$10="No",I490&lt;&gt;E490)),G490="Paid a pro",Settings!$B$9="Yes"),MAX(0,H490-K490*F490),0)</f>
        <v/>
      </c>
      <c r="N490" s="3">
        <f>IF(C490="","",IF(B490="","Enter the boat number",IF(B490&gt;Settings!$B$6,"Boat number above the boat count",IF(SUMIFS($F$5:$F$1004,$B$5:$B$1004,B490,$C$5:$C$1004,C490)&gt;1.0001,"Shares for this step add up to over 100%",IF(I490="","Waiting for sign-off",IF(AND(Settings!$B$10="Yes",I490=E490),"Needs a different member to sign off","OK"))))))</f>
        <v/>
      </c>
    </row>
    <row r="491">
      <c r="A491" s="9" t="n"/>
      <c r="B491" s="6" t="n"/>
      <c r="C491" s="6" t="n"/>
      <c r="D491" s="3">
        <f>IF(C491="","",IFERROR(INDEX(Steps!$C$5:$C$62,MATCH(C491,Steps!$A$5:$A$62,0)),""))</f>
        <v/>
      </c>
      <c r="E491" s="6" t="n"/>
      <c r="F491" s="8" t="n"/>
      <c r="G491" s="6" t="n"/>
      <c r="H491" s="7" t="n"/>
      <c r="I491" s="6" t="n"/>
      <c r="J491" s="9" t="n"/>
      <c r="K491" s="11">
        <f>IF(C491="","",N(IFERROR(INDEX(Steps!$E$5:$E$62,MATCH(C491,Steps!$A$5:$A$62,0)),"")))</f>
        <v/>
      </c>
      <c r="L491" s="11">
        <f>IF(AND(C491&lt;&gt;"",E491&lt;&gt;"",I491&lt;&gt;"",OR(Settings!$B$10="No",I491&lt;&gt;E491)),K491*F491,0)</f>
        <v/>
      </c>
      <c r="M491" s="11">
        <f>IF(AND(AND(C491&lt;&gt;"",E491&lt;&gt;"",I491&lt;&gt;"",OR(Settings!$B$10="No",I491&lt;&gt;E491)),G491="Paid a pro",Settings!$B$9="Yes"),MAX(0,H491-K491*F491),0)</f>
        <v/>
      </c>
      <c r="N491" s="3">
        <f>IF(C491="","",IF(B491="","Enter the boat number",IF(B491&gt;Settings!$B$6,"Boat number above the boat count",IF(SUMIFS($F$5:$F$1004,$B$5:$B$1004,B491,$C$5:$C$1004,C491)&gt;1.0001,"Shares for this step add up to over 100%",IF(I491="","Waiting for sign-off",IF(AND(Settings!$B$10="Yes",I491=E491),"Needs a different member to sign off","OK"))))))</f>
        <v/>
      </c>
    </row>
    <row r="492">
      <c r="A492" s="9" t="n"/>
      <c r="B492" s="6" t="n"/>
      <c r="C492" s="6" t="n"/>
      <c r="D492" s="3">
        <f>IF(C492="","",IFERROR(INDEX(Steps!$C$5:$C$62,MATCH(C492,Steps!$A$5:$A$62,0)),""))</f>
        <v/>
      </c>
      <c r="E492" s="6" t="n"/>
      <c r="F492" s="8" t="n"/>
      <c r="G492" s="6" t="n"/>
      <c r="H492" s="7" t="n"/>
      <c r="I492" s="6" t="n"/>
      <c r="J492" s="9" t="n"/>
      <c r="K492" s="11">
        <f>IF(C492="","",N(IFERROR(INDEX(Steps!$E$5:$E$62,MATCH(C492,Steps!$A$5:$A$62,0)),"")))</f>
        <v/>
      </c>
      <c r="L492" s="11">
        <f>IF(AND(C492&lt;&gt;"",E492&lt;&gt;"",I492&lt;&gt;"",OR(Settings!$B$10="No",I492&lt;&gt;E492)),K492*F492,0)</f>
        <v/>
      </c>
      <c r="M492" s="11">
        <f>IF(AND(AND(C492&lt;&gt;"",E492&lt;&gt;"",I492&lt;&gt;"",OR(Settings!$B$10="No",I492&lt;&gt;E492)),G492="Paid a pro",Settings!$B$9="Yes"),MAX(0,H492-K492*F492),0)</f>
        <v/>
      </c>
      <c r="N492" s="3">
        <f>IF(C492="","",IF(B492="","Enter the boat number",IF(B492&gt;Settings!$B$6,"Boat number above the boat count",IF(SUMIFS($F$5:$F$1004,$B$5:$B$1004,B492,$C$5:$C$1004,C492)&gt;1.0001,"Shares for this step add up to over 100%",IF(I492="","Waiting for sign-off",IF(AND(Settings!$B$10="Yes",I492=E492),"Needs a different member to sign off","OK"))))))</f>
        <v/>
      </c>
    </row>
    <row r="493">
      <c r="A493" s="9" t="n"/>
      <c r="B493" s="6" t="n"/>
      <c r="C493" s="6" t="n"/>
      <c r="D493" s="3">
        <f>IF(C493="","",IFERROR(INDEX(Steps!$C$5:$C$62,MATCH(C493,Steps!$A$5:$A$62,0)),""))</f>
        <v/>
      </c>
      <c r="E493" s="6" t="n"/>
      <c r="F493" s="8" t="n"/>
      <c r="G493" s="6" t="n"/>
      <c r="H493" s="7" t="n"/>
      <c r="I493" s="6" t="n"/>
      <c r="J493" s="9" t="n"/>
      <c r="K493" s="11">
        <f>IF(C493="","",N(IFERROR(INDEX(Steps!$E$5:$E$62,MATCH(C493,Steps!$A$5:$A$62,0)),"")))</f>
        <v/>
      </c>
      <c r="L493" s="11">
        <f>IF(AND(C493&lt;&gt;"",E493&lt;&gt;"",I493&lt;&gt;"",OR(Settings!$B$10="No",I493&lt;&gt;E493)),K493*F493,0)</f>
        <v/>
      </c>
      <c r="M493" s="11">
        <f>IF(AND(AND(C493&lt;&gt;"",E493&lt;&gt;"",I493&lt;&gt;"",OR(Settings!$B$10="No",I493&lt;&gt;E493)),G493="Paid a pro",Settings!$B$9="Yes"),MAX(0,H493-K493*F493),0)</f>
        <v/>
      </c>
      <c r="N493" s="3">
        <f>IF(C493="","",IF(B493="","Enter the boat number",IF(B493&gt;Settings!$B$6,"Boat number above the boat count",IF(SUMIFS($F$5:$F$1004,$B$5:$B$1004,B493,$C$5:$C$1004,C493)&gt;1.0001,"Shares for this step add up to over 100%",IF(I493="","Waiting for sign-off",IF(AND(Settings!$B$10="Yes",I493=E493),"Needs a different member to sign off","OK"))))))</f>
        <v/>
      </c>
    </row>
    <row r="494">
      <c r="A494" s="9" t="n"/>
      <c r="B494" s="6" t="n"/>
      <c r="C494" s="6" t="n"/>
      <c r="D494" s="3">
        <f>IF(C494="","",IFERROR(INDEX(Steps!$C$5:$C$62,MATCH(C494,Steps!$A$5:$A$62,0)),""))</f>
        <v/>
      </c>
      <c r="E494" s="6" t="n"/>
      <c r="F494" s="8" t="n"/>
      <c r="G494" s="6" t="n"/>
      <c r="H494" s="7" t="n"/>
      <c r="I494" s="6" t="n"/>
      <c r="J494" s="9" t="n"/>
      <c r="K494" s="11">
        <f>IF(C494="","",N(IFERROR(INDEX(Steps!$E$5:$E$62,MATCH(C494,Steps!$A$5:$A$62,0)),"")))</f>
        <v/>
      </c>
      <c r="L494" s="11">
        <f>IF(AND(C494&lt;&gt;"",E494&lt;&gt;"",I494&lt;&gt;"",OR(Settings!$B$10="No",I494&lt;&gt;E494)),K494*F494,0)</f>
        <v/>
      </c>
      <c r="M494" s="11">
        <f>IF(AND(AND(C494&lt;&gt;"",E494&lt;&gt;"",I494&lt;&gt;"",OR(Settings!$B$10="No",I494&lt;&gt;E494)),G494="Paid a pro",Settings!$B$9="Yes"),MAX(0,H494-K494*F494),0)</f>
        <v/>
      </c>
      <c r="N494" s="3">
        <f>IF(C494="","",IF(B494="","Enter the boat number",IF(B494&gt;Settings!$B$6,"Boat number above the boat count",IF(SUMIFS($F$5:$F$1004,$B$5:$B$1004,B494,$C$5:$C$1004,C494)&gt;1.0001,"Shares for this step add up to over 100%",IF(I494="","Waiting for sign-off",IF(AND(Settings!$B$10="Yes",I494=E494),"Needs a different member to sign off","OK"))))))</f>
        <v/>
      </c>
    </row>
    <row r="495">
      <c r="A495" s="9" t="n"/>
      <c r="B495" s="6" t="n"/>
      <c r="C495" s="6" t="n"/>
      <c r="D495" s="3">
        <f>IF(C495="","",IFERROR(INDEX(Steps!$C$5:$C$62,MATCH(C495,Steps!$A$5:$A$62,0)),""))</f>
        <v/>
      </c>
      <c r="E495" s="6" t="n"/>
      <c r="F495" s="8" t="n"/>
      <c r="G495" s="6" t="n"/>
      <c r="H495" s="7" t="n"/>
      <c r="I495" s="6" t="n"/>
      <c r="J495" s="9" t="n"/>
      <c r="K495" s="11">
        <f>IF(C495="","",N(IFERROR(INDEX(Steps!$E$5:$E$62,MATCH(C495,Steps!$A$5:$A$62,0)),"")))</f>
        <v/>
      </c>
      <c r="L495" s="11">
        <f>IF(AND(C495&lt;&gt;"",E495&lt;&gt;"",I495&lt;&gt;"",OR(Settings!$B$10="No",I495&lt;&gt;E495)),K495*F495,0)</f>
        <v/>
      </c>
      <c r="M495" s="11">
        <f>IF(AND(AND(C495&lt;&gt;"",E495&lt;&gt;"",I495&lt;&gt;"",OR(Settings!$B$10="No",I495&lt;&gt;E495)),G495="Paid a pro",Settings!$B$9="Yes"),MAX(0,H495-K495*F495),0)</f>
        <v/>
      </c>
      <c r="N495" s="3">
        <f>IF(C495="","",IF(B495="","Enter the boat number",IF(B495&gt;Settings!$B$6,"Boat number above the boat count",IF(SUMIFS($F$5:$F$1004,$B$5:$B$1004,B495,$C$5:$C$1004,C495)&gt;1.0001,"Shares for this step add up to over 100%",IF(I495="","Waiting for sign-off",IF(AND(Settings!$B$10="Yes",I495=E495),"Needs a different member to sign off","OK"))))))</f>
        <v/>
      </c>
    </row>
    <row r="496">
      <c r="A496" s="9" t="n"/>
      <c r="B496" s="6" t="n"/>
      <c r="C496" s="6" t="n"/>
      <c r="D496" s="3">
        <f>IF(C496="","",IFERROR(INDEX(Steps!$C$5:$C$62,MATCH(C496,Steps!$A$5:$A$62,0)),""))</f>
        <v/>
      </c>
      <c r="E496" s="6" t="n"/>
      <c r="F496" s="8" t="n"/>
      <c r="G496" s="6" t="n"/>
      <c r="H496" s="7" t="n"/>
      <c r="I496" s="6" t="n"/>
      <c r="J496" s="9" t="n"/>
      <c r="K496" s="11">
        <f>IF(C496="","",N(IFERROR(INDEX(Steps!$E$5:$E$62,MATCH(C496,Steps!$A$5:$A$62,0)),"")))</f>
        <v/>
      </c>
      <c r="L496" s="11">
        <f>IF(AND(C496&lt;&gt;"",E496&lt;&gt;"",I496&lt;&gt;"",OR(Settings!$B$10="No",I496&lt;&gt;E496)),K496*F496,0)</f>
        <v/>
      </c>
      <c r="M496" s="11">
        <f>IF(AND(AND(C496&lt;&gt;"",E496&lt;&gt;"",I496&lt;&gt;"",OR(Settings!$B$10="No",I496&lt;&gt;E496)),G496="Paid a pro",Settings!$B$9="Yes"),MAX(0,H496-K496*F496),0)</f>
        <v/>
      </c>
      <c r="N496" s="3">
        <f>IF(C496="","",IF(B496="","Enter the boat number",IF(B496&gt;Settings!$B$6,"Boat number above the boat count",IF(SUMIFS($F$5:$F$1004,$B$5:$B$1004,B496,$C$5:$C$1004,C496)&gt;1.0001,"Shares for this step add up to over 100%",IF(I496="","Waiting for sign-off",IF(AND(Settings!$B$10="Yes",I496=E496),"Needs a different member to sign off","OK"))))))</f>
        <v/>
      </c>
    </row>
    <row r="497">
      <c r="A497" s="9" t="n"/>
      <c r="B497" s="6" t="n"/>
      <c r="C497" s="6" t="n"/>
      <c r="D497" s="3">
        <f>IF(C497="","",IFERROR(INDEX(Steps!$C$5:$C$62,MATCH(C497,Steps!$A$5:$A$62,0)),""))</f>
        <v/>
      </c>
      <c r="E497" s="6" t="n"/>
      <c r="F497" s="8" t="n"/>
      <c r="G497" s="6" t="n"/>
      <c r="H497" s="7" t="n"/>
      <c r="I497" s="6" t="n"/>
      <c r="J497" s="9" t="n"/>
      <c r="K497" s="11">
        <f>IF(C497="","",N(IFERROR(INDEX(Steps!$E$5:$E$62,MATCH(C497,Steps!$A$5:$A$62,0)),"")))</f>
        <v/>
      </c>
      <c r="L497" s="11">
        <f>IF(AND(C497&lt;&gt;"",E497&lt;&gt;"",I497&lt;&gt;"",OR(Settings!$B$10="No",I497&lt;&gt;E497)),K497*F497,0)</f>
        <v/>
      </c>
      <c r="M497" s="11">
        <f>IF(AND(AND(C497&lt;&gt;"",E497&lt;&gt;"",I497&lt;&gt;"",OR(Settings!$B$10="No",I497&lt;&gt;E497)),G497="Paid a pro",Settings!$B$9="Yes"),MAX(0,H497-K497*F497),0)</f>
        <v/>
      </c>
      <c r="N497" s="3">
        <f>IF(C497="","",IF(B497="","Enter the boat number",IF(B497&gt;Settings!$B$6,"Boat number above the boat count",IF(SUMIFS($F$5:$F$1004,$B$5:$B$1004,B497,$C$5:$C$1004,C497)&gt;1.0001,"Shares for this step add up to over 100%",IF(I497="","Waiting for sign-off",IF(AND(Settings!$B$10="Yes",I497=E497),"Needs a different member to sign off","OK"))))))</f>
        <v/>
      </c>
    </row>
    <row r="498">
      <c r="A498" s="9" t="n"/>
      <c r="B498" s="6" t="n"/>
      <c r="C498" s="6" t="n"/>
      <c r="D498" s="3">
        <f>IF(C498="","",IFERROR(INDEX(Steps!$C$5:$C$62,MATCH(C498,Steps!$A$5:$A$62,0)),""))</f>
        <v/>
      </c>
      <c r="E498" s="6" t="n"/>
      <c r="F498" s="8" t="n"/>
      <c r="G498" s="6" t="n"/>
      <c r="H498" s="7" t="n"/>
      <c r="I498" s="6" t="n"/>
      <c r="J498" s="9" t="n"/>
      <c r="K498" s="11">
        <f>IF(C498="","",N(IFERROR(INDEX(Steps!$E$5:$E$62,MATCH(C498,Steps!$A$5:$A$62,0)),"")))</f>
        <v/>
      </c>
      <c r="L498" s="11">
        <f>IF(AND(C498&lt;&gt;"",E498&lt;&gt;"",I498&lt;&gt;"",OR(Settings!$B$10="No",I498&lt;&gt;E498)),K498*F498,0)</f>
        <v/>
      </c>
      <c r="M498" s="11">
        <f>IF(AND(AND(C498&lt;&gt;"",E498&lt;&gt;"",I498&lt;&gt;"",OR(Settings!$B$10="No",I498&lt;&gt;E498)),G498="Paid a pro",Settings!$B$9="Yes"),MAX(0,H498-K498*F498),0)</f>
        <v/>
      </c>
      <c r="N498" s="3">
        <f>IF(C498="","",IF(B498="","Enter the boat number",IF(B498&gt;Settings!$B$6,"Boat number above the boat count",IF(SUMIFS($F$5:$F$1004,$B$5:$B$1004,B498,$C$5:$C$1004,C498)&gt;1.0001,"Shares for this step add up to over 100%",IF(I498="","Waiting for sign-off",IF(AND(Settings!$B$10="Yes",I498=E498),"Needs a different member to sign off","OK"))))))</f>
        <v/>
      </c>
    </row>
    <row r="499">
      <c r="A499" s="9" t="n"/>
      <c r="B499" s="6" t="n"/>
      <c r="C499" s="6" t="n"/>
      <c r="D499" s="3">
        <f>IF(C499="","",IFERROR(INDEX(Steps!$C$5:$C$62,MATCH(C499,Steps!$A$5:$A$62,0)),""))</f>
        <v/>
      </c>
      <c r="E499" s="6" t="n"/>
      <c r="F499" s="8" t="n"/>
      <c r="G499" s="6" t="n"/>
      <c r="H499" s="7" t="n"/>
      <c r="I499" s="6" t="n"/>
      <c r="J499" s="9" t="n"/>
      <c r="K499" s="11">
        <f>IF(C499="","",N(IFERROR(INDEX(Steps!$E$5:$E$62,MATCH(C499,Steps!$A$5:$A$62,0)),"")))</f>
        <v/>
      </c>
      <c r="L499" s="11">
        <f>IF(AND(C499&lt;&gt;"",E499&lt;&gt;"",I499&lt;&gt;"",OR(Settings!$B$10="No",I499&lt;&gt;E499)),K499*F499,0)</f>
        <v/>
      </c>
      <c r="M499" s="11">
        <f>IF(AND(AND(C499&lt;&gt;"",E499&lt;&gt;"",I499&lt;&gt;"",OR(Settings!$B$10="No",I499&lt;&gt;E499)),G499="Paid a pro",Settings!$B$9="Yes"),MAX(0,H499-K499*F499),0)</f>
        <v/>
      </c>
      <c r="N499" s="3">
        <f>IF(C499="","",IF(B499="","Enter the boat number",IF(B499&gt;Settings!$B$6,"Boat number above the boat count",IF(SUMIFS($F$5:$F$1004,$B$5:$B$1004,B499,$C$5:$C$1004,C499)&gt;1.0001,"Shares for this step add up to over 100%",IF(I499="","Waiting for sign-off",IF(AND(Settings!$B$10="Yes",I499=E499),"Needs a different member to sign off","OK"))))))</f>
        <v/>
      </c>
    </row>
    <row r="500">
      <c r="A500" s="9" t="n"/>
      <c r="B500" s="6" t="n"/>
      <c r="C500" s="6" t="n"/>
      <c r="D500" s="3">
        <f>IF(C500="","",IFERROR(INDEX(Steps!$C$5:$C$62,MATCH(C500,Steps!$A$5:$A$62,0)),""))</f>
        <v/>
      </c>
      <c r="E500" s="6" t="n"/>
      <c r="F500" s="8" t="n"/>
      <c r="G500" s="6" t="n"/>
      <c r="H500" s="7" t="n"/>
      <c r="I500" s="6" t="n"/>
      <c r="J500" s="9" t="n"/>
      <c r="K500" s="11">
        <f>IF(C500="","",N(IFERROR(INDEX(Steps!$E$5:$E$62,MATCH(C500,Steps!$A$5:$A$62,0)),"")))</f>
        <v/>
      </c>
      <c r="L500" s="11">
        <f>IF(AND(C500&lt;&gt;"",E500&lt;&gt;"",I500&lt;&gt;"",OR(Settings!$B$10="No",I500&lt;&gt;E500)),K500*F500,0)</f>
        <v/>
      </c>
      <c r="M500" s="11">
        <f>IF(AND(AND(C500&lt;&gt;"",E500&lt;&gt;"",I500&lt;&gt;"",OR(Settings!$B$10="No",I500&lt;&gt;E500)),G500="Paid a pro",Settings!$B$9="Yes"),MAX(0,H500-K500*F500),0)</f>
        <v/>
      </c>
      <c r="N500" s="3">
        <f>IF(C500="","",IF(B500="","Enter the boat number",IF(B500&gt;Settings!$B$6,"Boat number above the boat count",IF(SUMIFS($F$5:$F$1004,$B$5:$B$1004,B500,$C$5:$C$1004,C500)&gt;1.0001,"Shares for this step add up to over 100%",IF(I500="","Waiting for sign-off",IF(AND(Settings!$B$10="Yes",I500=E500),"Needs a different member to sign off","OK"))))))</f>
        <v/>
      </c>
    </row>
    <row r="501">
      <c r="A501" s="9" t="n"/>
      <c r="B501" s="6" t="n"/>
      <c r="C501" s="6" t="n"/>
      <c r="D501" s="3">
        <f>IF(C501="","",IFERROR(INDEX(Steps!$C$5:$C$62,MATCH(C501,Steps!$A$5:$A$62,0)),""))</f>
        <v/>
      </c>
      <c r="E501" s="6" t="n"/>
      <c r="F501" s="8" t="n"/>
      <c r="G501" s="6" t="n"/>
      <c r="H501" s="7" t="n"/>
      <c r="I501" s="6" t="n"/>
      <c r="J501" s="9" t="n"/>
      <c r="K501" s="11">
        <f>IF(C501="","",N(IFERROR(INDEX(Steps!$E$5:$E$62,MATCH(C501,Steps!$A$5:$A$62,0)),"")))</f>
        <v/>
      </c>
      <c r="L501" s="11">
        <f>IF(AND(C501&lt;&gt;"",E501&lt;&gt;"",I501&lt;&gt;"",OR(Settings!$B$10="No",I501&lt;&gt;E501)),K501*F501,0)</f>
        <v/>
      </c>
      <c r="M501" s="11">
        <f>IF(AND(AND(C501&lt;&gt;"",E501&lt;&gt;"",I501&lt;&gt;"",OR(Settings!$B$10="No",I501&lt;&gt;E501)),G501="Paid a pro",Settings!$B$9="Yes"),MAX(0,H501-K501*F501),0)</f>
        <v/>
      </c>
      <c r="N501" s="3">
        <f>IF(C501="","",IF(B501="","Enter the boat number",IF(B501&gt;Settings!$B$6,"Boat number above the boat count",IF(SUMIFS($F$5:$F$1004,$B$5:$B$1004,B501,$C$5:$C$1004,C501)&gt;1.0001,"Shares for this step add up to over 100%",IF(I501="","Waiting for sign-off",IF(AND(Settings!$B$10="Yes",I501=E501),"Needs a different member to sign off","OK"))))))</f>
        <v/>
      </c>
    </row>
    <row r="502">
      <c r="A502" s="9" t="n"/>
      <c r="B502" s="6" t="n"/>
      <c r="C502" s="6" t="n"/>
      <c r="D502" s="3">
        <f>IF(C502="","",IFERROR(INDEX(Steps!$C$5:$C$62,MATCH(C502,Steps!$A$5:$A$62,0)),""))</f>
        <v/>
      </c>
      <c r="E502" s="6" t="n"/>
      <c r="F502" s="8" t="n"/>
      <c r="G502" s="6" t="n"/>
      <c r="H502" s="7" t="n"/>
      <c r="I502" s="6" t="n"/>
      <c r="J502" s="9" t="n"/>
      <c r="K502" s="11">
        <f>IF(C502="","",N(IFERROR(INDEX(Steps!$E$5:$E$62,MATCH(C502,Steps!$A$5:$A$62,0)),"")))</f>
        <v/>
      </c>
      <c r="L502" s="11">
        <f>IF(AND(C502&lt;&gt;"",E502&lt;&gt;"",I502&lt;&gt;"",OR(Settings!$B$10="No",I502&lt;&gt;E502)),K502*F502,0)</f>
        <v/>
      </c>
      <c r="M502" s="11">
        <f>IF(AND(AND(C502&lt;&gt;"",E502&lt;&gt;"",I502&lt;&gt;"",OR(Settings!$B$10="No",I502&lt;&gt;E502)),G502="Paid a pro",Settings!$B$9="Yes"),MAX(0,H502-K502*F502),0)</f>
        <v/>
      </c>
      <c r="N502" s="3">
        <f>IF(C502="","",IF(B502="","Enter the boat number",IF(B502&gt;Settings!$B$6,"Boat number above the boat count",IF(SUMIFS($F$5:$F$1004,$B$5:$B$1004,B502,$C$5:$C$1004,C502)&gt;1.0001,"Shares for this step add up to over 100%",IF(I502="","Waiting for sign-off",IF(AND(Settings!$B$10="Yes",I502=E502),"Needs a different member to sign off","OK"))))))</f>
        <v/>
      </c>
    </row>
    <row r="503">
      <c r="A503" s="9" t="n"/>
      <c r="B503" s="6" t="n"/>
      <c r="C503" s="6" t="n"/>
      <c r="D503" s="3">
        <f>IF(C503="","",IFERROR(INDEX(Steps!$C$5:$C$62,MATCH(C503,Steps!$A$5:$A$62,0)),""))</f>
        <v/>
      </c>
      <c r="E503" s="6" t="n"/>
      <c r="F503" s="8" t="n"/>
      <c r="G503" s="6" t="n"/>
      <c r="H503" s="7" t="n"/>
      <c r="I503" s="6" t="n"/>
      <c r="J503" s="9" t="n"/>
      <c r="K503" s="11">
        <f>IF(C503="","",N(IFERROR(INDEX(Steps!$E$5:$E$62,MATCH(C503,Steps!$A$5:$A$62,0)),"")))</f>
        <v/>
      </c>
      <c r="L503" s="11">
        <f>IF(AND(C503&lt;&gt;"",E503&lt;&gt;"",I503&lt;&gt;"",OR(Settings!$B$10="No",I503&lt;&gt;E503)),K503*F503,0)</f>
        <v/>
      </c>
      <c r="M503" s="11">
        <f>IF(AND(AND(C503&lt;&gt;"",E503&lt;&gt;"",I503&lt;&gt;"",OR(Settings!$B$10="No",I503&lt;&gt;E503)),G503="Paid a pro",Settings!$B$9="Yes"),MAX(0,H503-K503*F503),0)</f>
        <v/>
      </c>
      <c r="N503" s="3">
        <f>IF(C503="","",IF(B503="","Enter the boat number",IF(B503&gt;Settings!$B$6,"Boat number above the boat count",IF(SUMIFS($F$5:$F$1004,$B$5:$B$1004,B503,$C$5:$C$1004,C503)&gt;1.0001,"Shares for this step add up to over 100%",IF(I503="","Waiting for sign-off",IF(AND(Settings!$B$10="Yes",I503=E503),"Needs a different member to sign off","OK"))))))</f>
        <v/>
      </c>
    </row>
    <row r="504">
      <c r="A504" s="9" t="n"/>
      <c r="B504" s="6" t="n"/>
      <c r="C504" s="6" t="n"/>
      <c r="D504" s="3">
        <f>IF(C504="","",IFERROR(INDEX(Steps!$C$5:$C$62,MATCH(C504,Steps!$A$5:$A$62,0)),""))</f>
        <v/>
      </c>
      <c r="E504" s="6" t="n"/>
      <c r="F504" s="8" t="n"/>
      <c r="G504" s="6" t="n"/>
      <c r="H504" s="7" t="n"/>
      <c r="I504" s="6" t="n"/>
      <c r="J504" s="9" t="n"/>
      <c r="K504" s="11">
        <f>IF(C504="","",N(IFERROR(INDEX(Steps!$E$5:$E$62,MATCH(C504,Steps!$A$5:$A$62,0)),"")))</f>
        <v/>
      </c>
      <c r="L504" s="11">
        <f>IF(AND(C504&lt;&gt;"",E504&lt;&gt;"",I504&lt;&gt;"",OR(Settings!$B$10="No",I504&lt;&gt;E504)),K504*F504,0)</f>
        <v/>
      </c>
      <c r="M504" s="11">
        <f>IF(AND(AND(C504&lt;&gt;"",E504&lt;&gt;"",I504&lt;&gt;"",OR(Settings!$B$10="No",I504&lt;&gt;E504)),G504="Paid a pro",Settings!$B$9="Yes"),MAX(0,H504-K504*F504),0)</f>
        <v/>
      </c>
      <c r="N504" s="3">
        <f>IF(C504="","",IF(B504="","Enter the boat number",IF(B504&gt;Settings!$B$6,"Boat number above the boat count",IF(SUMIFS($F$5:$F$1004,$B$5:$B$1004,B504,$C$5:$C$1004,C504)&gt;1.0001,"Shares for this step add up to over 100%",IF(I504="","Waiting for sign-off",IF(AND(Settings!$B$10="Yes",I504=E504),"Needs a different member to sign off","OK"))))))</f>
        <v/>
      </c>
    </row>
    <row r="505">
      <c r="A505" s="9" t="n"/>
      <c r="B505" s="6" t="n"/>
      <c r="C505" s="6" t="n"/>
      <c r="D505" s="3">
        <f>IF(C505="","",IFERROR(INDEX(Steps!$C$5:$C$62,MATCH(C505,Steps!$A$5:$A$62,0)),""))</f>
        <v/>
      </c>
      <c r="E505" s="6" t="n"/>
      <c r="F505" s="8" t="n"/>
      <c r="G505" s="6" t="n"/>
      <c r="H505" s="7" t="n"/>
      <c r="I505" s="6" t="n"/>
      <c r="J505" s="9" t="n"/>
      <c r="K505" s="11">
        <f>IF(C505="","",N(IFERROR(INDEX(Steps!$E$5:$E$62,MATCH(C505,Steps!$A$5:$A$62,0)),"")))</f>
        <v/>
      </c>
      <c r="L505" s="11">
        <f>IF(AND(C505&lt;&gt;"",E505&lt;&gt;"",I505&lt;&gt;"",OR(Settings!$B$10="No",I505&lt;&gt;E505)),K505*F505,0)</f>
        <v/>
      </c>
      <c r="M505" s="11">
        <f>IF(AND(AND(C505&lt;&gt;"",E505&lt;&gt;"",I505&lt;&gt;"",OR(Settings!$B$10="No",I505&lt;&gt;E505)),G505="Paid a pro",Settings!$B$9="Yes"),MAX(0,H505-K505*F505),0)</f>
        <v/>
      </c>
      <c r="N505" s="3">
        <f>IF(C505="","",IF(B505="","Enter the boat number",IF(B505&gt;Settings!$B$6,"Boat number above the boat count",IF(SUMIFS($F$5:$F$1004,$B$5:$B$1004,B505,$C$5:$C$1004,C505)&gt;1.0001,"Shares for this step add up to over 100%",IF(I505="","Waiting for sign-off",IF(AND(Settings!$B$10="Yes",I505=E505),"Needs a different member to sign off","OK"))))))</f>
        <v/>
      </c>
    </row>
    <row r="506">
      <c r="A506" s="9" t="n"/>
      <c r="B506" s="6" t="n"/>
      <c r="C506" s="6" t="n"/>
      <c r="D506" s="3">
        <f>IF(C506="","",IFERROR(INDEX(Steps!$C$5:$C$62,MATCH(C506,Steps!$A$5:$A$62,0)),""))</f>
        <v/>
      </c>
      <c r="E506" s="6" t="n"/>
      <c r="F506" s="8" t="n"/>
      <c r="G506" s="6" t="n"/>
      <c r="H506" s="7" t="n"/>
      <c r="I506" s="6" t="n"/>
      <c r="J506" s="9" t="n"/>
      <c r="K506" s="11">
        <f>IF(C506="","",N(IFERROR(INDEX(Steps!$E$5:$E$62,MATCH(C506,Steps!$A$5:$A$62,0)),"")))</f>
        <v/>
      </c>
      <c r="L506" s="11">
        <f>IF(AND(C506&lt;&gt;"",E506&lt;&gt;"",I506&lt;&gt;"",OR(Settings!$B$10="No",I506&lt;&gt;E506)),K506*F506,0)</f>
        <v/>
      </c>
      <c r="M506" s="11">
        <f>IF(AND(AND(C506&lt;&gt;"",E506&lt;&gt;"",I506&lt;&gt;"",OR(Settings!$B$10="No",I506&lt;&gt;E506)),G506="Paid a pro",Settings!$B$9="Yes"),MAX(0,H506-K506*F506),0)</f>
        <v/>
      </c>
      <c r="N506" s="3">
        <f>IF(C506="","",IF(B506="","Enter the boat number",IF(B506&gt;Settings!$B$6,"Boat number above the boat count",IF(SUMIFS($F$5:$F$1004,$B$5:$B$1004,B506,$C$5:$C$1004,C506)&gt;1.0001,"Shares for this step add up to over 100%",IF(I506="","Waiting for sign-off",IF(AND(Settings!$B$10="Yes",I506=E506),"Needs a different member to sign off","OK"))))))</f>
        <v/>
      </c>
    </row>
    <row r="507">
      <c r="A507" s="9" t="n"/>
      <c r="B507" s="6" t="n"/>
      <c r="C507" s="6" t="n"/>
      <c r="D507" s="3">
        <f>IF(C507="","",IFERROR(INDEX(Steps!$C$5:$C$62,MATCH(C507,Steps!$A$5:$A$62,0)),""))</f>
        <v/>
      </c>
      <c r="E507" s="6" t="n"/>
      <c r="F507" s="8" t="n"/>
      <c r="G507" s="6" t="n"/>
      <c r="H507" s="7" t="n"/>
      <c r="I507" s="6" t="n"/>
      <c r="J507" s="9" t="n"/>
      <c r="K507" s="11">
        <f>IF(C507="","",N(IFERROR(INDEX(Steps!$E$5:$E$62,MATCH(C507,Steps!$A$5:$A$62,0)),"")))</f>
        <v/>
      </c>
      <c r="L507" s="11">
        <f>IF(AND(C507&lt;&gt;"",E507&lt;&gt;"",I507&lt;&gt;"",OR(Settings!$B$10="No",I507&lt;&gt;E507)),K507*F507,0)</f>
        <v/>
      </c>
      <c r="M507" s="11">
        <f>IF(AND(AND(C507&lt;&gt;"",E507&lt;&gt;"",I507&lt;&gt;"",OR(Settings!$B$10="No",I507&lt;&gt;E507)),G507="Paid a pro",Settings!$B$9="Yes"),MAX(0,H507-K507*F507),0)</f>
        <v/>
      </c>
      <c r="N507" s="3">
        <f>IF(C507="","",IF(B507="","Enter the boat number",IF(B507&gt;Settings!$B$6,"Boat number above the boat count",IF(SUMIFS($F$5:$F$1004,$B$5:$B$1004,B507,$C$5:$C$1004,C507)&gt;1.0001,"Shares for this step add up to over 100%",IF(I507="","Waiting for sign-off",IF(AND(Settings!$B$10="Yes",I507=E507),"Needs a different member to sign off","OK"))))))</f>
        <v/>
      </c>
    </row>
    <row r="508">
      <c r="A508" s="9" t="n"/>
      <c r="B508" s="6" t="n"/>
      <c r="C508" s="6" t="n"/>
      <c r="D508" s="3">
        <f>IF(C508="","",IFERROR(INDEX(Steps!$C$5:$C$62,MATCH(C508,Steps!$A$5:$A$62,0)),""))</f>
        <v/>
      </c>
      <c r="E508" s="6" t="n"/>
      <c r="F508" s="8" t="n"/>
      <c r="G508" s="6" t="n"/>
      <c r="H508" s="7" t="n"/>
      <c r="I508" s="6" t="n"/>
      <c r="J508" s="9" t="n"/>
      <c r="K508" s="11">
        <f>IF(C508="","",N(IFERROR(INDEX(Steps!$E$5:$E$62,MATCH(C508,Steps!$A$5:$A$62,0)),"")))</f>
        <v/>
      </c>
      <c r="L508" s="11">
        <f>IF(AND(C508&lt;&gt;"",E508&lt;&gt;"",I508&lt;&gt;"",OR(Settings!$B$10="No",I508&lt;&gt;E508)),K508*F508,0)</f>
        <v/>
      </c>
      <c r="M508" s="11">
        <f>IF(AND(AND(C508&lt;&gt;"",E508&lt;&gt;"",I508&lt;&gt;"",OR(Settings!$B$10="No",I508&lt;&gt;E508)),G508="Paid a pro",Settings!$B$9="Yes"),MAX(0,H508-K508*F508),0)</f>
        <v/>
      </c>
      <c r="N508" s="3">
        <f>IF(C508="","",IF(B508="","Enter the boat number",IF(B508&gt;Settings!$B$6,"Boat number above the boat count",IF(SUMIFS($F$5:$F$1004,$B$5:$B$1004,B508,$C$5:$C$1004,C508)&gt;1.0001,"Shares for this step add up to over 100%",IF(I508="","Waiting for sign-off",IF(AND(Settings!$B$10="Yes",I508=E508),"Needs a different member to sign off","OK"))))))</f>
        <v/>
      </c>
    </row>
    <row r="509">
      <c r="A509" s="9" t="n"/>
      <c r="B509" s="6" t="n"/>
      <c r="C509" s="6" t="n"/>
      <c r="D509" s="3">
        <f>IF(C509="","",IFERROR(INDEX(Steps!$C$5:$C$62,MATCH(C509,Steps!$A$5:$A$62,0)),""))</f>
        <v/>
      </c>
      <c r="E509" s="6" t="n"/>
      <c r="F509" s="8" t="n"/>
      <c r="G509" s="6" t="n"/>
      <c r="H509" s="7" t="n"/>
      <c r="I509" s="6" t="n"/>
      <c r="J509" s="9" t="n"/>
      <c r="K509" s="11">
        <f>IF(C509="","",N(IFERROR(INDEX(Steps!$E$5:$E$62,MATCH(C509,Steps!$A$5:$A$62,0)),"")))</f>
        <v/>
      </c>
      <c r="L509" s="11">
        <f>IF(AND(C509&lt;&gt;"",E509&lt;&gt;"",I509&lt;&gt;"",OR(Settings!$B$10="No",I509&lt;&gt;E509)),K509*F509,0)</f>
        <v/>
      </c>
      <c r="M509" s="11">
        <f>IF(AND(AND(C509&lt;&gt;"",E509&lt;&gt;"",I509&lt;&gt;"",OR(Settings!$B$10="No",I509&lt;&gt;E509)),G509="Paid a pro",Settings!$B$9="Yes"),MAX(0,H509-K509*F509),0)</f>
        <v/>
      </c>
      <c r="N509" s="3">
        <f>IF(C509="","",IF(B509="","Enter the boat number",IF(B509&gt;Settings!$B$6,"Boat number above the boat count",IF(SUMIFS($F$5:$F$1004,$B$5:$B$1004,B509,$C$5:$C$1004,C509)&gt;1.0001,"Shares for this step add up to over 100%",IF(I509="","Waiting for sign-off",IF(AND(Settings!$B$10="Yes",I509=E509),"Needs a different member to sign off","OK"))))))</f>
        <v/>
      </c>
    </row>
    <row r="510">
      <c r="A510" s="9" t="n"/>
      <c r="B510" s="6" t="n"/>
      <c r="C510" s="6" t="n"/>
      <c r="D510" s="3">
        <f>IF(C510="","",IFERROR(INDEX(Steps!$C$5:$C$62,MATCH(C510,Steps!$A$5:$A$62,0)),""))</f>
        <v/>
      </c>
      <c r="E510" s="6" t="n"/>
      <c r="F510" s="8" t="n"/>
      <c r="G510" s="6" t="n"/>
      <c r="H510" s="7" t="n"/>
      <c r="I510" s="6" t="n"/>
      <c r="J510" s="9" t="n"/>
      <c r="K510" s="11">
        <f>IF(C510="","",N(IFERROR(INDEX(Steps!$E$5:$E$62,MATCH(C510,Steps!$A$5:$A$62,0)),"")))</f>
        <v/>
      </c>
      <c r="L510" s="11">
        <f>IF(AND(C510&lt;&gt;"",E510&lt;&gt;"",I510&lt;&gt;"",OR(Settings!$B$10="No",I510&lt;&gt;E510)),K510*F510,0)</f>
        <v/>
      </c>
      <c r="M510" s="11">
        <f>IF(AND(AND(C510&lt;&gt;"",E510&lt;&gt;"",I510&lt;&gt;"",OR(Settings!$B$10="No",I510&lt;&gt;E510)),G510="Paid a pro",Settings!$B$9="Yes"),MAX(0,H510-K510*F510),0)</f>
        <v/>
      </c>
      <c r="N510" s="3">
        <f>IF(C510="","",IF(B510="","Enter the boat number",IF(B510&gt;Settings!$B$6,"Boat number above the boat count",IF(SUMIFS($F$5:$F$1004,$B$5:$B$1004,B510,$C$5:$C$1004,C510)&gt;1.0001,"Shares for this step add up to over 100%",IF(I510="","Waiting for sign-off",IF(AND(Settings!$B$10="Yes",I510=E510),"Needs a different member to sign off","OK"))))))</f>
        <v/>
      </c>
    </row>
    <row r="511">
      <c r="A511" s="9" t="n"/>
      <c r="B511" s="6" t="n"/>
      <c r="C511" s="6" t="n"/>
      <c r="D511" s="3">
        <f>IF(C511="","",IFERROR(INDEX(Steps!$C$5:$C$62,MATCH(C511,Steps!$A$5:$A$62,0)),""))</f>
        <v/>
      </c>
      <c r="E511" s="6" t="n"/>
      <c r="F511" s="8" t="n"/>
      <c r="G511" s="6" t="n"/>
      <c r="H511" s="7" t="n"/>
      <c r="I511" s="6" t="n"/>
      <c r="J511" s="9" t="n"/>
      <c r="K511" s="11">
        <f>IF(C511="","",N(IFERROR(INDEX(Steps!$E$5:$E$62,MATCH(C511,Steps!$A$5:$A$62,0)),"")))</f>
        <v/>
      </c>
      <c r="L511" s="11">
        <f>IF(AND(C511&lt;&gt;"",E511&lt;&gt;"",I511&lt;&gt;"",OR(Settings!$B$10="No",I511&lt;&gt;E511)),K511*F511,0)</f>
        <v/>
      </c>
      <c r="M511" s="11">
        <f>IF(AND(AND(C511&lt;&gt;"",E511&lt;&gt;"",I511&lt;&gt;"",OR(Settings!$B$10="No",I511&lt;&gt;E511)),G511="Paid a pro",Settings!$B$9="Yes"),MAX(0,H511-K511*F511),0)</f>
        <v/>
      </c>
      <c r="N511" s="3">
        <f>IF(C511="","",IF(B511="","Enter the boat number",IF(B511&gt;Settings!$B$6,"Boat number above the boat count",IF(SUMIFS($F$5:$F$1004,$B$5:$B$1004,B511,$C$5:$C$1004,C511)&gt;1.0001,"Shares for this step add up to over 100%",IF(I511="","Waiting for sign-off",IF(AND(Settings!$B$10="Yes",I511=E511),"Needs a different member to sign off","OK"))))))</f>
        <v/>
      </c>
    </row>
    <row r="512">
      <c r="A512" s="9" t="n"/>
      <c r="B512" s="6" t="n"/>
      <c r="C512" s="6" t="n"/>
      <c r="D512" s="3">
        <f>IF(C512="","",IFERROR(INDEX(Steps!$C$5:$C$62,MATCH(C512,Steps!$A$5:$A$62,0)),""))</f>
        <v/>
      </c>
      <c r="E512" s="6" t="n"/>
      <c r="F512" s="8" t="n"/>
      <c r="G512" s="6" t="n"/>
      <c r="H512" s="7" t="n"/>
      <c r="I512" s="6" t="n"/>
      <c r="J512" s="9" t="n"/>
      <c r="K512" s="11">
        <f>IF(C512="","",N(IFERROR(INDEX(Steps!$E$5:$E$62,MATCH(C512,Steps!$A$5:$A$62,0)),"")))</f>
        <v/>
      </c>
      <c r="L512" s="11">
        <f>IF(AND(C512&lt;&gt;"",E512&lt;&gt;"",I512&lt;&gt;"",OR(Settings!$B$10="No",I512&lt;&gt;E512)),K512*F512,0)</f>
        <v/>
      </c>
      <c r="M512" s="11">
        <f>IF(AND(AND(C512&lt;&gt;"",E512&lt;&gt;"",I512&lt;&gt;"",OR(Settings!$B$10="No",I512&lt;&gt;E512)),G512="Paid a pro",Settings!$B$9="Yes"),MAX(0,H512-K512*F512),0)</f>
        <v/>
      </c>
      <c r="N512" s="3">
        <f>IF(C512="","",IF(B512="","Enter the boat number",IF(B512&gt;Settings!$B$6,"Boat number above the boat count",IF(SUMIFS($F$5:$F$1004,$B$5:$B$1004,B512,$C$5:$C$1004,C512)&gt;1.0001,"Shares for this step add up to over 100%",IF(I512="","Waiting for sign-off",IF(AND(Settings!$B$10="Yes",I512=E512),"Needs a different member to sign off","OK"))))))</f>
        <v/>
      </c>
    </row>
    <row r="513">
      <c r="A513" s="9" t="n"/>
      <c r="B513" s="6" t="n"/>
      <c r="C513" s="6" t="n"/>
      <c r="D513" s="3">
        <f>IF(C513="","",IFERROR(INDEX(Steps!$C$5:$C$62,MATCH(C513,Steps!$A$5:$A$62,0)),""))</f>
        <v/>
      </c>
      <c r="E513" s="6" t="n"/>
      <c r="F513" s="8" t="n"/>
      <c r="G513" s="6" t="n"/>
      <c r="H513" s="7" t="n"/>
      <c r="I513" s="6" t="n"/>
      <c r="J513" s="9" t="n"/>
      <c r="K513" s="11">
        <f>IF(C513="","",N(IFERROR(INDEX(Steps!$E$5:$E$62,MATCH(C513,Steps!$A$5:$A$62,0)),"")))</f>
        <v/>
      </c>
      <c r="L513" s="11">
        <f>IF(AND(C513&lt;&gt;"",E513&lt;&gt;"",I513&lt;&gt;"",OR(Settings!$B$10="No",I513&lt;&gt;E513)),K513*F513,0)</f>
        <v/>
      </c>
      <c r="M513" s="11">
        <f>IF(AND(AND(C513&lt;&gt;"",E513&lt;&gt;"",I513&lt;&gt;"",OR(Settings!$B$10="No",I513&lt;&gt;E513)),G513="Paid a pro",Settings!$B$9="Yes"),MAX(0,H513-K513*F513),0)</f>
        <v/>
      </c>
      <c r="N513" s="3">
        <f>IF(C513="","",IF(B513="","Enter the boat number",IF(B513&gt;Settings!$B$6,"Boat number above the boat count",IF(SUMIFS($F$5:$F$1004,$B$5:$B$1004,B513,$C$5:$C$1004,C513)&gt;1.0001,"Shares for this step add up to over 100%",IF(I513="","Waiting for sign-off",IF(AND(Settings!$B$10="Yes",I513=E513),"Needs a different member to sign off","OK"))))))</f>
        <v/>
      </c>
    </row>
    <row r="514">
      <c r="A514" s="9" t="n"/>
      <c r="B514" s="6" t="n"/>
      <c r="C514" s="6" t="n"/>
      <c r="D514" s="3">
        <f>IF(C514="","",IFERROR(INDEX(Steps!$C$5:$C$62,MATCH(C514,Steps!$A$5:$A$62,0)),""))</f>
        <v/>
      </c>
      <c r="E514" s="6" t="n"/>
      <c r="F514" s="8" t="n"/>
      <c r="G514" s="6" t="n"/>
      <c r="H514" s="7" t="n"/>
      <c r="I514" s="6" t="n"/>
      <c r="J514" s="9" t="n"/>
      <c r="K514" s="11">
        <f>IF(C514="","",N(IFERROR(INDEX(Steps!$E$5:$E$62,MATCH(C514,Steps!$A$5:$A$62,0)),"")))</f>
        <v/>
      </c>
      <c r="L514" s="11">
        <f>IF(AND(C514&lt;&gt;"",E514&lt;&gt;"",I514&lt;&gt;"",OR(Settings!$B$10="No",I514&lt;&gt;E514)),K514*F514,0)</f>
        <v/>
      </c>
      <c r="M514" s="11">
        <f>IF(AND(AND(C514&lt;&gt;"",E514&lt;&gt;"",I514&lt;&gt;"",OR(Settings!$B$10="No",I514&lt;&gt;E514)),G514="Paid a pro",Settings!$B$9="Yes"),MAX(0,H514-K514*F514),0)</f>
        <v/>
      </c>
      <c r="N514" s="3">
        <f>IF(C514="","",IF(B514="","Enter the boat number",IF(B514&gt;Settings!$B$6,"Boat number above the boat count",IF(SUMIFS($F$5:$F$1004,$B$5:$B$1004,B514,$C$5:$C$1004,C514)&gt;1.0001,"Shares for this step add up to over 100%",IF(I514="","Waiting for sign-off",IF(AND(Settings!$B$10="Yes",I514=E514),"Needs a different member to sign off","OK"))))))</f>
        <v/>
      </c>
    </row>
    <row r="515">
      <c r="A515" s="9" t="n"/>
      <c r="B515" s="6" t="n"/>
      <c r="C515" s="6" t="n"/>
      <c r="D515" s="3">
        <f>IF(C515="","",IFERROR(INDEX(Steps!$C$5:$C$62,MATCH(C515,Steps!$A$5:$A$62,0)),""))</f>
        <v/>
      </c>
      <c r="E515" s="6" t="n"/>
      <c r="F515" s="8" t="n"/>
      <c r="G515" s="6" t="n"/>
      <c r="H515" s="7" t="n"/>
      <c r="I515" s="6" t="n"/>
      <c r="J515" s="9" t="n"/>
      <c r="K515" s="11">
        <f>IF(C515="","",N(IFERROR(INDEX(Steps!$E$5:$E$62,MATCH(C515,Steps!$A$5:$A$62,0)),"")))</f>
        <v/>
      </c>
      <c r="L515" s="11">
        <f>IF(AND(C515&lt;&gt;"",E515&lt;&gt;"",I515&lt;&gt;"",OR(Settings!$B$10="No",I515&lt;&gt;E515)),K515*F515,0)</f>
        <v/>
      </c>
      <c r="M515" s="11">
        <f>IF(AND(AND(C515&lt;&gt;"",E515&lt;&gt;"",I515&lt;&gt;"",OR(Settings!$B$10="No",I515&lt;&gt;E515)),G515="Paid a pro",Settings!$B$9="Yes"),MAX(0,H515-K515*F515),0)</f>
        <v/>
      </c>
      <c r="N515" s="3">
        <f>IF(C515="","",IF(B515="","Enter the boat number",IF(B515&gt;Settings!$B$6,"Boat number above the boat count",IF(SUMIFS($F$5:$F$1004,$B$5:$B$1004,B515,$C$5:$C$1004,C515)&gt;1.0001,"Shares for this step add up to over 100%",IF(I515="","Waiting for sign-off",IF(AND(Settings!$B$10="Yes",I515=E515),"Needs a different member to sign off","OK"))))))</f>
        <v/>
      </c>
    </row>
    <row r="516">
      <c r="A516" s="9" t="n"/>
      <c r="B516" s="6" t="n"/>
      <c r="C516" s="6" t="n"/>
      <c r="D516" s="3">
        <f>IF(C516="","",IFERROR(INDEX(Steps!$C$5:$C$62,MATCH(C516,Steps!$A$5:$A$62,0)),""))</f>
        <v/>
      </c>
      <c r="E516" s="6" t="n"/>
      <c r="F516" s="8" t="n"/>
      <c r="G516" s="6" t="n"/>
      <c r="H516" s="7" t="n"/>
      <c r="I516" s="6" t="n"/>
      <c r="J516" s="9" t="n"/>
      <c r="K516" s="11">
        <f>IF(C516="","",N(IFERROR(INDEX(Steps!$E$5:$E$62,MATCH(C516,Steps!$A$5:$A$62,0)),"")))</f>
        <v/>
      </c>
      <c r="L516" s="11">
        <f>IF(AND(C516&lt;&gt;"",E516&lt;&gt;"",I516&lt;&gt;"",OR(Settings!$B$10="No",I516&lt;&gt;E516)),K516*F516,0)</f>
        <v/>
      </c>
      <c r="M516" s="11">
        <f>IF(AND(AND(C516&lt;&gt;"",E516&lt;&gt;"",I516&lt;&gt;"",OR(Settings!$B$10="No",I516&lt;&gt;E516)),G516="Paid a pro",Settings!$B$9="Yes"),MAX(0,H516-K516*F516),0)</f>
        <v/>
      </c>
      <c r="N516" s="3">
        <f>IF(C516="","",IF(B516="","Enter the boat number",IF(B516&gt;Settings!$B$6,"Boat number above the boat count",IF(SUMIFS($F$5:$F$1004,$B$5:$B$1004,B516,$C$5:$C$1004,C516)&gt;1.0001,"Shares for this step add up to over 100%",IF(I516="","Waiting for sign-off",IF(AND(Settings!$B$10="Yes",I516=E516),"Needs a different member to sign off","OK"))))))</f>
        <v/>
      </c>
    </row>
    <row r="517">
      <c r="A517" s="9" t="n"/>
      <c r="B517" s="6" t="n"/>
      <c r="C517" s="6" t="n"/>
      <c r="D517" s="3">
        <f>IF(C517="","",IFERROR(INDEX(Steps!$C$5:$C$62,MATCH(C517,Steps!$A$5:$A$62,0)),""))</f>
        <v/>
      </c>
      <c r="E517" s="6" t="n"/>
      <c r="F517" s="8" t="n"/>
      <c r="G517" s="6" t="n"/>
      <c r="H517" s="7" t="n"/>
      <c r="I517" s="6" t="n"/>
      <c r="J517" s="9" t="n"/>
      <c r="K517" s="11">
        <f>IF(C517="","",N(IFERROR(INDEX(Steps!$E$5:$E$62,MATCH(C517,Steps!$A$5:$A$62,0)),"")))</f>
        <v/>
      </c>
      <c r="L517" s="11">
        <f>IF(AND(C517&lt;&gt;"",E517&lt;&gt;"",I517&lt;&gt;"",OR(Settings!$B$10="No",I517&lt;&gt;E517)),K517*F517,0)</f>
        <v/>
      </c>
      <c r="M517" s="11">
        <f>IF(AND(AND(C517&lt;&gt;"",E517&lt;&gt;"",I517&lt;&gt;"",OR(Settings!$B$10="No",I517&lt;&gt;E517)),G517="Paid a pro",Settings!$B$9="Yes"),MAX(0,H517-K517*F517),0)</f>
        <v/>
      </c>
      <c r="N517" s="3">
        <f>IF(C517="","",IF(B517="","Enter the boat number",IF(B517&gt;Settings!$B$6,"Boat number above the boat count",IF(SUMIFS($F$5:$F$1004,$B$5:$B$1004,B517,$C$5:$C$1004,C517)&gt;1.0001,"Shares for this step add up to over 100%",IF(I517="","Waiting for sign-off",IF(AND(Settings!$B$10="Yes",I517=E517),"Needs a different member to sign off","OK"))))))</f>
        <v/>
      </c>
    </row>
    <row r="518">
      <c r="A518" s="9" t="n"/>
      <c r="B518" s="6" t="n"/>
      <c r="C518" s="6" t="n"/>
      <c r="D518" s="3">
        <f>IF(C518="","",IFERROR(INDEX(Steps!$C$5:$C$62,MATCH(C518,Steps!$A$5:$A$62,0)),""))</f>
        <v/>
      </c>
      <c r="E518" s="6" t="n"/>
      <c r="F518" s="8" t="n"/>
      <c r="G518" s="6" t="n"/>
      <c r="H518" s="7" t="n"/>
      <c r="I518" s="6" t="n"/>
      <c r="J518" s="9" t="n"/>
      <c r="K518" s="11">
        <f>IF(C518="","",N(IFERROR(INDEX(Steps!$E$5:$E$62,MATCH(C518,Steps!$A$5:$A$62,0)),"")))</f>
        <v/>
      </c>
      <c r="L518" s="11">
        <f>IF(AND(C518&lt;&gt;"",E518&lt;&gt;"",I518&lt;&gt;"",OR(Settings!$B$10="No",I518&lt;&gt;E518)),K518*F518,0)</f>
        <v/>
      </c>
      <c r="M518" s="11">
        <f>IF(AND(AND(C518&lt;&gt;"",E518&lt;&gt;"",I518&lt;&gt;"",OR(Settings!$B$10="No",I518&lt;&gt;E518)),G518="Paid a pro",Settings!$B$9="Yes"),MAX(0,H518-K518*F518),0)</f>
        <v/>
      </c>
      <c r="N518" s="3">
        <f>IF(C518="","",IF(B518="","Enter the boat number",IF(B518&gt;Settings!$B$6,"Boat number above the boat count",IF(SUMIFS($F$5:$F$1004,$B$5:$B$1004,B518,$C$5:$C$1004,C518)&gt;1.0001,"Shares for this step add up to over 100%",IF(I518="","Waiting for sign-off",IF(AND(Settings!$B$10="Yes",I518=E518),"Needs a different member to sign off","OK"))))))</f>
        <v/>
      </c>
    </row>
    <row r="519">
      <c r="A519" s="9" t="n"/>
      <c r="B519" s="6" t="n"/>
      <c r="C519" s="6" t="n"/>
      <c r="D519" s="3">
        <f>IF(C519="","",IFERROR(INDEX(Steps!$C$5:$C$62,MATCH(C519,Steps!$A$5:$A$62,0)),""))</f>
        <v/>
      </c>
      <c r="E519" s="6" t="n"/>
      <c r="F519" s="8" t="n"/>
      <c r="G519" s="6" t="n"/>
      <c r="H519" s="7" t="n"/>
      <c r="I519" s="6" t="n"/>
      <c r="J519" s="9" t="n"/>
      <c r="K519" s="11">
        <f>IF(C519="","",N(IFERROR(INDEX(Steps!$E$5:$E$62,MATCH(C519,Steps!$A$5:$A$62,0)),"")))</f>
        <v/>
      </c>
      <c r="L519" s="11">
        <f>IF(AND(C519&lt;&gt;"",E519&lt;&gt;"",I519&lt;&gt;"",OR(Settings!$B$10="No",I519&lt;&gt;E519)),K519*F519,0)</f>
        <v/>
      </c>
      <c r="M519" s="11">
        <f>IF(AND(AND(C519&lt;&gt;"",E519&lt;&gt;"",I519&lt;&gt;"",OR(Settings!$B$10="No",I519&lt;&gt;E519)),G519="Paid a pro",Settings!$B$9="Yes"),MAX(0,H519-K519*F519),0)</f>
        <v/>
      </c>
      <c r="N519" s="3">
        <f>IF(C519="","",IF(B519="","Enter the boat number",IF(B519&gt;Settings!$B$6,"Boat number above the boat count",IF(SUMIFS($F$5:$F$1004,$B$5:$B$1004,B519,$C$5:$C$1004,C519)&gt;1.0001,"Shares for this step add up to over 100%",IF(I519="","Waiting for sign-off",IF(AND(Settings!$B$10="Yes",I519=E519),"Needs a different member to sign off","OK"))))))</f>
        <v/>
      </c>
    </row>
    <row r="520">
      <c r="A520" s="9" t="n"/>
      <c r="B520" s="6" t="n"/>
      <c r="C520" s="6" t="n"/>
      <c r="D520" s="3">
        <f>IF(C520="","",IFERROR(INDEX(Steps!$C$5:$C$62,MATCH(C520,Steps!$A$5:$A$62,0)),""))</f>
        <v/>
      </c>
      <c r="E520" s="6" t="n"/>
      <c r="F520" s="8" t="n"/>
      <c r="G520" s="6" t="n"/>
      <c r="H520" s="7" t="n"/>
      <c r="I520" s="6" t="n"/>
      <c r="J520" s="9" t="n"/>
      <c r="K520" s="11">
        <f>IF(C520="","",N(IFERROR(INDEX(Steps!$E$5:$E$62,MATCH(C520,Steps!$A$5:$A$62,0)),"")))</f>
        <v/>
      </c>
      <c r="L520" s="11">
        <f>IF(AND(C520&lt;&gt;"",E520&lt;&gt;"",I520&lt;&gt;"",OR(Settings!$B$10="No",I520&lt;&gt;E520)),K520*F520,0)</f>
        <v/>
      </c>
      <c r="M520" s="11">
        <f>IF(AND(AND(C520&lt;&gt;"",E520&lt;&gt;"",I520&lt;&gt;"",OR(Settings!$B$10="No",I520&lt;&gt;E520)),G520="Paid a pro",Settings!$B$9="Yes"),MAX(0,H520-K520*F520),0)</f>
        <v/>
      </c>
      <c r="N520" s="3">
        <f>IF(C520="","",IF(B520="","Enter the boat number",IF(B520&gt;Settings!$B$6,"Boat number above the boat count",IF(SUMIFS($F$5:$F$1004,$B$5:$B$1004,B520,$C$5:$C$1004,C520)&gt;1.0001,"Shares for this step add up to over 100%",IF(I520="","Waiting for sign-off",IF(AND(Settings!$B$10="Yes",I520=E520),"Needs a different member to sign off","OK"))))))</f>
        <v/>
      </c>
    </row>
    <row r="521">
      <c r="A521" s="9" t="n"/>
      <c r="B521" s="6" t="n"/>
      <c r="C521" s="6" t="n"/>
      <c r="D521" s="3">
        <f>IF(C521="","",IFERROR(INDEX(Steps!$C$5:$C$62,MATCH(C521,Steps!$A$5:$A$62,0)),""))</f>
        <v/>
      </c>
      <c r="E521" s="6" t="n"/>
      <c r="F521" s="8" t="n"/>
      <c r="G521" s="6" t="n"/>
      <c r="H521" s="7" t="n"/>
      <c r="I521" s="6" t="n"/>
      <c r="J521" s="9" t="n"/>
      <c r="K521" s="11">
        <f>IF(C521="","",N(IFERROR(INDEX(Steps!$E$5:$E$62,MATCH(C521,Steps!$A$5:$A$62,0)),"")))</f>
        <v/>
      </c>
      <c r="L521" s="11">
        <f>IF(AND(C521&lt;&gt;"",E521&lt;&gt;"",I521&lt;&gt;"",OR(Settings!$B$10="No",I521&lt;&gt;E521)),K521*F521,0)</f>
        <v/>
      </c>
      <c r="M521" s="11">
        <f>IF(AND(AND(C521&lt;&gt;"",E521&lt;&gt;"",I521&lt;&gt;"",OR(Settings!$B$10="No",I521&lt;&gt;E521)),G521="Paid a pro",Settings!$B$9="Yes"),MAX(0,H521-K521*F521),0)</f>
        <v/>
      </c>
      <c r="N521" s="3">
        <f>IF(C521="","",IF(B521="","Enter the boat number",IF(B521&gt;Settings!$B$6,"Boat number above the boat count",IF(SUMIFS($F$5:$F$1004,$B$5:$B$1004,B521,$C$5:$C$1004,C521)&gt;1.0001,"Shares for this step add up to over 100%",IF(I521="","Waiting for sign-off",IF(AND(Settings!$B$10="Yes",I521=E521),"Needs a different member to sign off","OK"))))))</f>
        <v/>
      </c>
    </row>
    <row r="522">
      <c r="A522" s="9" t="n"/>
      <c r="B522" s="6" t="n"/>
      <c r="C522" s="6" t="n"/>
      <c r="D522" s="3">
        <f>IF(C522="","",IFERROR(INDEX(Steps!$C$5:$C$62,MATCH(C522,Steps!$A$5:$A$62,0)),""))</f>
        <v/>
      </c>
      <c r="E522" s="6" t="n"/>
      <c r="F522" s="8" t="n"/>
      <c r="G522" s="6" t="n"/>
      <c r="H522" s="7" t="n"/>
      <c r="I522" s="6" t="n"/>
      <c r="J522" s="9" t="n"/>
      <c r="K522" s="11">
        <f>IF(C522="","",N(IFERROR(INDEX(Steps!$E$5:$E$62,MATCH(C522,Steps!$A$5:$A$62,0)),"")))</f>
        <v/>
      </c>
      <c r="L522" s="11">
        <f>IF(AND(C522&lt;&gt;"",E522&lt;&gt;"",I522&lt;&gt;"",OR(Settings!$B$10="No",I522&lt;&gt;E522)),K522*F522,0)</f>
        <v/>
      </c>
      <c r="M522" s="11">
        <f>IF(AND(AND(C522&lt;&gt;"",E522&lt;&gt;"",I522&lt;&gt;"",OR(Settings!$B$10="No",I522&lt;&gt;E522)),G522="Paid a pro",Settings!$B$9="Yes"),MAX(0,H522-K522*F522),0)</f>
        <v/>
      </c>
      <c r="N522" s="3">
        <f>IF(C522="","",IF(B522="","Enter the boat number",IF(B522&gt;Settings!$B$6,"Boat number above the boat count",IF(SUMIFS($F$5:$F$1004,$B$5:$B$1004,B522,$C$5:$C$1004,C522)&gt;1.0001,"Shares for this step add up to over 100%",IF(I522="","Waiting for sign-off",IF(AND(Settings!$B$10="Yes",I522=E522),"Needs a different member to sign off","OK"))))))</f>
        <v/>
      </c>
    </row>
    <row r="523">
      <c r="A523" s="9" t="n"/>
      <c r="B523" s="6" t="n"/>
      <c r="C523" s="6" t="n"/>
      <c r="D523" s="3">
        <f>IF(C523="","",IFERROR(INDEX(Steps!$C$5:$C$62,MATCH(C523,Steps!$A$5:$A$62,0)),""))</f>
        <v/>
      </c>
      <c r="E523" s="6" t="n"/>
      <c r="F523" s="8" t="n"/>
      <c r="G523" s="6" t="n"/>
      <c r="H523" s="7" t="n"/>
      <c r="I523" s="6" t="n"/>
      <c r="J523" s="9" t="n"/>
      <c r="K523" s="11">
        <f>IF(C523="","",N(IFERROR(INDEX(Steps!$E$5:$E$62,MATCH(C523,Steps!$A$5:$A$62,0)),"")))</f>
        <v/>
      </c>
      <c r="L523" s="11">
        <f>IF(AND(C523&lt;&gt;"",E523&lt;&gt;"",I523&lt;&gt;"",OR(Settings!$B$10="No",I523&lt;&gt;E523)),K523*F523,0)</f>
        <v/>
      </c>
      <c r="M523" s="11">
        <f>IF(AND(AND(C523&lt;&gt;"",E523&lt;&gt;"",I523&lt;&gt;"",OR(Settings!$B$10="No",I523&lt;&gt;E523)),G523="Paid a pro",Settings!$B$9="Yes"),MAX(0,H523-K523*F523),0)</f>
        <v/>
      </c>
      <c r="N523" s="3">
        <f>IF(C523="","",IF(B523="","Enter the boat number",IF(B523&gt;Settings!$B$6,"Boat number above the boat count",IF(SUMIFS($F$5:$F$1004,$B$5:$B$1004,B523,$C$5:$C$1004,C523)&gt;1.0001,"Shares for this step add up to over 100%",IF(I523="","Waiting for sign-off",IF(AND(Settings!$B$10="Yes",I523=E523),"Needs a different member to sign off","OK"))))))</f>
        <v/>
      </c>
    </row>
    <row r="524">
      <c r="A524" s="9" t="n"/>
      <c r="B524" s="6" t="n"/>
      <c r="C524" s="6" t="n"/>
      <c r="D524" s="3">
        <f>IF(C524="","",IFERROR(INDEX(Steps!$C$5:$C$62,MATCH(C524,Steps!$A$5:$A$62,0)),""))</f>
        <v/>
      </c>
      <c r="E524" s="6" t="n"/>
      <c r="F524" s="8" t="n"/>
      <c r="G524" s="6" t="n"/>
      <c r="H524" s="7" t="n"/>
      <c r="I524" s="6" t="n"/>
      <c r="J524" s="9" t="n"/>
      <c r="K524" s="11">
        <f>IF(C524="","",N(IFERROR(INDEX(Steps!$E$5:$E$62,MATCH(C524,Steps!$A$5:$A$62,0)),"")))</f>
        <v/>
      </c>
      <c r="L524" s="11">
        <f>IF(AND(C524&lt;&gt;"",E524&lt;&gt;"",I524&lt;&gt;"",OR(Settings!$B$10="No",I524&lt;&gt;E524)),K524*F524,0)</f>
        <v/>
      </c>
      <c r="M524" s="11">
        <f>IF(AND(AND(C524&lt;&gt;"",E524&lt;&gt;"",I524&lt;&gt;"",OR(Settings!$B$10="No",I524&lt;&gt;E524)),G524="Paid a pro",Settings!$B$9="Yes"),MAX(0,H524-K524*F524),0)</f>
        <v/>
      </c>
      <c r="N524" s="3">
        <f>IF(C524="","",IF(B524="","Enter the boat number",IF(B524&gt;Settings!$B$6,"Boat number above the boat count",IF(SUMIFS($F$5:$F$1004,$B$5:$B$1004,B524,$C$5:$C$1004,C524)&gt;1.0001,"Shares for this step add up to over 100%",IF(I524="","Waiting for sign-off",IF(AND(Settings!$B$10="Yes",I524=E524),"Needs a different member to sign off","OK"))))))</f>
        <v/>
      </c>
    </row>
    <row r="525">
      <c r="A525" s="9" t="n"/>
      <c r="B525" s="6" t="n"/>
      <c r="C525" s="6" t="n"/>
      <c r="D525" s="3">
        <f>IF(C525="","",IFERROR(INDEX(Steps!$C$5:$C$62,MATCH(C525,Steps!$A$5:$A$62,0)),""))</f>
        <v/>
      </c>
      <c r="E525" s="6" t="n"/>
      <c r="F525" s="8" t="n"/>
      <c r="G525" s="6" t="n"/>
      <c r="H525" s="7" t="n"/>
      <c r="I525" s="6" t="n"/>
      <c r="J525" s="9" t="n"/>
      <c r="K525" s="11">
        <f>IF(C525="","",N(IFERROR(INDEX(Steps!$E$5:$E$62,MATCH(C525,Steps!$A$5:$A$62,0)),"")))</f>
        <v/>
      </c>
      <c r="L525" s="11">
        <f>IF(AND(C525&lt;&gt;"",E525&lt;&gt;"",I525&lt;&gt;"",OR(Settings!$B$10="No",I525&lt;&gt;E525)),K525*F525,0)</f>
        <v/>
      </c>
      <c r="M525" s="11">
        <f>IF(AND(AND(C525&lt;&gt;"",E525&lt;&gt;"",I525&lt;&gt;"",OR(Settings!$B$10="No",I525&lt;&gt;E525)),G525="Paid a pro",Settings!$B$9="Yes"),MAX(0,H525-K525*F525),0)</f>
        <v/>
      </c>
      <c r="N525" s="3">
        <f>IF(C525="","",IF(B525="","Enter the boat number",IF(B525&gt;Settings!$B$6,"Boat number above the boat count",IF(SUMIFS($F$5:$F$1004,$B$5:$B$1004,B525,$C$5:$C$1004,C525)&gt;1.0001,"Shares for this step add up to over 100%",IF(I525="","Waiting for sign-off",IF(AND(Settings!$B$10="Yes",I525=E525),"Needs a different member to sign off","OK"))))))</f>
        <v/>
      </c>
    </row>
    <row r="526">
      <c r="A526" s="9" t="n"/>
      <c r="B526" s="6" t="n"/>
      <c r="C526" s="6" t="n"/>
      <c r="D526" s="3">
        <f>IF(C526="","",IFERROR(INDEX(Steps!$C$5:$C$62,MATCH(C526,Steps!$A$5:$A$62,0)),""))</f>
        <v/>
      </c>
      <c r="E526" s="6" t="n"/>
      <c r="F526" s="8" t="n"/>
      <c r="G526" s="6" t="n"/>
      <c r="H526" s="7" t="n"/>
      <c r="I526" s="6" t="n"/>
      <c r="J526" s="9" t="n"/>
      <c r="K526" s="11">
        <f>IF(C526="","",N(IFERROR(INDEX(Steps!$E$5:$E$62,MATCH(C526,Steps!$A$5:$A$62,0)),"")))</f>
        <v/>
      </c>
      <c r="L526" s="11">
        <f>IF(AND(C526&lt;&gt;"",E526&lt;&gt;"",I526&lt;&gt;"",OR(Settings!$B$10="No",I526&lt;&gt;E526)),K526*F526,0)</f>
        <v/>
      </c>
      <c r="M526" s="11">
        <f>IF(AND(AND(C526&lt;&gt;"",E526&lt;&gt;"",I526&lt;&gt;"",OR(Settings!$B$10="No",I526&lt;&gt;E526)),G526="Paid a pro",Settings!$B$9="Yes"),MAX(0,H526-K526*F526),0)</f>
        <v/>
      </c>
      <c r="N526" s="3">
        <f>IF(C526="","",IF(B526="","Enter the boat number",IF(B526&gt;Settings!$B$6,"Boat number above the boat count",IF(SUMIFS($F$5:$F$1004,$B$5:$B$1004,B526,$C$5:$C$1004,C526)&gt;1.0001,"Shares for this step add up to over 100%",IF(I526="","Waiting for sign-off",IF(AND(Settings!$B$10="Yes",I526=E526),"Needs a different member to sign off","OK"))))))</f>
        <v/>
      </c>
    </row>
    <row r="527">
      <c r="A527" s="9" t="n"/>
      <c r="B527" s="6" t="n"/>
      <c r="C527" s="6" t="n"/>
      <c r="D527" s="3">
        <f>IF(C527="","",IFERROR(INDEX(Steps!$C$5:$C$62,MATCH(C527,Steps!$A$5:$A$62,0)),""))</f>
        <v/>
      </c>
      <c r="E527" s="6" t="n"/>
      <c r="F527" s="8" t="n"/>
      <c r="G527" s="6" t="n"/>
      <c r="H527" s="7" t="n"/>
      <c r="I527" s="6" t="n"/>
      <c r="J527" s="9" t="n"/>
      <c r="K527" s="11">
        <f>IF(C527="","",N(IFERROR(INDEX(Steps!$E$5:$E$62,MATCH(C527,Steps!$A$5:$A$62,0)),"")))</f>
        <v/>
      </c>
      <c r="L527" s="11">
        <f>IF(AND(C527&lt;&gt;"",E527&lt;&gt;"",I527&lt;&gt;"",OR(Settings!$B$10="No",I527&lt;&gt;E527)),K527*F527,0)</f>
        <v/>
      </c>
      <c r="M527" s="11">
        <f>IF(AND(AND(C527&lt;&gt;"",E527&lt;&gt;"",I527&lt;&gt;"",OR(Settings!$B$10="No",I527&lt;&gt;E527)),G527="Paid a pro",Settings!$B$9="Yes"),MAX(0,H527-K527*F527),0)</f>
        <v/>
      </c>
      <c r="N527" s="3">
        <f>IF(C527="","",IF(B527="","Enter the boat number",IF(B527&gt;Settings!$B$6,"Boat number above the boat count",IF(SUMIFS($F$5:$F$1004,$B$5:$B$1004,B527,$C$5:$C$1004,C527)&gt;1.0001,"Shares for this step add up to over 100%",IF(I527="","Waiting for sign-off",IF(AND(Settings!$B$10="Yes",I527=E527),"Needs a different member to sign off","OK"))))))</f>
        <v/>
      </c>
    </row>
    <row r="528">
      <c r="A528" s="9" t="n"/>
      <c r="B528" s="6" t="n"/>
      <c r="C528" s="6" t="n"/>
      <c r="D528" s="3">
        <f>IF(C528="","",IFERROR(INDEX(Steps!$C$5:$C$62,MATCH(C528,Steps!$A$5:$A$62,0)),""))</f>
        <v/>
      </c>
      <c r="E528" s="6" t="n"/>
      <c r="F528" s="8" t="n"/>
      <c r="G528" s="6" t="n"/>
      <c r="H528" s="7" t="n"/>
      <c r="I528" s="6" t="n"/>
      <c r="J528" s="9" t="n"/>
      <c r="K528" s="11">
        <f>IF(C528="","",N(IFERROR(INDEX(Steps!$E$5:$E$62,MATCH(C528,Steps!$A$5:$A$62,0)),"")))</f>
        <v/>
      </c>
      <c r="L528" s="11">
        <f>IF(AND(C528&lt;&gt;"",E528&lt;&gt;"",I528&lt;&gt;"",OR(Settings!$B$10="No",I528&lt;&gt;E528)),K528*F528,0)</f>
        <v/>
      </c>
      <c r="M528" s="11">
        <f>IF(AND(AND(C528&lt;&gt;"",E528&lt;&gt;"",I528&lt;&gt;"",OR(Settings!$B$10="No",I528&lt;&gt;E528)),G528="Paid a pro",Settings!$B$9="Yes"),MAX(0,H528-K528*F528),0)</f>
        <v/>
      </c>
      <c r="N528" s="3">
        <f>IF(C528="","",IF(B528="","Enter the boat number",IF(B528&gt;Settings!$B$6,"Boat number above the boat count",IF(SUMIFS($F$5:$F$1004,$B$5:$B$1004,B528,$C$5:$C$1004,C528)&gt;1.0001,"Shares for this step add up to over 100%",IF(I528="","Waiting for sign-off",IF(AND(Settings!$B$10="Yes",I528=E528),"Needs a different member to sign off","OK"))))))</f>
        <v/>
      </c>
    </row>
    <row r="529">
      <c r="A529" s="9" t="n"/>
      <c r="B529" s="6" t="n"/>
      <c r="C529" s="6" t="n"/>
      <c r="D529" s="3">
        <f>IF(C529="","",IFERROR(INDEX(Steps!$C$5:$C$62,MATCH(C529,Steps!$A$5:$A$62,0)),""))</f>
        <v/>
      </c>
      <c r="E529" s="6" t="n"/>
      <c r="F529" s="8" t="n"/>
      <c r="G529" s="6" t="n"/>
      <c r="H529" s="7" t="n"/>
      <c r="I529" s="6" t="n"/>
      <c r="J529" s="9" t="n"/>
      <c r="K529" s="11">
        <f>IF(C529="","",N(IFERROR(INDEX(Steps!$E$5:$E$62,MATCH(C529,Steps!$A$5:$A$62,0)),"")))</f>
        <v/>
      </c>
      <c r="L529" s="11">
        <f>IF(AND(C529&lt;&gt;"",E529&lt;&gt;"",I529&lt;&gt;"",OR(Settings!$B$10="No",I529&lt;&gt;E529)),K529*F529,0)</f>
        <v/>
      </c>
      <c r="M529" s="11">
        <f>IF(AND(AND(C529&lt;&gt;"",E529&lt;&gt;"",I529&lt;&gt;"",OR(Settings!$B$10="No",I529&lt;&gt;E529)),G529="Paid a pro",Settings!$B$9="Yes"),MAX(0,H529-K529*F529),0)</f>
        <v/>
      </c>
      <c r="N529" s="3">
        <f>IF(C529="","",IF(B529="","Enter the boat number",IF(B529&gt;Settings!$B$6,"Boat number above the boat count",IF(SUMIFS($F$5:$F$1004,$B$5:$B$1004,B529,$C$5:$C$1004,C529)&gt;1.0001,"Shares for this step add up to over 100%",IF(I529="","Waiting for sign-off",IF(AND(Settings!$B$10="Yes",I529=E529),"Needs a different member to sign off","OK"))))))</f>
        <v/>
      </c>
    </row>
    <row r="530">
      <c r="A530" s="9" t="n"/>
      <c r="B530" s="6" t="n"/>
      <c r="C530" s="6" t="n"/>
      <c r="D530" s="3">
        <f>IF(C530="","",IFERROR(INDEX(Steps!$C$5:$C$62,MATCH(C530,Steps!$A$5:$A$62,0)),""))</f>
        <v/>
      </c>
      <c r="E530" s="6" t="n"/>
      <c r="F530" s="8" t="n"/>
      <c r="G530" s="6" t="n"/>
      <c r="H530" s="7" t="n"/>
      <c r="I530" s="6" t="n"/>
      <c r="J530" s="9" t="n"/>
      <c r="K530" s="11">
        <f>IF(C530="","",N(IFERROR(INDEX(Steps!$E$5:$E$62,MATCH(C530,Steps!$A$5:$A$62,0)),"")))</f>
        <v/>
      </c>
      <c r="L530" s="11">
        <f>IF(AND(C530&lt;&gt;"",E530&lt;&gt;"",I530&lt;&gt;"",OR(Settings!$B$10="No",I530&lt;&gt;E530)),K530*F530,0)</f>
        <v/>
      </c>
      <c r="M530" s="11">
        <f>IF(AND(AND(C530&lt;&gt;"",E530&lt;&gt;"",I530&lt;&gt;"",OR(Settings!$B$10="No",I530&lt;&gt;E530)),G530="Paid a pro",Settings!$B$9="Yes"),MAX(0,H530-K530*F530),0)</f>
        <v/>
      </c>
      <c r="N530" s="3">
        <f>IF(C530="","",IF(B530="","Enter the boat number",IF(B530&gt;Settings!$B$6,"Boat number above the boat count",IF(SUMIFS($F$5:$F$1004,$B$5:$B$1004,B530,$C$5:$C$1004,C530)&gt;1.0001,"Shares for this step add up to over 100%",IF(I530="","Waiting for sign-off",IF(AND(Settings!$B$10="Yes",I530=E530),"Needs a different member to sign off","OK"))))))</f>
        <v/>
      </c>
    </row>
    <row r="531">
      <c r="A531" s="9" t="n"/>
      <c r="B531" s="6" t="n"/>
      <c r="C531" s="6" t="n"/>
      <c r="D531" s="3">
        <f>IF(C531="","",IFERROR(INDEX(Steps!$C$5:$C$62,MATCH(C531,Steps!$A$5:$A$62,0)),""))</f>
        <v/>
      </c>
      <c r="E531" s="6" t="n"/>
      <c r="F531" s="8" t="n"/>
      <c r="G531" s="6" t="n"/>
      <c r="H531" s="7" t="n"/>
      <c r="I531" s="6" t="n"/>
      <c r="J531" s="9" t="n"/>
      <c r="K531" s="11">
        <f>IF(C531="","",N(IFERROR(INDEX(Steps!$E$5:$E$62,MATCH(C531,Steps!$A$5:$A$62,0)),"")))</f>
        <v/>
      </c>
      <c r="L531" s="11">
        <f>IF(AND(C531&lt;&gt;"",E531&lt;&gt;"",I531&lt;&gt;"",OR(Settings!$B$10="No",I531&lt;&gt;E531)),K531*F531,0)</f>
        <v/>
      </c>
      <c r="M531" s="11">
        <f>IF(AND(AND(C531&lt;&gt;"",E531&lt;&gt;"",I531&lt;&gt;"",OR(Settings!$B$10="No",I531&lt;&gt;E531)),G531="Paid a pro",Settings!$B$9="Yes"),MAX(0,H531-K531*F531),0)</f>
        <v/>
      </c>
      <c r="N531" s="3">
        <f>IF(C531="","",IF(B531="","Enter the boat number",IF(B531&gt;Settings!$B$6,"Boat number above the boat count",IF(SUMIFS($F$5:$F$1004,$B$5:$B$1004,B531,$C$5:$C$1004,C531)&gt;1.0001,"Shares for this step add up to over 100%",IF(I531="","Waiting for sign-off",IF(AND(Settings!$B$10="Yes",I531=E531),"Needs a different member to sign off","OK"))))))</f>
        <v/>
      </c>
    </row>
    <row r="532">
      <c r="A532" s="9" t="n"/>
      <c r="B532" s="6" t="n"/>
      <c r="C532" s="6" t="n"/>
      <c r="D532" s="3">
        <f>IF(C532="","",IFERROR(INDEX(Steps!$C$5:$C$62,MATCH(C532,Steps!$A$5:$A$62,0)),""))</f>
        <v/>
      </c>
      <c r="E532" s="6" t="n"/>
      <c r="F532" s="8" t="n"/>
      <c r="G532" s="6" t="n"/>
      <c r="H532" s="7" t="n"/>
      <c r="I532" s="6" t="n"/>
      <c r="J532" s="9" t="n"/>
      <c r="K532" s="11">
        <f>IF(C532="","",N(IFERROR(INDEX(Steps!$E$5:$E$62,MATCH(C532,Steps!$A$5:$A$62,0)),"")))</f>
        <v/>
      </c>
      <c r="L532" s="11">
        <f>IF(AND(C532&lt;&gt;"",E532&lt;&gt;"",I532&lt;&gt;"",OR(Settings!$B$10="No",I532&lt;&gt;E532)),K532*F532,0)</f>
        <v/>
      </c>
      <c r="M532" s="11">
        <f>IF(AND(AND(C532&lt;&gt;"",E532&lt;&gt;"",I532&lt;&gt;"",OR(Settings!$B$10="No",I532&lt;&gt;E532)),G532="Paid a pro",Settings!$B$9="Yes"),MAX(0,H532-K532*F532),0)</f>
        <v/>
      </c>
      <c r="N532" s="3">
        <f>IF(C532="","",IF(B532="","Enter the boat number",IF(B532&gt;Settings!$B$6,"Boat number above the boat count",IF(SUMIFS($F$5:$F$1004,$B$5:$B$1004,B532,$C$5:$C$1004,C532)&gt;1.0001,"Shares for this step add up to over 100%",IF(I532="","Waiting for sign-off",IF(AND(Settings!$B$10="Yes",I532=E532),"Needs a different member to sign off","OK"))))))</f>
        <v/>
      </c>
    </row>
    <row r="533">
      <c r="A533" s="9" t="n"/>
      <c r="B533" s="6" t="n"/>
      <c r="C533" s="6" t="n"/>
      <c r="D533" s="3">
        <f>IF(C533="","",IFERROR(INDEX(Steps!$C$5:$C$62,MATCH(C533,Steps!$A$5:$A$62,0)),""))</f>
        <v/>
      </c>
      <c r="E533" s="6" t="n"/>
      <c r="F533" s="8" t="n"/>
      <c r="G533" s="6" t="n"/>
      <c r="H533" s="7" t="n"/>
      <c r="I533" s="6" t="n"/>
      <c r="J533" s="9" t="n"/>
      <c r="K533" s="11">
        <f>IF(C533="","",N(IFERROR(INDEX(Steps!$E$5:$E$62,MATCH(C533,Steps!$A$5:$A$62,0)),"")))</f>
        <v/>
      </c>
      <c r="L533" s="11">
        <f>IF(AND(C533&lt;&gt;"",E533&lt;&gt;"",I533&lt;&gt;"",OR(Settings!$B$10="No",I533&lt;&gt;E533)),K533*F533,0)</f>
        <v/>
      </c>
      <c r="M533" s="11">
        <f>IF(AND(AND(C533&lt;&gt;"",E533&lt;&gt;"",I533&lt;&gt;"",OR(Settings!$B$10="No",I533&lt;&gt;E533)),G533="Paid a pro",Settings!$B$9="Yes"),MAX(0,H533-K533*F533),0)</f>
        <v/>
      </c>
      <c r="N533" s="3">
        <f>IF(C533="","",IF(B533="","Enter the boat number",IF(B533&gt;Settings!$B$6,"Boat number above the boat count",IF(SUMIFS($F$5:$F$1004,$B$5:$B$1004,B533,$C$5:$C$1004,C533)&gt;1.0001,"Shares for this step add up to over 100%",IF(I533="","Waiting for sign-off",IF(AND(Settings!$B$10="Yes",I533=E533),"Needs a different member to sign off","OK"))))))</f>
        <v/>
      </c>
    </row>
    <row r="534">
      <c r="A534" s="9" t="n"/>
      <c r="B534" s="6" t="n"/>
      <c r="C534" s="6" t="n"/>
      <c r="D534" s="3">
        <f>IF(C534="","",IFERROR(INDEX(Steps!$C$5:$C$62,MATCH(C534,Steps!$A$5:$A$62,0)),""))</f>
        <v/>
      </c>
      <c r="E534" s="6" t="n"/>
      <c r="F534" s="8" t="n"/>
      <c r="G534" s="6" t="n"/>
      <c r="H534" s="7" t="n"/>
      <c r="I534" s="6" t="n"/>
      <c r="J534" s="9" t="n"/>
      <c r="K534" s="11">
        <f>IF(C534="","",N(IFERROR(INDEX(Steps!$E$5:$E$62,MATCH(C534,Steps!$A$5:$A$62,0)),"")))</f>
        <v/>
      </c>
      <c r="L534" s="11">
        <f>IF(AND(C534&lt;&gt;"",E534&lt;&gt;"",I534&lt;&gt;"",OR(Settings!$B$10="No",I534&lt;&gt;E534)),K534*F534,0)</f>
        <v/>
      </c>
      <c r="M534" s="11">
        <f>IF(AND(AND(C534&lt;&gt;"",E534&lt;&gt;"",I534&lt;&gt;"",OR(Settings!$B$10="No",I534&lt;&gt;E534)),G534="Paid a pro",Settings!$B$9="Yes"),MAX(0,H534-K534*F534),0)</f>
        <v/>
      </c>
      <c r="N534" s="3">
        <f>IF(C534="","",IF(B534="","Enter the boat number",IF(B534&gt;Settings!$B$6,"Boat number above the boat count",IF(SUMIFS($F$5:$F$1004,$B$5:$B$1004,B534,$C$5:$C$1004,C534)&gt;1.0001,"Shares for this step add up to over 100%",IF(I534="","Waiting for sign-off",IF(AND(Settings!$B$10="Yes",I534=E534),"Needs a different member to sign off","OK"))))))</f>
        <v/>
      </c>
    </row>
    <row r="535">
      <c r="A535" s="9" t="n"/>
      <c r="B535" s="6" t="n"/>
      <c r="C535" s="6" t="n"/>
      <c r="D535" s="3">
        <f>IF(C535="","",IFERROR(INDEX(Steps!$C$5:$C$62,MATCH(C535,Steps!$A$5:$A$62,0)),""))</f>
        <v/>
      </c>
      <c r="E535" s="6" t="n"/>
      <c r="F535" s="8" t="n"/>
      <c r="G535" s="6" t="n"/>
      <c r="H535" s="7" t="n"/>
      <c r="I535" s="6" t="n"/>
      <c r="J535" s="9" t="n"/>
      <c r="K535" s="11">
        <f>IF(C535="","",N(IFERROR(INDEX(Steps!$E$5:$E$62,MATCH(C535,Steps!$A$5:$A$62,0)),"")))</f>
        <v/>
      </c>
      <c r="L535" s="11">
        <f>IF(AND(C535&lt;&gt;"",E535&lt;&gt;"",I535&lt;&gt;"",OR(Settings!$B$10="No",I535&lt;&gt;E535)),K535*F535,0)</f>
        <v/>
      </c>
      <c r="M535" s="11">
        <f>IF(AND(AND(C535&lt;&gt;"",E535&lt;&gt;"",I535&lt;&gt;"",OR(Settings!$B$10="No",I535&lt;&gt;E535)),G535="Paid a pro",Settings!$B$9="Yes"),MAX(0,H535-K535*F535),0)</f>
        <v/>
      </c>
      <c r="N535" s="3">
        <f>IF(C535="","",IF(B535="","Enter the boat number",IF(B535&gt;Settings!$B$6,"Boat number above the boat count",IF(SUMIFS($F$5:$F$1004,$B$5:$B$1004,B535,$C$5:$C$1004,C535)&gt;1.0001,"Shares for this step add up to over 100%",IF(I535="","Waiting for sign-off",IF(AND(Settings!$B$10="Yes",I535=E535),"Needs a different member to sign off","OK"))))))</f>
        <v/>
      </c>
    </row>
    <row r="536">
      <c r="A536" s="9" t="n"/>
      <c r="B536" s="6" t="n"/>
      <c r="C536" s="6" t="n"/>
      <c r="D536" s="3">
        <f>IF(C536="","",IFERROR(INDEX(Steps!$C$5:$C$62,MATCH(C536,Steps!$A$5:$A$62,0)),""))</f>
        <v/>
      </c>
      <c r="E536" s="6" t="n"/>
      <c r="F536" s="8" t="n"/>
      <c r="G536" s="6" t="n"/>
      <c r="H536" s="7" t="n"/>
      <c r="I536" s="6" t="n"/>
      <c r="J536" s="9" t="n"/>
      <c r="K536" s="11">
        <f>IF(C536="","",N(IFERROR(INDEX(Steps!$E$5:$E$62,MATCH(C536,Steps!$A$5:$A$62,0)),"")))</f>
        <v/>
      </c>
      <c r="L536" s="11">
        <f>IF(AND(C536&lt;&gt;"",E536&lt;&gt;"",I536&lt;&gt;"",OR(Settings!$B$10="No",I536&lt;&gt;E536)),K536*F536,0)</f>
        <v/>
      </c>
      <c r="M536" s="11">
        <f>IF(AND(AND(C536&lt;&gt;"",E536&lt;&gt;"",I536&lt;&gt;"",OR(Settings!$B$10="No",I536&lt;&gt;E536)),G536="Paid a pro",Settings!$B$9="Yes"),MAX(0,H536-K536*F536),0)</f>
        <v/>
      </c>
      <c r="N536" s="3">
        <f>IF(C536="","",IF(B536="","Enter the boat number",IF(B536&gt;Settings!$B$6,"Boat number above the boat count",IF(SUMIFS($F$5:$F$1004,$B$5:$B$1004,B536,$C$5:$C$1004,C536)&gt;1.0001,"Shares for this step add up to over 100%",IF(I536="","Waiting for sign-off",IF(AND(Settings!$B$10="Yes",I536=E536),"Needs a different member to sign off","OK"))))))</f>
        <v/>
      </c>
    </row>
    <row r="537">
      <c r="A537" s="9" t="n"/>
      <c r="B537" s="6" t="n"/>
      <c r="C537" s="6" t="n"/>
      <c r="D537" s="3">
        <f>IF(C537="","",IFERROR(INDEX(Steps!$C$5:$C$62,MATCH(C537,Steps!$A$5:$A$62,0)),""))</f>
        <v/>
      </c>
      <c r="E537" s="6" t="n"/>
      <c r="F537" s="8" t="n"/>
      <c r="G537" s="6" t="n"/>
      <c r="H537" s="7" t="n"/>
      <c r="I537" s="6" t="n"/>
      <c r="J537" s="9" t="n"/>
      <c r="K537" s="11">
        <f>IF(C537="","",N(IFERROR(INDEX(Steps!$E$5:$E$62,MATCH(C537,Steps!$A$5:$A$62,0)),"")))</f>
        <v/>
      </c>
      <c r="L537" s="11">
        <f>IF(AND(C537&lt;&gt;"",E537&lt;&gt;"",I537&lt;&gt;"",OR(Settings!$B$10="No",I537&lt;&gt;E537)),K537*F537,0)</f>
        <v/>
      </c>
      <c r="M537" s="11">
        <f>IF(AND(AND(C537&lt;&gt;"",E537&lt;&gt;"",I537&lt;&gt;"",OR(Settings!$B$10="No",I537&lt;&gt;E537)),G537="Paid a pro",Settings!$B$9="Yes"),MAX(0,H537-K537*F537),0)</f>
        <v/>
      </c>
      <c r="N537" s="3">
        <f>IF(C537="","",IF(B537="","Enter the boat number",IF(B537&gt;Settings!$B$6,"Boat number above the boat count",IF(SUMIFS($F$5:$F$1004,$B$5:$B$1004,B537,$C$5:$C$1004,C537)&gt;1.0001,"Shares for this step add up to over 100%",IF(I537="","Waiting for sign-off",IF(AND(Settings!$B$10="Yes",I537=E537),"Needs a different member to sign off","OK"))))))</f>
        <v/>
      </c>
    </row>
    <row r="538">
      <c r="A538" s="9" t="n"/>
      <c r="B538" s="6" t="n"/>
      <c r="C538" s="6" t="n"/>
      <c r="D538" s="3">
        <f>IF(C538="","",IFERROR(INDEX(Steps!$C$5:$C$62,MATCH(C538,Steps!$A$5:$A$62,0)),""))</f>
        <v/>
      </c>
      <c r="E538" s="6" t="n"/>
      <c r="F538" s="8" t="n"/>
      <c r="G538" s="6" t="n"/>
      <c r="H538" s="7" t="n"/>
      <c r="I538" s="6" t="n"/>
      <c r="J538" s="9" t="n"/>
      <c r="K538" s="11">
        <f>IF(C538="","",N(IFERROR(INDEX(Steps!$E$5:$E$62,MATCH(C538,Steps!$A$5:$A$62,0)),"")))</f>
        <v/>
      </c>
      <c r="L538" s="11">
        <f>IF(AND(C538&lt;&gt;"",E538&lt;&gt;"",I538&lt;&gt;"",OR(Settings!$B$10="No",I538&lt;&gt;E538)),K538*F538,0)</f>
        <v/>
      </c>
      <c r="M538" s="11">
        <f>IF(AND(AND(C538&lt;&gt;"",E538&lt;&gt;"",I538&lt;&gt;"",OR(Settings!$B$10="No",I538&lt;&gt;E538)),G538="Paid a pro",Settings!$B$9="Yes"),MAX(0,H538-K538*F538),0)</f>
        <v/>
      </c>
      <c r="N538" s="3">
        <f>IF(C538="","",IF(B538="","Enter the boat number",IF(B538&gt;Settings!$B$6,"Boat number above the boat count",IF(SUMIFS($F$5:$F$1004,$B$5:$B$1004,B538,$C$5:$C$1004,C538)&gt;1.0001,"Shares for this step add up to over 100%",IF(I538="","Waiting for sign-off",IF(AND(Settings!$B$10="Yes",I538=E538),"Needs a different member to sign off","OK"))))))</f>
        <v/>
      </c>
    </row>
    <row r="539">
      <c r="A539" s="9" t="n"/>
      <c r="B539" s="6" t="n"/>
      <c r="C539" s="6" t="n"/>
      <c r="D539" s="3">
        <f>IF(C539="","",IFERROR(INDEX(Steps!$C$5:$C$62,MATCH(C539,Steps!$A$5:$A$62,0)),""))</f>
        <v/>
      </c>
      <c r="E539" s="6" t="n"/>
      <c r="F539" s="8" t="n"/>
      <c r="G539" s="6" t="n"/>
      <c r="H539" s="7" t="n"/>
      <c r="I539" s="6" t="n"/>
      <c r="J539" s="9" t="n"/>
      <c r="K539" s="11">
        <f>IF(C539="","",N(IFERROR(INDEX(Steps!$E$5:$E$62,MATCH(C539,Steps!$A$5:$A$62,0)),"")))</f>
        <v/>
      </c>
      <c r="L539" s="11">
        <f>IF(AND(C539&lt;&gt;"",E539&lt;&gt;"",I539&lt;&gt;"",OR(Settings!$B$10="No",I539&lt;&gt;E539)),K539*F539,0)</f>
        <v/>
      </c>
      <c r="M539" s="11">
        <f>IF(AND(AND(C539&lt;&gt;"",E539&lt;&gt;"",I539&lt;&gt;"",OR(Settings!$B$10="No",I539&lt;&gt;E539)),G539="Paid a pro",Settings!$B$9="Yes"),MAX(0,H539-K539*F539),0)</f>
        <v/>
      </c>
      <c r="N539" s="3">
        <f>IF(C539="","",IF(B539="","Enter the boat number",IF(B539&gt;Settings!$B$6,"Boat number above the boat count",IF(SUMIFS($F$5:$F$1004,$B$5:$B$1004,B539,$C$5:$C$1004,C539)&gt;1.0001,"Shares for this step add up to over 100%",IF(I539="","Waiting for sign-off",IF(AND(Settings!$B$10="Yes",I539=E539),"Needs a different member to sign off","OK"))))))</f>
        <v/>
      </c>
    </row>
    <row r="540">
      <c r="A540" s="9" t="n"/>
      <c r="B540" s="6" t="n"/>
      <c r="C540" s="6" t="n"/>
      <c r="D540" s="3">
        <f>IF(C540="","",IFERROR(INDEX(Steps!$C$5:$C$62,MATCH(C540,Steps!$A$5:$A$62,0)),""))</f>
        <v/>
      </c>
      <c r="E540" s="6" t="n"/>
      <c r="F540" s="8" t="n"/>
      <c r="G540" s="6" t="n"/>
      <c r="H540" s="7" t="n"/>
      <c r="I540" s="6" t="n"/>
      <c r="J540" s="9" t="n"/>
      <c r="K540" s="11">
        <f>IF(C540="","",N(IFERROR(INDEX(Steps!$E$5:$E$62,MATCH(C540,Steps!$A$5:$A$62,0)),"")))</f>
        <v/>
      </c>
      <c r="L540" s="11">
        <f>IF(AND(C540&lt;&gt;"",E540&lt;&gt;"",I540&lt;&gt;"",OR(Settings!$B$10="No",I540&lt;&gt;E540)),K540*F540,0)</f>
        <v/>
      </c>
      <c r="M540" s="11">
        <f>IF(AND(AND(C540&lt;&gt;"",E540&lt;&gt;"",I540&lt;&gt;"",OR(Settings!$B$10="No",I540&lt;&gt;E540)),G540="Paid a pro",Settings!$B$9="Yes"),MAX(0,H540-K540*F540),0)</f>
        <v/>
      </c>
      <c r="N540" s="3">
        <f>IF(C540="","",IF(B540="","Enter the boat number",IF(B540&gt;Settings!$B$6,"Boat number above the boat count",IF(SUMIFS($F$5:$F$1004,$B$5:$B$1004,B540,$C$5:$C$1004,C540)&gt;1.0001,"Shares for this step add up to over 100%",IF(I540="","Waiting for sign-off",IF(AND(Settings!$B$10="Yes",I540=E540),"Needs a different member to sign off","OK"))))))</f>
        <v/>
      </c>
    </row>
    <row r="541">
      <c r="A541" s="9" t="n"/>
      <c r="B541" s="6" t="n"/>
      <c r="C541" s="6" t="n"/>
      <c r="D541" s="3">
        <f>IF(C541="","",IFERROR(INDEX(Steps!$C$5:$C$62,MATCH(C541,Steps!$A$5:$A$62,0)),""))</f>
        <v/>
      </c>
      <c r="E541" s="6" t="n"/>
      <c r="F541" s="8" t="n"/>
      <c r="G541" s="6" t="n"/>
      <c r="H541" s="7" t="n"/>
      <c r="I541" s="6" t="n"/>
      <c r="J541" s="9" t="n"/>
      <c r="K541" s="11">
        <f>IF(C541="","",N(IFERROR(INDEX(Steps!$E$5:$E$62,MATCH(C541,Steps!$A$5:$A$62,0)),"")))</f>
        <v/>
      </c>
      <c r="L541" s="11">
        <f>IF(AND(C541&lt;&gt;"",E541&lt;&gt;"",I541&lt;&gt;"",OR(Settings!$B$10="No",I541&lt;&gt;E541)),K541*F541,0)</f>
        <v/>
      </c>
      <c r="M541" s="11">
        <f>IF(AND(AND(C541&lt;&gt;"",E541&lt;&gt;"",I541&lt;&gt;"",OR(Settings!$B$10="No",I541&lt;&gt;E541)),G541="Paid a pro",Settings!$B$9="Yes"),MAX(0,H541-K541*F541),0)</f>
        <v/>
      </c>
      <c r="N541" s="3">
        <f>IF(C541="","",IF(B541="","Enter the boat number",IF(B541&gt;Settings!$B$6,"Boat number above the boat count",IF(SUMIFS($F$5:$F$1004,$B$5:$B$1004,B541,$C$5:$C$1004,C541)&gt;1.0001,"Shares for this step add up to over 100%",IF(I541="","Waiting for sign-off",IF(AND(Settings!$B$10="Yes",I541=E541),"Needs a different member to sign off","OK"))))))</f>
        <v/>
      </c>
    </row>
    <row r="542">
      <c r="A542" s="9" t="n"/>
      <c r="B542" s="6" t="n"/>
      <c r="C542" s="6" t="n"/>
      <c r="D542" s="3">
        <f>IF(C542="","",IFERROR(INDEX(Steps!$C$5:$C$62,MATCH(C542,Steps!$A$5:$A$62,0)),""))</f>
        <v/>
      </c>
      <c r="E542" s="6" t="n"/>
      <c r="F542" s="8" t="n"/>
      <c r="G542" s="6" t="n"/>
      <c r="H542" s="7" t="n"/>
      <c r="I542" s="6" t="n"/>
      <c r="J542" s="9" t="n"/>
      <c r="K542" s="11">
        <f>IF(C542="","",N(IFERROR(INDEX(Steps!$E$5:$E$62,MATCH(C542,Steps!$A$5:$A$62,0)),"")))</f>
        <v/>
      </c>
      <c r="L542" s="11">
        <f>IF(AND(C542&lt;&gt;"",E542&lt;&gt;"",I542&lt;&gt;"",OR(Settings!$B$10="No",I542&lt;&gt;E542)),K542*F542,0)</f>
        <v/>
      </c>
      <c r="M542" s="11">
        <f>IF(AND(AND(C542&lt;&gt;"",E542&lt;&gt;"",I542&lt;&gt;"",OR(Settings!$B$10="No",I542&lt;&gt;E542)),G542="Paid a pro",Settings!$B$9="Yes"),MAX(0,H542-K542*F542),0)</f>
        <v/>
      </c>
      <c r="N542" s="3">
        <f>IF(C542="","",IF(B542="","Enter the boat number",IF(B542&gt;Settings!$B$6,"Boat number above the boat count",IF(SUMIFS($F$5:$F$1004,$B$5:$B$1004,B542,$C$5:$C$1004,C542)&gt;1.0001,"Shares for this step add up to over 100%",IF(I542="","Waiting for sign-off",IF(AND(Settings!$B$10="Yes",I542=E542),"Needs a different member to sign off","OK"))))))</f>
        <v/>
      </c>
    </row>
    <row r="543">
      <c r="A543" s="9" t="n"/>
      <c r="B543" s="6" t="n"/>
      <c r="C543" s="6" t="n"/>
      <c r="D543" s="3">
        <f>IF(C543="","",IFERROR(INDEX(Steps!$C$5:$C$62,MATCH(C543,Steps!$A$5:$A$62,0)),""))</f>
        <v/>
      </c>
      <c r="E543" s="6" t="n"/>
      <c r="F543" s="8" t="n"/>
      <c r="G543" s="6" t="n"/>
      <c r="H543" s="7" t="n"/>
      <c r="I543" s="6" t="n"/>
      <c r="J543" s="9" t="n"/>
      <c r="K543" s="11">
        <f>IF(C543="","",N(IFERROR(INDEX(Steps!$E$5:$E$62,MATCH(C543,Steps!$A$5:$A$62,0)),"")))</f>
        <v/>
      </c>
      <c r="L543" s="11">
        <f>IF(AND(C543&lt;&gt;"",E543&lt;&gt;"",I543&lt;&gt;"",OR(Settings!$B$10="No",I543&lt;&gt;E543)),K543*F543,0)</f>
        <v/>
      </c>
      <c r="M543" s="11">
        <f>IF(AND(AND(C543&lt;&gt;"",E543&lt;&gt;"",I543&lt;&gt;"",OR(Settings!$B$10="No",I543&lt;&gt;E543)),G543="Paid a pro",Settings!$B$9="Yes"),MAX(0,H543-K543*F543),0)</f>
        <v/>
      </c>
      <c r="N543" s="3">
        <f>IF(C543="","",IF(B543="","Enter the boat number",IF(B543&gt;Settings!$B$6,"Boat number above the boat count",IF(SUMIFS($F$5:$F$1004,$B$5:$B$1004,B543,$C$5:$C$1004,C543)&gt;1.0001,"Shares for this step add up to over 100%",IF(I543="","Waiting for sign-off",IF(AND(Settings!$B$10="Yes",I543=E543),"Needs a different member to sign off","OK"))))))</f>
        <v/>
      </c>
    </row>
    <row r="544">
      <c r="A544" s="9" t="n"/>
      <c r="B544" s="6" t="n"/>
      <c r="C544" s="6" t="n"/>
      <c r="D544" s="3">
        <f>IF(C544="","",IFERROR(INDEX(Steps!$C$5:$C$62,MATCH(C544,Steps!$A$5:$A$62,0)),""))</f>
        <v/>
      </c>
      <c r="E544" s="6" t="n"/>
      <c r="F544" s="8" t="n"/>
      <c r="G544" s="6" t="n"/>
      <c r="H544" s="7" t="n"/>
      <c r="I544" s="6" t="n"/>
      <c r="J544" s="9" t="n"/>
      <c r="K544" s="11">
        <f>IF(C544="","",N(IFERROR(INDEX(Steps!$E$5:$E$62,MATCH(C544,Steps!$A$5:$A$62,0)),"")))</f>
        <v/>
      </c>
      <c r="L544" s="11">
        <f>IF(AND(C544&lt;&gt;"",E544&lt;&gt;"",I544&lt;&gt;"",OR(Settings!$B$10="No",I544&lt;&gt;E544)),K544*F544,0)</f>
        <v/>
      </c>
      <c r="M544" s="11">
        <f>IF(AND(AND(C544&lt;&gt;"",E544&lt;&gt;"",I544&lt;&gt;"",OR(Settings!$B$10="No",I544&lt;&gt;E544)),G544="Paid a pro",Settings!$B$9="Yes"),MAX(0,H544-K544*F544),0)</f>
        <v/>
      </c>
      <c r="N544" s="3">
        <f>IF(C544="","",IF(B544="","Enter the boat number",IF(B544&gt;Settings!$B$6,"Boat number above the boat count",IF(SUMIFS($F$5:$F$1004,$B$5:$B$1004,B544,$C$5:$C$1004,C544)&gt;1.0001,"Shares for this step add up to over 100%",IF(I544="","Waiting for sign-off",IF(AND(Settings!$B$10="Yes",I544=E544),"Needs a different member to sign off","OK"))))))</f>
        <v/>
      </c>
    </row>
    <row r="545">
      <c r="A545" s="9" t="n"/>
      <c r="B545" s="6" t="n"/>
      <c r="C545" s="6" t="n"/>
      <c r="D545" s="3">
        <f>IF(C545="","",IFERROR(INDEX(Steps!$C$5:$C$62,MATCH(C545,Steps!$A$5:$A$62,0)),""))</f>
        <v/>
      </c>
      <c r="E545" s="6" t="n"/>
      <c r="F545" s="8" t="n"/>
      <c r="G545" s="6" t="n"/>
      <c r="H545" s="7" t="n"/>
      <c r="I545" s="6" t="n"/>
      <c r="J545" s="9" t="n"/>
      <c r="K545" s="11">
        <f>IF(C545="","",N(IFERROR(INDEX(Steps!$E$5:$E$62,MATCH(C545,Steps!$A$5:$A$62,0)),"")))</f>
        <v/>
      </c>
      <c r="L545" s="11">
        <f>IF(AND(C545&lt;&gt;"",E545&lt;&gt;"",I545&lt;&gt;"",OR(Settings!$B$10="No",I545&lt;&gt;E545)),K545*F545,0)</f>
        <v/>
      </c>
      <c r="M545" s="11">
        <f>IF(AND(AND(C545&lt;&gt;"",E545&lt;&gt;"",I545&lt;&gt;"",OR(Settings!$B$10="No",I545&lt;&gt;E545)),G545="Paid a pro",Settings!$B$9="Yes"),MAX(0,H545-K545*F545),0)</f>
        <v/>
      </c>
      <c r="N545" s="3">
        <f>IF(C545="","",IF(B545="","Enter the boat number",IF(B545&gt;Settings!$B$6,"Boat number above the boat count",IF(SUMIFS($F$5:$F$1004,$B$5:$B$1004,B545,$C$5:$C$1004,C545)&gt;1.0001,"Shares for this step add up to over 100%",IF(I545="","Waiting for sign-off",IF(AND(Settings!$B$10="Yes",I545=E545),"Needs a different member to sign off","OK"))))))</f>
        <v/>
      </c>
    </row>
    <row r="546">
      <c r="A546" s="9" t="n"/>
      <c r="B546" s="6" t="n"/>
      <c r="C546" s="6" t="n"/>
      <c r="D546" s="3">
        <f>IF(C546="","",IFERROR(INDEX(Steps!$C$5:$C$62,MATCH(C546,Steps!$A$5:$A$62,0)),""))</f>
        <v/>
      </c>
      <c r="E546" s="6" t="n"/>
      <c r="F546" s="8" t="n"/>
      <c r="G546" s="6" t="n"/>
      <c r="H546" s="7" t="n"/>
      <c r="I546" s="6" t="n"/>
      <c r="J546" s="9" t="n"/>
      <c r="K546" s="11">
        <f>IF(C546="","",N(IFERROR(INDEX(Steps!$E$5:$E$62,MATCH(C546,Steps!$A$5:$A$62,0)),"")))</f>
        <v/>
      </c>
      <c r="L546" s="11">
        <f>IF(AND(C546&lt;&gt;"",E546&lt;&gt;"",I546&lt;&gt;"",OR(Settings!$B$10="No",I546&lt;&gt;E546)),K546*F546,0)</f>
        <v/>
      </c>
      <c r="M546" s="11">
        <f>IF(AND(AND(C546&lt;&gt;"",E546&lt;&gt;"",I546&lt;&gt;"",OR(Settings!$B$10="No",I546&lt;&gt;E546)),G546="Paid a pro",Settings!$B$9="Yes"),MAX(0,H546-K546*F546),0)</f>
        <v/>
      </c>
      <c r="N546" s="3">
        <f>IF(C546="","",IF(B546="","Enter the boat number",IF(B546&gt;Settings!$B$6,"Boat number above the boat count",IF(SUMIFS($F$5:$F$1004,$B$5:$B$1004,B546,$C$5:$C$1004,C546)&gt;1.0001,"Shares for this step add up to over 100%",IF(I546="","Waiting for sign-off",IF(AND(Settings!$B$10="Yes",I546=E546),"Needs a different member to sign off","OK"))))))</f>
        <v/>
      </c>
    </row>
    <row r="547">
      <c r="A547" s="9" t="n"/>
      <c r="B547" s="6" t="n"/>
      <c r="C547" s="6" t="n"/>
      <c r="D547" s="3">
        <f>IF(C547="","",IFERROR(INDEX(Steps!$C$5:$C$62,MATCH(C547,Steps!$A$5:$A$62,0)),""))</f>
        <v/>
      </c>
      <c r="E547" s="6" t="n"/>
      <c r="F547" s="8" t="n"/>
      <c r="G547" s="6" t="n"/>
      <c r="H547" s="7" t="n"/>
      <c r="I547" s="6" t="n"/>
      <c r="J547" s="9" t="n"/>
      <c r="K547" s="11">
        <f>IF(C547="","",N(IFERROR(INDEX(Steps!$E$5:$E$62,MATCH(C547,Steps!$A$5:$A$62,0)),"")))</f>
        <v/>
      </c>
      <c r="L547" s="11">
        <f>IF(AND(C547&lt;&gt;"",E547&lt;&gt;"",I547&lt;&gt;"",OR(Settings!$B$10="No",I547&lt;&gt;E547)),K547*F547,0)</f>
        <v/>
      </c>
      <c r="M547" s="11">
        <f>IF(AND(AND(C547&lt;&gt;"",E547&lt;&gt;"",I547&lt;&gt;"",OR(Settings!$B$10="No",I547&lt;&gt;E547)),G547="Paid a pro",Settings!$B$9="Yes"),MAX(0,H547-K547*F547),0)</f>
        <v/>
      </c>
      <c r="N547" s="3">
        <f>IF(C547="","",IF(B547="","Enter the boat number",IF(B547&gt;Settings!$B$6,"Boat number above the boat count",IF(SUMIFS($F$5:$F$1004,$B$5:$B$1004,B547,$C$5:$C$1004,C547)&gt;1.0001,"Shares for this step add up to over 100%",IF(I547="","Waiting for sign-off",IF(AND(Settings!$B$10="Yes",I547=E547),"Needs a different member to sign off","OK"))))))</f>
        <v/>
      </c>
    </row>
    <row r="548">
      <c r="A548" s="9" t="n"/>
      <c r="B548" s="6" t="n"/>
      <c r="C548" s="6" t="n"/>
      <c r="D548" s="3">
        <f>IF(C548="","",IFERROR(INDEX(Steps!$C$5:$C$62,MATCH(C548,Steps!$A$5:$A$62,0)),""))</f>
        <v/>
      </c>
      <c r="E548" s="6" t="n"/>
      <c r="F548" s="8" t="n"/>
      <c r="G548" s="6" t="n"/>
      <c r="H548" s="7" t="n"/>
      <c r="I548" s="6" t="n"/>
      <c r="J548" s="9" t="n"/>
      <c r="K548" s="11">
        <f>IF(C548="","",N(IFERROR(INDEX(Steps!$E$5:$E$62,MATCH(C548,Steps!$A$5:$A$62,0)),"")))</f>
        <v/>
      </c>
      <c r="L548" s="11">
        <f>IF(AND(C548&lt;&gt;"",E548&lt;&gt;"",I548&lt;&gt;"",OR(Settings!$B$10="No",I548&lt;&gt;E548)),K548*F548,0)</f>
        <v/>
      </c>
      <c r="M548" s="11">
        <f>IF(AND(AND(C548&lt;&gt;"",E548&lt;&gt;"",I548&lt;&gt;"",OR(Settings!$B$10="No",I548&lt;&gt;E548)),G548="Paid a pro",Settings!$B$9="Yes"),MAX(0,H548-K548*F548),0)</f>
        <v/>
      </c>
      <c r="N548" s="3">
        <f>IF(C548="","",IF(B548="","Enter the boat number",IF(B548&gt;Settings!$B$6,"Boat number above the boat count",IF(SUMIFS($F$5:$F$1004,$B$5:$B$1004,B548,$C$5:$C$1004,C548)&gt;1.0001,"Shares for this step add up to over 100%",IF(I548="","Waiting for sign-off",IF(AND(Settings!$B$10="Yes",I548=E548),"Needs a different member to sign off","OK"))))))</f>
        <v/>
      </c>
    </row>
    <row r="549">
      <c r="A549" s="9" t="n"/>
      <c r="B549" s="6" t="n"/>
      <c r="C549" s="6" t="n"/>
      <c r="D549" s="3">
        <f>IF(C549="","",IFERROR(INDEX(Steps!$C$5:$C$62,MATCH(C549,Steps!$A$5:$A$62,0)),""))</f>
        <v/>
      </c>
      <c r="E549" s="6" t="n"/>
      <c r="F549" s="8" t="n"/>
      <c r="G549" s="6" t="n"/>
      <c r="H549" s="7" t="n"/>
      <c r="I549" s="6" t="n"/>
      <c r="J549" s="9" t="n"/>
      <c r="K549" s="11">
        <f>IF(C549="","",N(IFERROR(INDEX(Steps!$E$5:$E$62,MATCH(C549,Steps!$A$5:$A$62,0)),"")))</f>
        <v/>
      </c>
      <c r="L549" s="11">
        <f>IF(AND(C549&lt;&gt;"",E549&lt;&gt;"",I549&lt;&gt;"",OR(Settings!$B$10="No",I549&lt;&gt;E549)),K549*F549,0)</f>
        <v/>
      </c>
      <c r="M549" s="11">
        <f>IF(AND(AND(C549&lt;&gt;"",E549&lt;&gt;"",I549&lt;&gt;"",OR(Settings!$B$10="No",I549&lt;&gt;E549)),G549="Paid a pro",Settings!$B$9="Yes"),MAX(0,H549-K549*F549),0)</f>
        <v/>
      </c>
      <c r="N549" s="3">
        <f>IF(C549="","",IF(B549="","Enter the boat number",IF(B549&gt;Settings!$B$6,"Boat number above the boat count",IF(SUMIFS($F$5:$F$1004,$B$5:$B$1004,B549,$C$5:$C$1004,C549)&gt;1.0001,"Shares for this step add up to over 100%",IF(I549="","Waiting for sign-off",IF(AND(Settings!$B$10="Yes",I549=E549),"Needs a different member to sign off","OK"))))))</f>
        <v/>
      </c>
    </row>
    <row r="550">
      <c r="A550" s="9" t="n"/>
      <c r="B550" s="6" t="n"/>
      <c r="C550" s="6" t="n"/>
      <c r="D550" s="3">
        <f>IF(C550="","",IFERROR(INDEX(Steps!$C$5:$C$62,MATCH(C550,Steps!$A$5:$A$62,0)),""))</f>
        <v/>
      </c>
      <c r="E550" s="6" t="n"/>
      <c r="F550" s="8" t="n"/>
      <c r="G550" s="6" t="n"/>
      <c r="H550" s="7" t="n"/>
      <c r="I550" s="6" t="n"/>
      <c r="J550" s="9" t="n"/>
      <c r="K550" s="11">
        <f>IF(C550="","",N(IFERROR(INDEX(Steps!$E$5:$E$62,MATCH(C550,Steps!$A$5:$A$62,0)),"")))</f>
        <v/>
      </c>
      <c r="L550" s="11">
        <f>IF(AND(C550&lt;&gt;"",E550&lt;&gt;"",I550&lt;&gt;"",OR(Settings!$B$10="No",I550&lt;&gt;E550)),K550*F550,0)</f>
        <v/>
      </c>
      <c r="M550" s="11">
        <f>IF(AND(AND(C550&lt;&gt;"",E550&lt;&gt;"",I550&lt;&gt;"",OR(Settings!$B$10="No",I550&lt;&gt;E550)),G550="Paid a pro",Settings!$B$9="Yes"),MAX(0,H550-K550*F550),0)</f>
        <v/>
      </c>
      <c r="N550" s="3">
        <f>IF(C550="","",IF(B550="","Enter the boat number",IF(B550&gt;Settings!$B$6,"Boat number above the boat count",IF(SUMIFS($F$5:$F$1004,$B$5:$B$1004,B550,$C$5:$C$1004,C550)&gt;1.0001,"Shares for this step add up to over 100%",IF(I550="","Waiting for sign-off",IF(AND(Settings!$B$10="Yes",I550=E550),"Needs a different member to sign off","OK"))))))</f>
        <v/>
      </c>
    </row>
    <row r="551">
      <c r="A551" s="9" t="n"/>
      <c r="B551" s="6" t="n"/>
      <c r="C551" s="6" t="n"/>
      <c r="D551" s="3">
        <f>IF(C551="","",IFERROR(INDEX(Steps!$C$5:$C$62,MATCH(C551,Steps!$A$5:$A$62,0)),""))</f>
        <v/>
      </c>
      <c r="E551" s="6" t="n"/>
      <c r="F551" s="8" t="n"/>
      <c r="G551" s="6" t="n"/>
      <c r="H551" s="7" t="n"/>
      <c r="I551" s="6" t="n"/>
      <c r="J551" s="9" t="n"/>
      <c r="K551" s="11">
        <f>IF(C551="","",N(IFERROR(INDEX(Steps!$E$5:$E$62,MATCH(C551,Steps!$A$5:$A$62,0)),"")))</f>
        <v/>
      </c>
      <c r="L551" s="11">
        <f>IF(AND(C551&lt;&gt;"",E551&lt;&gt;"",I551&lt;&gt;"",OR(Settings!$B$10="No",I551&lt;&gt;E551)),K551*F551,0)</f>
        <v/>
      </c>
      <c r="M551" s="11">
        <f>IF(AND(AND(C551&lt;&gt;"",E551&lt;&gt;"",I551&lt;&gt;"",OR(Settings!$B$10="No",I551&lt;&gt;E551)),G551="Paid a pro",Settings!$B$9="Yes"),MAX(0,H551-K551*F551),0)</f>
        <v/>
      </c>
      <c r="N551" s="3">
        <f>IF(C551="","",IF(B551="","Enter the boat number",IF(B551&gt;Settings!$B$6,"Boat number above the boat count",IF(SUMIFS($F$5:$F$1004,$B$5:$B$1004,B551,$C$5:$C$1004,C551)&gt;1.0001,"Shares for this step add up to over 100%",IF(I551="","Waiting for sign-off",IF(AND(Settings!$B$10="Yes",I551=E551),"Needs a different member to sign off","OK"))))))</f>
        <v/>
      </c>
    </row>
    <row r="552">
      <c r="A552" s="9" t="n"/>
      <c r="B552" s="6" t="n"/>
      <c r="C552" s="6" t="n"/>
      <c r="D552" s="3">
        <f>IF(C552="","",IFERROR(INDEX(Steps!$C$5:$C$62,MATCH(C552,Steps!$A$5:$A$62,0)),""))</f>
        <v/>
      </c>
      <c r="E552" s="6" t="n"/>
      <c r="F552" s="8" t="n"/>
      <c r="G552" s="6" t="n"/>
      <c r="H552" s="7" t="n"/>
      <c r="I552" s="6" t="n"/>
      <c r="J552" s="9" t="n"/>
      <c r="K552" s="11">
        <f>IF(C552="","",N(IFERROR(INDEX(Steps!$E$5:$E$62,MATCH(C552,Steps!$A$5:$A$62,0)),"")))</f>
        <v/>
      </c>
      <c r="L552" s="11">
        <f>IF(AND(C552&lt;&gt;"",E552&lt;&gt;"",I552&lt;&gt;"",OR(Settings!$B$10="No",I552&lt;&gt;E552)),K552*F552,0)</f>
        <v/>
      </c>
      <c r="M552" s="11">
        <f>IF(AND(AND(C552&lt;&gt;"",E552&lt;&gt;"",I552&lt;&gt;"",OR(Settings!$B$10="No",I552&lt;&gt;E552)),G552="Paid a pro",Settings!$B$9="Yes"),MAX(0,H552-K552*F552),0)</f>
        <v/>
      </c>
      <c r="N552" s="3">
        <f>IF(C552="","",IF(B552="","Enter the boat number",IF(B552&gt;Settings!$B$6,"Boat number above the boat count",IF(SUMIFS($F$5:$F$1004,$B$5:$B$1004,B552,$C$5:$C$1004,C552)&gt;1.0001,"Shares for this step add up to over 100%",IF(I552="","Waiting for sign-off",IF(AND(Settings!$B$10="Yes",I552=E552),"Needs a different member to sign off","OK"))))))</f>
        <v/>
      </c>
    </row>
    <row r="553">
      <c r="A553" s="9" t="n"/>
      <c r="B553" s="6" t="n"/>
      <c r="C553" s="6" t="n"/>
      <c r="D553" s="3">
        <f>IF(C553="","",IFERROR(INDEX(Steps!$C$5:$C$62,MATCH(C553,Steps!$A$5:$A$62,0)),""))</f>
        <v/>
      </c>
      <c r="E553" s="6" t="n"/>
      <c r="F553" s="8" t="n"/>
      <c r="G553" s="6" t="n"/>
      <c r="H553" s="7" t="n"/>
      <c r="I553" s="6" t="n"/>
      <c r="J553" s="9" t="n"/>
      <c r="K553" s="11">
        <f>IF(C553="","",N(IFERROR(INDEX(Steps!$E$5:$E$62,MATCH(C553,Steps!$A$5:$A$62,0)),"")))</f>
        <v/>
      </c>
      <c r="L553" s="11">
        <f>IF(AND(C553&lt;&gt;"",E553&lt;&gt;"",I553&lt;&gt;"",OR(Settings!$B$10="No",I553&lt;&gt;E553)),K553*F553,0)</f>
        <v/>
      </c>
      <c r="M553" s="11">
        <f>IF(AND(AND(C553&lt;&gt;"",E553&lt;&gt;"",I553&lt;&gt;"",OR(Settings!$B$10="No",I553&lt;&gt;E553)),G553="Paid a pro",Settings!$B$9="Yes"),MAX(0,H553-K553*F553),0)</f>
        <v/>
      </c>
      <c r="N553" s="3">
        <f>IF(C553="","",IF(B553="","Enter the boat number",IF(B553&gt;Settings!$B$6,"Boat number above the boat count",IF(SUMIFS($F$5:$F$1004,$B$5:$B$1004,B553,$C$5:$C$1004,C553)&gt;1.0001,"Shares for this step add up to over 100%",IF(I553="","Waiting for sign-off",IF(AND(Settings!$B$10="Yes",I553=E553),"Needs a different member to sign off","OK"))))))</f>
        <v/>
      </c>
    </row>
    <row r="554">
      <c r="A554" s="9" t="n"/>
      <c r="B554" s="6" t="n"/>
      <c r="C554" s="6" t="n"/>
      <c r="D554" s="3">
        <f>IF(C554="","",IFERROR(INDEX(Steps!$C$5:$C$62,MATCH(C554,Steps!$A$5:$A$62,0)),""))</f>
        <v/>
      </c>
      <c r="E554" s="6" t="n"/>
      <c r="F554" s="8" t="n"/>
      <c r="G554" s="6" t="n"/>
      <c r="H554" s="7" t="n"/>
      <c r="I554" s="6" t="n"/>
      <c r="J554" s="9" t="n"/>
      <c r="K554" s="11">
        <f>IF(C554="","",N(IFERROR(INDEX(Steps!$E$5:$E$62,MATCH(C554,Steps!$A$5:$A$62,0)),"")))</f>
        <v/>
      </c>
      <c r="L554" s="11">
        <f>IF(AND(C554&lt;&gt;"",E554&lt;&gt;"",I554&lt;&gt;"",OR(Settings!$B$10="No",I554&lt;&gt;E554)),K554*F554,0)</f>
        <v/>
      </c>
      <c r="M554" s="11">
        <f>IF(AND(AND(C554&lt;&gt;"",E554&lt;&gt;"",I554&lt;&gt;"",OR(Settings!$B$10="No",I554&lt;&gt;E554)),G554="Paid a pro",Settings!$B$9="Yes"),MAX(0,H554-K554*F554),0)</f>
        <v/>
      </c>
      <c r="N554" s="3">
        <f>IF(C554="","",IF(B554="","Enter the boat number",IF(B554&gt;Settings!$B$6,"Boat number above the boat count",IF(SUMIFS($F$5:$F$1004,$B$5:$B$1004,B554,$C$5:$C$1004,C554)&gt;1.0001,"Shares for this step add up to over 100%",IF(I554="","Waiting for sign-off",IF(AND(Settings!$B$10="Yes",I554=E554),"Needs a different member to sign off","OK"))))))</f>
        <v/>
      </c>
    </row>
    <row r="555">
      <c r="A555" s="9" t="n"/>
      <c r="B555" s="6" t="n"/>
      <c r="C555" s="6" t="n"/>
      <c r="D555" s="3">
        <f>IF(C555="","",IFERROR(INDEX(Steps!$C$5:$C$62,MATCH(C555,Steps!$A$5:$A$62,0)),""))</f>
        <v/>
      </c>
      <c r="E555" s="6" t="n"/>
      <c r="F555" s="8" t="n"/>
      <c r="G555" s="6" t="n"/>
      <c r="H555" s="7" t="n"/>
      <c r="I555" s="6" t="n"/>
      <c r="J555" s="9" t="n"/>
      <c r="K555" s="11">
        <f>IF(C555="","",N(IFERROR(INDEX(Steps!$E$5:$E$62,MATCH(C555,Steps!$A$5:$A$62,0)),"")))</f>
        <v/>
      </c>
      <c r="L555" s="11">
        <f>IF(AND(C555&lt;&gt;"",E555&lt;&gt;"",I555&lt;&gt;"",OR(Settings!$B$10="No",I555&lt;&gt;E555)),K555*F555,0)</f>
        <v/>
      </c>
      <c r="M555" s="11">
        <f>IF(AND(AND(C555&lt;&gt;"",E555&lt;&gt;"",I555&lt;&gt;"",OR(Settings!$B$10="No",I555&lt;&gt;E555)),G555="Paid a pro",Settings!$B$9="Yes"),MAX(0,H555-K555*F555),0)</f>
        <v/>
      </c>
      <c r="N555" s="3">
        <f>IF(C555="","",IF(B555="","Enter the boat number",IF(B555&gt;Settings!$B$6,"Boat number above the boat count",IF(SUMIFS($F$5:$F$1004,$B$5:$B$1004,B555,$C$5:$C$1004,C555)&gt;1.0001,"Shares for this step add up to over 100%",IF(I555="","Waiting for sign-off",IF(AND(Settings!$B$10="Yes",I555=E555),"Needs a different member to sign off","OK"))))))</f>
        <v/>
      </c>
    </row>
    <row r="556">
      <c r="A556" s="9" t="n"/>
      <c r="B556" s="6" t="n"/>
      <c r="C556" s="6" t="n"/>
      <c r="D556" s="3">
        <f>IF(C556="","",IFERROR(INDEX(Steps!$C$5:$C$62,MATCH(C556,Steps!$A$5:$A$62,0)),""))</f>
        <v/>
      </c>
      <c r="E556" s="6" t="n"/>
      <c r="F556" s="8" t="n"/>
      <c r="G556" s="6" t="n"/>
      <c r="H556" s="7" t="n"/>
      <c r="I556" s="6" t="n"/>
      <c r="J556" s="9" t="n"/>
      <c r="K556" s="11">
        <f>IF(C556="","",N(IFERROR(INDEX(Steps!$E$5:$E$62,MATCH(C556,Steps!$A$5:$A$62,0)),"")))</f>
        <v/>
      </c>
      <c r="L556" s="11">
        <f>IF(AND(C556&lt;&gt;"",E556&lt;&gt;"",I556&lt;&gt;"",OR(Settings!$B$10="No",I556&lt;&gt;E556)),K556*F556,0)</f>
        <v/>
      </c>
      <c r="M556" s="11">
        <f>IF(AND(AND(C556&lt;&gt;"",E556&lt;&gt;"",I556&lt;&gt;"",OR(Settings!$B$10="No",I556&lt;&gt;E556)),G556="Paid a pro",Settings!$B$9="Yes"),MAX(0,H556-K556*F556),0)</f>
        <v/>
      </c>
      <c r="N556" s="3">
        <f>IF(C556="","",IF(B556="","Enter the boat number",IF(B556&gt;Settings!$B$6,"Boat number above the boat count",IF(SUMIFS($F$5:$F$1004,$B$5:$B$1004,B556,$C$5:$C$1004,C556)&gt;1.0001,"Shares for this step add up to over 100%",IF(I556="","Waiting for sign-off",IF(AND(Settings!$B$10="Yes",I556=E556),"Needs a different member to sign off","OK"))))))</f>
        <v/>
      </c>
    </row>
    <row r="557">
      <c r="A557" s="9" t="n"/>
      <c r="B557" s="6" t="n"/>
      <c r="C557" s="6" t="n"/>
      <c r="D557" s="3">
        <f>IF(C557="","",IFERROR(INDEX(Steps!$C$5:$C$62,MATCH(C557,Steps!$A$5:$A$62,0)),""))</f>
        <v/>
      </c>
      <c r="E557" s="6" t="n"/>
      <c r="F557" s="8" t="n"/>
      <c r="G557" s="6" t="n"/>
      <c r="H557" s="7" t="n"/>
      <c r="I557" s="6" t="n"/>
      <c r="J557" s="9" t="n"/>
      <c r="K557" s="11">
        <f>IF(C557="","",N(IFERROR(INDEX(Steps!$E$5:$E$62,MATCH(C557,Steps!$A$5:$A$62,0)),"")))</f>
        <v/>
      </c>
      <c r="L557" s="11">
        <f>IF(AND(C557&lt;&gt;"",E557&lt;&gt;"",I557&lt;&gt;"",OR(Settings!$B$10="No",I557&lt;&gt;E557)),K557*F557,0)</f>
        <v/>
      </c>
      <c r="M557" s="11">
        <f>IF(AND(AND(C557&lt;&gt;"",E557&lt;&gt;"",I557&lt;&gt;"",OR(Settings!$B$10="No",I557&lt;&gt;E557)),G557="Paid a pro",Settings!$B$9="Yes"),MAX(0,H557-K557*F557),0)</f>
        <v/>
      </c>
      <c r="N557" s="3">
        <f>IF(C557="","",IF(B557="","Enter the boat number",IF(B557&gt;Settings!$B$6,"Boat number above the boat count",IF(SUMIFS($F$5:$F$1004,$B$5:$B$1004,B557,$C$5:$C$1004,C557)&gt;1.0001,"Shares for this step add up to over 100%",IF(I557="","Waiting for sign-off",IF(AND(Settings!$B$10="Yes",I557=E557),"Needs a different member to sign off","OK"))))))</f>
        <v/>
      </c>
    </row>
    <row r="558">
      <c r="A558" s="9" t="n"/>
      <c r="B558" s="6" t="n"/>
      <c r="C558" s="6" t="n"/>
      <c r="D558" s="3">
        <f>IF(C558="","",IFERROR(INDEX(Steps!$C$5:$C$62,MATCH(C558,Steps!$A$5:$A$62,0)),""))</f>
        <v/>
      </c>
      <c r="E558" s="6" t="n"/>
      <c r="F558" s="8" t="n"/>
      <c r="G558" s="6" t="n"/>
      <c r="H558" s="7" t="n"/>
      <c r="I558" s="6" t="n"/>
      <c r="J558" s="9" t="n"/>
      <c r="K558" s="11">
        <f>IF(C558="","",N(IFERROR(INDEX(Steps!$E$5:$E$62,MATCH(C558,Steps!$A$5:$A$62,0)),"")))</f>
        <v/>
      </c>
      <c r="L558" s="11">
        <f>IF(AND(C558&lt;&gt;"",E558&lt;&gt;"",I558&lt;&gt;"",OR(Settings!$B$10="No",I558&lt;&gt;E558)),K558*F558,0)</f>
        <v/>
      </c>
      <c r="M558" s="11">
        <f>IF(AND(AND(C558&lt;&gt;"",E558&lt;&gt;"",I558&lt;&gt;"",OR(Settings!$B$10="No",I558&lt;&gt;E558)),G558="Paid a pro",Settings!$B$9="Yes"),MAX(0,H558-K558*F558),0)</f>
        <v/>
      </c>
      <c r="N558" s="3">
        <f>IF(C558="","",IF(B558="","Enter the boat number",IF(B558&gt;Settings!$B$6,"Boat number above the boat count",IF(SUMIFS($F$5:$F$1004,$B$5:$B$1004,B558,$C$5:$C$1004,C558)&gt;1.0001,"Shares for this step add up to over 100%",IF(I558="","Waiting for sign-off",IF(AND(Settings!$B$10="Yes",I558=E558),"Needs a different member to sign off","OK"))))))</f>
        <v/>
      </c>
    </row>
    <row r="559">
      <c r="A559" s="9" t="n"/>
      <c r="B559" s="6" t="n"/>
      <c r="C559" s="6" t="n"/>
      <c r="D559" s="3">
        <f>IF(C559="","",IFERROR(INDEX(Steps!$C$5:$C$62,MATCH(C559,Steps!$A$5:$A$62,0)),""))</f>
        <v/>
      </c>
      <c r="E559" s="6" t="n"/>
      <c r="F559" s="8" t="n"/>
      <c r="G559" s="6" t="n"/>
      <c r="H559" s="7" t="n"/>
      <c r="I559" s="6" t="n"/>
      <c r="J559" s="9" t="n"/>
      <c r="K559" s="11">
        <f>IF(C559="","",N(IFERROR(INDEX(Steps!$E$5:$E$62,MATCH(C559,Steps!$A$5:$A$62,0)),"")))</f>
        <v/>
      </c>
      <c r="L559" s="11">
        <f>IF(AND(C559&lt;&gt;"",E559&lt;&gt;"",I559&lt;&gt;"",OR(Settings!$B$10="No",I559&lt;&gt;E559)),K559*F559,0)</f>
        <v/>
      </c>
      <c r="M559" s="11">
        <f>IF(AND(AND(C559&lt;&gt;"",E559&lt;&gt;"",I559&lt;&gt;"",OR(Settings!$B$10="No",I559&lt;&gt;E559)),G559="Paid a pro",Settings!$B$9="Yes"),MAX(0,H559-K559*F559),0)</f>
        <v/>
      </c>
      <c r="N559" s="3">
        <f>IF(C559="","",IF(B559="","Enter the boat number",IF(B559&gt;Settings!$B$6,"Boat number above the boat count",IF(SUMIFS($F$5:$F$1004,$B$5:$B$1004,B559,$C$5:$C$1004,C559)&gt;1.0001,"Shares for this step add up to over 100%",IF(I559="","Waiting for sign-off",IF(AND(Settings!$B$10="Yes",I559=E559),"Needs a different member to sign off","OK"))))))</f>
        <v/>
      </c>
    </row>
    <row r="560">
      <c r="A560" s="9" t="n"/>
      <c r="B560" s="6" t="n"/>
      <c r="C560" s="6" t="n"/>
      <c r="D560" s="3">
        <f>IF(C560="","",IFERROR(INDEX(Steps!$C$5:$C$62,MATCH(C560,Steps!$A$5:$A$62,0)),""))</f>
        <v/>
      </c>
      <c r="E560" s="6" t="n"/>
      <c r="F560" s="8" t="n"/>
      <c r="G560" s="6" t="n"/>
      <c r="H560" s="7" t="n"/>
      <c r="I560" s="6" t="n"/>
      <c r="J560" s="9" t="n"/>
      <c r="K560" s="11">
        <f>IF(C560="","",N(IFERROR(INDEX(Steps!$E$5:$E$62,MATCH(C560,Steps!$A$5:$A$62,0)),"")))</f>
        <v/>
      </c>
      <c r="L560" s="11">
        <f>IF(AND(C560&lt;&gt;"",E560&lt;&gt;"",I560&lt;&gt;"",OR(Settings!$B$10="No",I560&lt;&gt;E560)),K560*F560,0)</f>
        <v/>
      </c>
      <c r="M560" s="11">
        <f>IF(AND(AND(C560&lt;&gt;"",E560&lt;&gt;"",I560&lt;&gt;"",OR(Settings!$B$10="No",I560&lt;&gt;E560)),G560="Paid a pro",Settings!$B$9="Yes"),MAX(0,H560-K560*F560),0)</f>
        <v/>
      </c>
      <c r="N560" s="3">
        <f>IF(C560="","",IF(B560="","Enter the boat number",IF(B560&gt;Settings!$B$6,"Boat number above the boat count",IF(SUMIFS($F$5:$F$1004,$B$5:$B$1004,B560,$C$5:$C$1004,C560)&gt;1.0001,"Shares for this step add up to over 100%",IF(I560="","Waiting for sign-off",IF(AND(Settings!$B$10="Yes",I560=E560),"Needs a different member to sign off","OK"))))))</f>
        <v/>
      </c>
    </row>
    <row r="561">
      <c r="A561" s="9" t="n"/>
      <c r="B561" s="6" t="n"/>
      <c r="C561" s="6" t="n"/>
      <c r="D561" s="3">
        <f>IF(C561="","",IFERROR(INDEX(Steps!$C$5:$C$62,MATCH(C561,Steps!$A$5:$A$62,0)),""))</f>
        <v/>
      </c>
      <c r="E561" s="6" t="n"/>
      <c r="F561" s="8" t="n"/>
      <c r="G561" s="6" t="n"/>
      <c r="H561" s="7" t="n"/>
      <c r="I561" s="6" t="n"/>
      <c r="J561" s="9" t="n"/>
      <c r="K561" s="11">
        <f>IF(C561="","",N(IFERROR(INDEX(Steps!$E$5:$E$62,MATCH(C561,Steps!$A$5:$A$62,0)),"")))</f>
        <v/>
      </c>
      <c r="L561" s="11">
        <f>IF(AND(C561&lt;&gt;"",E561&lt;&gt;"",I561&lt;&gt;"",OR(Settings!$B$10="No",I561&lt;&gt;E561)),K561*F561,0)</f>
        <v/>
      </c>
      <c r="M561" s="11">
        <f>IF(AND(AND(C561&lt;&gt;"",E561&lt;&gt;"",I561&lt;&gt;"",OR(Settings!$B$10="No",I561&lt;&gt;E561)),G561="Paid a pro",Settings!$B$9="Yes"),MAX(0,H561-K561*F561),0)</f>
        <v/>
      </c>
      <c r="N561" s="3">
        <f>IF(C561="","",IF(B561="","Enter the boat number",IF(B561&gt;Settings!$B$6,"Boat number above the boat count",IF(SUMIFS($F$5:$F$1004,$B$5:$B$1004,B561,$C$5:$C$1004,C561)&gt;1.0001,"Shares for this step add up to over 100%",IF(I561="","Waiting for sign-off",IF(AND(Settings!$B$10="Yes",I561=E561),"Needs a different member to sign off","OK"))))))</f>
        <v/>
      </c>
    </row>
    <row r="562">
      <c r="A562" s="9" t="n"/>
      <c r="B562" s="6" t="n"/>
      <c r="C562" s="6" t="n"/>
      <c r="D562" s="3">
        <f>IF(C562="","",IFERROR(INDEX(Steps!$C$5:$C$62,MATCH(C562,Steps!$A$5:$A$62,0)),""))</f>
        <v/>
      </c>
      <c r="E562" s="6" t="n"/>
      <c r="F562" s="8" t="n"/>
      <c r="G562" s="6" t="n"/>
      <c r="H562" s="7" t="n"/>
      <c r="I562" s="6" t="n"/>
      <c r="J562" s="9" t="n"/>
      <c r="K562" s="11">
        <f>IF(C562="","",N(IFERROR(INDEX(Steps!$E$5:$E$62,MATCH(C562,Steps!$A$5:$A$62,0)),"")))</f>
        <v/>
      </c>
      <c r="L562" s="11">
        <f>IF(AND(C562&lt;&gt;"",E562&lt;&gt;"",I562&lt;&gt;"",OR(Settings!$B$10="No",I562&lt;&gt;E562)),K562*F562,0)</f>
        <v/>
      </c>
      <c r="M562" s="11">
        <f>IF(AND(AND(C562&lt;&gt;"",E562&lt;&gt;"",I562&lt;&gt;"",OR(Settings!$B$10="No",I562&lt;&gt;E562)),G562="Paid a pro",Settings!$B$9="Yes"),MAX(0,H562-K562*F562),0)</f>
        <v/>
      </c>
      <c r="N562" s="3">
        <f>IF(C562="","",IF(B562="","Enter the boat number",IF(B562&gt;Settings!$B$6,"Boat number above the boat count",IF(SUMIFS($F$5:$F$1004,$B$5:$B$1004,B562,$C$5:$C$1004,C562)&gt;1.0001,"Shares for this step add up to over 100%",IF(I562="","Waiting for sign-off",IF(AND(Settings!$B$10="Yes",I562=E562),"Needs a different member to sign off","OK"))))))</f>
        <v/>
      </c>
    </row>
    <row r="563">
      <c r="A563" s="9" t="n"/>
      <c r="B563" s="6" t="n"/>
      <c r="C563" s="6" t="n"/>
      <c r="D563" s="3">
        <f>IF(C563="","",IFERROR(INDEX(Steps!$C$5:$C$62,MATCH(C563,Steps!$A$5:$A$62,0)),""))</f>
        <v/>
      </c>
      <c r="E563" s="6" t="n"/>
      <c r="F563" s="8" t="n"/>
      <c r="G563" s="6" t="n"/>
      <c r="H563" s="7" t="n"/>
      <c r="I563" s="6" t="n"/>
      <c r="J563" s="9" t="n"/>
      <c r="K563" s="11">
        <f>IF(C563="","",N(IFERROR(INDEX(Steps!$E$5:$E$62,MATCH(C563,Steps!$A$5:$A$62,0)),"")))</f>
        <v/>
      </c>
      <c r="L563" s="11">
        <f>IF(AND(C563&lt;&gt;"",E563&lt;&gt;"",I563&lt;&gt;"",OR(Settings!$B$10="No",I563&lt;&gt;E563)),K563*F563,0)</f>
        <v/>
      </c>
      <c r="M563" s="11">
        <f>IF(AND(AND(C563&lt;&gt;"",E563&lt;&gt;"",I563&lt;&gt;"",OR(Settings!$B$10="No",I563&lt;&gt;E563)),G563="Paid a pro",Settings!$B$9="Yes"),MAX(0,H563-K563*F563),0)</f>
        <v/>
      </c>
      <c r="N563" s="3">
        <f>IF(C563="","",IF(B563="","Enter the boat number",IF(B563&gt;Settings!$B$6,"Boat number above the boat count",IF(SUMIFS($F$5:$F$1004,$B$5:$B$1004,B563,$C$5:$C$1004,C563)&gt;1.0001,"Shares for this step add up to over 100%",IF(I563="","Waiting for sign-off",IF(AND(Settings!$B$10="Yes",I563=E563),"Needs a different member to sign off","OK"))))))</f>
        <v/>
      </c>
    </row>
    <row r="564">
      <c r="A564" s="9" t="n"/>
      <c r="B564" s="6" t="n"/>
      <c r="C564" s="6" t="n"/>
      <c r="D564" s="3">
        <f>IF(C564="","",IFERROR(INDEX(Steps!$C$5:$C$62,MATCH(C564,Steps!$A$5:$A$62,0)),""))</f>
        <v/>
      </c>
      <c r="E564" s="6" t="n"/>
      <c r="F564" s="8" t="n"/>
      <c r="G564" s="6" t="n"/>
      <c r="H564" s="7" t="n"/>
      <c r="I564" s="6" t="n"/>
      <c r="J564" s="9" t="n"/>
      <c r="K564" s="11">
        <f>IF(C564="","",N(IFERROR(INDEX(Steps!$E$5:$E$62,MATCH(C564,Steps!$A$5:$A$62,0)),"")))</f>
        <v/>
      </c>
      <c r="L564" s="11">
        <f>IF(AND(C564&lt;&gt;"",E564&lt;&gt;"",I564&lt;&gt;"",OR(Settings!$B$10="No",I564&lt;&gt;E564)),K564*F564,0)</f>
        <v/>
      </c>
      <c r="M564" s="11">
        <f>IF(AND(AND(C564&lt;&gt;"",E564&lt;&gt;"",I564&lt;&gt;"",OR(Settings!$B$10="No",I564&lt;&gt;E564)),G564="Paid a pro",Settings!$B$9="Yes"),MAX(0,H564-K564*F564),0)</f>
        <v/>
      </c>
      <c r="N564" s="3">
        <f>IF(C564="","",IF(B564="","Enter the boat number",IF(B564&gt;Settings!$B$6,"Boat number above the boat count",IF(SUMIFS($F$5:$F$1004,$B$5:$B$1004,B564,$C$5:$C$1004,C564)&gt;1.0001,"Shares for this step add up to over 100%",IF(I564="","Waiting for sign-off",IF(AND(Settings!$B$10="Yes",I564=E564),"Needs a different member to sign off","OK"))))))</f>
        <v/>
      </c>
    </row>
    <row r="565">
      <c r="A565" s="9" t="n"/>
      <c r="B565" s="6" t="n"/>
      <c r="C565" s="6" t="n"/>
      <c r="D565" s="3">
        <f>IF(C565="","",IFERROR(INDEX(Steps!$C$5:$C$62,MATCH(C565,Steps!$A$5:$A$62,0)),""))</f>
        <v/>
      </c>
      <c r="E565" s="6" t="n"/>
      <c r="F565" s="8" t="n"/>
      <c r="G565" s="6" t="n"/>
      <c r="H565" s="7" t="n"/>
      <c r="I565" s="6" t="n"/>
      <c r="J565" s="9" t="n"/>
      <c r="K565" s="11">
        <f>IF(C565="","",N(IFERROR(INDEX(Steps!$E$5:$E$62,MATCH(C565,Steps!$A$5:$A$62,0)),"")))</f>
        <v/>
      </c>
      <c r="L565" s="11">
        <f>IF(AND(C565&lt;&gt;"",E565&lt;&gt;"",I565&lt;&gt;"",OR(Settings!$B$10="No",I565&lt;&gt;E565)),K565*F565,0)</f>
        <v/>
      </c>
      <c r="M565" s="11">
        <f>IF(AND(AND(C565&lt;&gt;"",E565&lt;&gt;"",I565&lt;&gt;"",OR(Settings!$B$10="No",I565&lt;&gt;E565)),G565="Paid a pro",Settings!$B$9="Yes"),MAX(0,H565-K565*F565),0)</f>
        <v/>
      </c>
      <c r="N565" s="3">
        <f>IF(C565="","",IF(B565="","Enter the boat number",IF(B565&gt;Settings!$B$6,"Boat number above the boat count",IF(SUMIFS($F$5:$F$1004,$B$5:$B$1004,B565,$C$5:$C$1004,C565)&gt;1.0001,"Shares for this step add up to over 100%",IF(I565="","Waiting for sign-off",IF(AND(Settings!$B$10="Yes",I565=E565),"Needs a different member to sign off","OK"))))))</f>
        <v/>
      </c>
    </row>
    <row r="566">
      <c r="A566" s="9" t="n"/>
      <c r="B566" s="6" t="n"/>
      <c r="C566" s="6" t="n"/>
      <c r="D566" s="3">
        <f>IF(C566="","",IFERROR(INDEX(Steps!$C$5:$C$62,MATCH(C566,Steps!$A$5:$A$62,0)),""))</f>
        <v/>
      </c>
      <c r="E566" s="6" t="n"/>
      <c r="F566" s="8" t="n"/>
      <c r="G566" s="6" t="n"/>
      <c r="H566" s="7" t="n"/>
      <c r="I566" s="6" t="n"/>
      <c r="J566" s="9" t="n"/>
      <c r="K566" s="11">
        <f>IF(C566="","",N(IFERROR(INDEX(Steps!$E$5:$E$62,MATCH(C566,Steps!$A$5:$A$62,0)),"")))</f>
        <v/>
      </c>
      <c r="L566" s="11">
        <f>IF(AND(C566&lt;&gt;"",E566&lt;&gt;"",I566&lt;&gt;"",OR(Settings!$B$10="No",I566&lt;&gt;E566)),K566*F566,0)</f>
        <v/>
      </c>
      <c r="M566" s="11">
        <f>IF(AND(AND(C566&lt;&gt;"",E566&lt;&gt;"",I566&lt;&gt;"",OR(Settings!$B$10="No",I566&lt;&gt;E566)),G566="Paid a pro",Settings!$B$9="Yes"),MAX(0,H566-K566*F566),0)</f>
        <v/>
      </c>
      <c r="N566" s="3">
        <f>IF(C566="","",IF(B566="","Enter the boat number",IF(B566&gt;Settings!$B$6,"Boat number above the boat count",IF(SUMIFS($F$5:$F$1004,$B$5:$B$1004,B566,$C$5:$C$1004,C566)&gt;1.0001,"Shares for this step add up to over 100%",IF(I566="","Waiting for sign-off",IF(AND(Settings!$B$10="Yes",I566=E566),"Needs a different member to sign off","OK"))))))</f>
        <v/>
      </c>
    </row>
    <row r="567">
      <c r="A567" s="9" t="n"/>
      <c r="B567" s="6" t="n"/>
      <c r="C567" s="6" t="n"/>
      <c r="D567" s="3">
        <f>IF(C567="","",IFERROR(INDEX(Steps!$C$5:$C$62,MATCH(C567,Steps!$A$5:$A$62,0)),""))</f>
        <v/>
      </c>
      <c r="E567" s="6" t="n"/>
      <c r="F567" s="8" t="n"/>
      <c r="G567" s="6" t="n"/>
      <c r="H567" s="7" t="n"/>
      <c r="I567" s="6" t="n"/>
      <c r="J567" s="9" t="n"/>
      <c r="K567" s="11">
        <f>IF(C567="","",N(IFERROR(INDEX(Steps!$E$5:$E$62,MATCH(C567,Steps!$A$5:$A$62,0)),"")))</f>
        <v/>
      </c>
      <c r="L567" s="11">
        <f>IF(AND(C567&lt;&gt;"",E567&lt;&gt;"",I567&lt;&gt;"",OR(Settings!$B$10="No",I567&lt;&gt;E567)),K567*F567,0)</f>
        <v/>
      </c>
      <c r="M567" s="11">
        <f>IF(AND(AND(C567&lt;&gt;"",E567&lt;&gt;"",I567&lt;&gt;"",OR(Settings!$B$10="No",I567&lt;&gt;E567)),G567="Paid a pro",Settings!$B$9="Yes"),MAX(0,H567-K567*F567),0)</f>
        <v/>
      </c>
      <c r="N567" s="3">
        <f>IF(C567="","",IF(B567="","Enter the boat number",IF(B567&gt;Settings!$B$6,"Boat number above the boat count",IF(SUMIFS($F$5:$F$1004,$B$5:$B$1004,B567,$C$5:$C$1004,C567)&gt;1.0001,"Shares for this step add up to over 100%",IF(I567="","Waiting for sign-off",IF(AND(Settings!$B$10="Yes",I567=E567),"Needs a different member to sign off","OK"))))))</f>
        <v/>
      </c>
    </row>
    <row r="568">
      <c r="A568" s="9" t="n"/>
      <c r="B568" s="6" t="n"/>
      <c r="C568" s="6" t="n"/>
      <c r="D568" s="3">
        <f>IF(C568="","",IFERROR(INDEX(Steps!$C$5:$C$62,MATCH(C568,Steps!$A$5:$A$62,0)),""))</f>
        <v/>
      </c>
      <c r="E568" s="6" t="n"/>
      <c r="F568" s="8" t="n"/>
      <c r="G568" s="6" t="n"/>
      <c r="H568" s="7" t="n"/>
      <c r="I568" s="6" t="n"/>
      <c r="J568" s="9" t="n"/>
      <c r="K568" s="11">
        <f>IF(C568="","",N(IFERROR(INDEX(Steps!$E$5:$E$62,MATCH(C568,Steps!$A$5:$A$62,0)),"")))</f>
        <v/>
      </c>
      <c r="L568" s="11">
        <f>IF(AND(C568&lt;&gt;"",E568&lt;&gt;"",I568&lt;&gt;"",OR(Settings!$B$10="No",I568&lt;&gt;E568)),K568*F568,0)</f>
        <v/>
      </c>
      <c r="M568" s="11">
        <f>IF(AND(AND(C568&lt;&gt;"",E568&lt;&gt;"",I568&lt;&gt;"",OR(Settings!$B$10="No",I568&lt;&gt;E568)),G568="Paid a pro",Settings!$B$9="Yes"),MAX(0,H568-K568*F568),0)</f>
        <v/>
      </c>
      <c r="N568" s="3">
        <f>IF(C568="","",IF(B568="","Enter the boat number",IF(B568&gt;Settings!$B$6,"Boat number above the boat count",IF(SUMIFS($F$5:$F$1004,$B$5:$B$1004,B568,$C$5:$C$1004,C568)&gt;1.0001,"Shares for this step add up to over 100%",IF(I568="","Waiting for sign-off",IF(AND(Settings!$B$10="Yes",I568=E568),"Needs a different member to sign off","OK"))))))</f>
        <v/>
      </c>
    </row>
    <row r="569">
      <c r="A569" s="9" t="n"/>
      <c r="B569" s="6" t="n"/>
      <c r="C569" s="6" t="n"/>
      <c r="D569" s="3">
        <f>IF(C569="","",IFERROR(INDEX(Steps!$C$5:$C$62,MATCH(C569,Steps!$A$5:$A$62,0)),""))</f>
        <v/>
      </c>
      <c r="E569" s="6" t="n"/>
      <c r="F569" s="8" t="n"/>
      <c r="G569" s="6" t="n"/>
      <c r="H569" s="7" t="n"/>
      <c r="I569" s="6" t="n"/>
      <c r="J569" s="9" t="n"/>
      <c r="K569" s="11">
        <f>IF(C569="","",N(IFERROR(INDEX(Steps!$E$5:$E$62,MATCH(C569,Steps!$A$5:$A$62,0)),"")))</f>
        <v/>
      </c>
      <c r="L569" s="11">
        <f>IF(AND(C569&lt;&gt;"",E569&lt;&gt;"",I569&lt;&gt;"",OR(Settings!$B$10="No",I569&lt;&gt;E569)),K569*F569,0)</f>
        <v/>
      </c>
      <c r="M569" s="11">
        <f>IF(AND(AND(C569&lt;&gt;"",E569&lt;&gt;"",I569&lt;&gt;"",OR(Settings!$B$10="No",I569&lt;&gt;E569)),G569="Paid a pro",Settings!$B$9="Yes"),MAX(0,H569-K569*F569),0)</f>
        <v/>
      </c>
      <c r="N569" s="3">
        <f>IF(C569="","",IF(B569="","Enter the boat number",IF(B569&gt;Settings!$B$6,"Boat number above the boat count",IF(SUMIFS($F$5:$F$1004,$B$5:$B$1004,B569,$C$5:$C$1004,C569)&gt;1.0001,"Shares for this step add up to over 100%",IF(I569="","Waiting for sign-off",IF(AND(Settings!$B$10="Yes",I569=E569),"Needs a different member to sign off","OK"))))))</f>
        <v/>
      </c>
    </row>
    <row r="570">
      <c r="A570" s="9" t="n"/>
      <c r="B570" s="6" t="n"/>
      <c r="C570" s="6" t="n"/>
      <c r="D570" s="3">
        <f>IF(C570="","",IFERROR(INDEX(Steps!$C$5:$C$62,MATCH(C570,Steps!$A$5:$A$62,0)),""))</f>
        <v/>
      </c>
      <c r="E570" s="6" t="n"/>
      <c r="F570" s="8" t="n"/>
      <c r="G570" s="6" t="n"/>
      <c r="H570" s="7" t="n"/>
      <c r="I570" s="6" t="n"/>
      <c r="J570" s="9" t="n"/>
      <c r="K570" s="11">
        <f>IF(C570="","",N(IFERROR(INDEX(Steps!$E$5:$E$62,MATCH(C570,Steps!$A$5:$A$62,0)),"")))</f>
        <v/>
      </c>
      <c r="L570" s="11">
        <f>IF(AND(C570&lt;&gt;"",E570&lt;&gt;"",I570&lt;&gt;"",OR(Settings!$B$10="No",I570&lt;&gt;E570)),K570*F570,0)</f>
        <v/>
      </c>
      <c r="M570" s="11">
        <f>IF(AND(AND(C570&lt;&gt;"",E570&lt;&gt;"",I570&lt;&gt;"",OR(Settings!$B$10="No",I570&lt;&gt;E570)),G570="Paid a pro",Settings!$B$9="Yes"),MAX(0,H570-K570*F570),0)</f>
        <v/>
      </c>
      <c r="N570" s="3">
        <f>IF(C570="","",IF(B570="","Enter the boat number",IF(B570&gt;Settings!$B$6,"Boat number above the boat count",IF(SUMIFS($F$5:$F$1004,$B$5:$B$1004,B570,$C$5:$C$1004,C570)&gt;1.0001,"Shares for this step add up to over 100%",IF(I570="","Waiting for sign-off",IF(AND(Settings!$B$10="Yes",I570=E570),"Needs a different member to sign off","OK"))))))</f>
        <v/>
      </c>
    </row>
    <row r="571">
      <c r="A571" s="9" t="n"/>
      <c r="B571" s="6" t="n"/>
      <c r="C571" s="6" t="n"/>
      <c r="D571" s="3">
        <f>IF(C571="","",IFERROR(INDEX(Steps!$C$5:$C$62,MATCH(C571,Steps!$A$5:$A$62,0)),""))</f>
        <v/>
      </c>
      <c r="E571" s="6" t="n"/>
      <c r="F571" s="8" t="n"/>
      <c r="G571" s="6" t="n"/>
      <c r="H571" s="7" t="n"/>
      <c r="I571" s="6" t="n"/>
      <c r="J571" s="9" t="n"/>
      <c r="K571" s="11">
        <f>IF(C571="","",N(IFERROR(INDEX(Steps!$E$5:$E$62,MATCH(C571,Steps!$A$5:$A$62,0)),"")))</f>
        <v/>
      </c>
      <c r="L571" s="11">
        <f>IF(AND(C571&lt;&gt;"",E571&lt;&gt;"",I571&lt;&gt;"",OR(Settings!$B$10="No",I571&lt;&gt;E571)),K571*F571,0)</f>
        <v/>
      </c>
      <c r="M571" s="11">
        <f>IF(AND(AND(C571&lt;&gt;"",E571&lt;&gt;"",I571&lt;&gt;"",OR(Settings!$B$10="No",I571&lt;&gt;E571)),G571="Paid a pro",Settings!$B$9="Yes"),MAX(0,H571-K571*F571),0)</f>
        <v/>
      </c>
      <c r="N571" s="3">
        <f>IF(C571="","",IF(B571="","Enter the boat number",IF(B571&gt;Settings!$B$6,"Boat number above the boat count",IF(SUMIFS($F$5:$F$1004,$B$5:$B$1004,B571,$C$5:$C$1004,C571)&gt;1.0001,"Shares for this step add up to over 100%",IF(I571="","Waiting for sign-off",IF(AND(Settings!$B$10="Yes",I571=E571),"Needs a different member to sign off","OK"))))))</f>
        <v/>
      </c>
    </row>
    <row r="572">
      <c r="A572" s="9" t="n"/>
      <c r="B572" s="6" t="n"/>
      <c r="C572" s="6" t="n"/>
      <c r="D572" s="3">
        <f>IF(C572="","",IFERROR(INDEX(Steps!$C$5:$C$62,MATCH(C572,Steps!$A$5:$A$62,0)),""))</f>
        <v/>
      </c>
      <c r="E572" s="6" t="n"/>
      <c r="F572" s="8" t="n"/>
      <c r="G572" s="6" t="n"/>
      <c r="H572" s="7" t="n"/>
      <c r="I572" s="6" t="n"/>
      <c r="J572" s="9" t="n"/>
      <c r="K572" s="11">
        <f>IF(C572="","",N(IFERROR(INDEX(Steps!$E$5:$E$62,MATCH(C572,Steps!$A$5:$A$62,0)),"")))</f>
        <v/>
      </c>
      <c r="L572" s="11">
        <f>IF(AND(C572&lt;&gt;"",E572&lt;&gt;"",I572&lt;&gt;"",OR(Settings!$B$10="No",I572&lt;&gt;E572)),K572*F572,0)</f>
        <v/>
      </c>
      <c r="M572" s="11">
        <f>IF(AND(AND(C572&lt;&gt;"",E572&lt;&gt;"",I572&lt;&gt;"",OR(Settings!$B$10="No",I572&lt;&gt;E572)),G572="Paid a pro",Settings!$B$9="Yes"),MAX(0,H572-K572*F572),0)</f>
        <v/>
      </c>
      <c r="N572" s="3">
        <f>IF(C572="","",IF(B572="","Enter the boat number",IF(B572&gt;Settings!$B$6,"Boat number above the boat count",IF(SUMIFS($F$5:$F$1004,$B$5:$B$1004,B572,$C$5:$C$1004,C572)&gt;1.0001,"Shares for this step add up to over 100%",IF(I572="","Waiting for sign-off",IF(AND(Settings!$B$10="Yes",I572=E572),"Needs a different member to sign off","OK"))))))</f>
        <v/>
      </c>
    </row>
    <row r="573">
      <c r="A573" s="9" t="n"/>
      <c r="B573" s="6" t="n"/>
      <c r="C573" s="6" t="n"/>
      <c r="D573" s="3">
        <f>IF(C573="","",IFERROR(INDEX(Steps!$C$5:$C$62,MATCH(C573,Steps!$A$5:$A$62,0)),""))</f>
        <v/>
      </c>
      <c r="E573" s="6" t="n"/>
      <c r="F573" s="8" t="n"/>
      <c r="G573" s="6" t="n"/>
      <c r="H573" s="7" t="n"/>
      <c r="I573" s="6" t="n"/>
      <c r="J573" s="9" t="n"/>
      <c r="K573" s="11">
        <f>IF(C573="","",N(IFERROR(INDEX(Steps!$E$5:$E$62,MATCH(C573,Steps!$A$5:$A$62,0)),"")))</f>
        <v/>
      </c>
      <c r="L573" s="11">
        <f>IF(AND(C573&lt;&gt;"",E573&lt;&gt;"",I573&lt;&gt;"",OR(Settings!$B$10="No",I573&lt;&gt;E573)),K573*F573,0)</f>
        <v/>
      </c>
      <c r="M573" s="11">
        <f>IF(AND(AND(C573&lt;&gt;"",E573&lt;&gt;"",I573&lt;&gt;"",OR(Settings!$B$10="No",I573&lt;&gt;E573)),G573="Paid a pro",Settings!$B$9="Yes"),MAX(0,H573-K573*F573),0)</f>
        <v/>
      </c>
      <c r="N573" s="3">
        <f>IF(C573="","",IF(B573="","Enter the boat number",IF(B573&gt;Settings!$B$6,"Boat number above the boat count",IF(SUMIFS($F$5:$F$1004,$B$5:$B$1004,B573,$C$5:$C$1004,C573)&gt;1.0001,"Shares for this step add up to over 100%",IF(I573="","Waiting for sign-off",IF(AND(Settings!$B$10="Yes",I573=E573),"Needs a different member to sign off","OK"))))))</f>
        <v/>
      </c>
    </row>
    <row r="574">
      <c r="A574" s="9" t="n"/>
      <c r="B574" s="6" t="n"/>
      <c r="C574" s="6" t="n"/>
      <c r="D574" s="3">
        <f>IF(C574="","",IFERROR(INDEX(Steps!$C$5:$C$62,MATCH(C574,Steps!$A$5:$A$62,0)),""))</f>
        <v/>
      </c>
      <c r="E574" s="6" t="n"/>
      <c r="F574" s="8" t="n"/>
      <c r="G574" s="6" t="n"/>
      <c r="H574" s="7" t="n"/>
      <c r="I574" s="6" t="n"/>
      <c r="J574" s="9" t="n"/>
      <c r="K574" s="11">
        <f>IF(C574="","",N(IFERROR(INDEX(Steps!$E$5:$E$62,MATCH(C574,Steps!$A$5:$A$62,0)),"")))</f>
        <v/>
      </c>
      <c r="L574" s="11">
        <f>IF(AND(C574&lt;&gt;"",E574&lt;&gt;"",I574&lt;&gt;"",OR(Settings!$B$10="No",I574&lt;&gt;E574)),K574*F574,0)</f>
        <v/>
      </c>
      <c r="M574" s="11">
        <f>IF(AND(AND(C574&lt;&gt;"",E574&lt;&gt;"",I574&lt;&gt;"",OR(Settings!$B$10="No",I574&lt;&gt;E574)),G574="Paid a pro",Settings!$B$9="Yes"),MAX(0,H574-K574*F574),0)</f>
        <v/>
      </c>
      <c r="N574" s="3">
        <f>IF(C574="","",IF(B574="","Enter the boat number",IF(B574&gt;Settings!$B$6,"Boat number above the boat count",IF(SUMIFS($F$5:$F$1004,$B$5:$B$1004,B574,$C$5:$C$1004,C574)&gt;1.0001,"Shares for this step add up to over 100%",IF(I574="","Waiting for sign-off",IF(AND(Settings!$B$10="Yes",I574=E574),"Needs a different member to sign off","OK"))))))</f>
        <v/>
      </c>
    </row>
    <row r="575">
      <c r="A575" s="9" t="n"/>
      <c r="B575" s="6" t="n"/>
      <c r="C575" s="6" t="n"/>
      <c r="D575" s="3">
        <f>IF(C575="","",IFERROR(INDEX(Steps!$C$5:$C$62,MATCH(C575,Steps!$A$5:$A$62,0)),""))</f>
        <v/>
      </c>
      <c r="E575" s="6" t="n"/>
      <c r="F575" s="8" t="n"/>
      <c r="G575" s="6" t="n"/>
      <c r="H575" s="7" t="n"/>
      <c r="I575" s="6" t="n"/>
      <c r="J575" s="9" t="n"/>
      <c r="K575" s="11">
        <f>IF(C575="","",N(IFERROR(INDEX(Steps!$E$5:$E$62,MATCH(C575,Steps!$A$5:$A$62,0)),"")))</f>
        <v/>
      </c>
      <c r="L575" s="11">
        <f>IF(AND(C575&lt;&gt;"",E575&lt;&gt;"",I575&lt;&gt;"",OR(Settings!$B$10="No",I575&lt;&gt;E575)),K575*F575,0)</f>
        <v/>
      </c>
      <c r="M575" s="11">
        <f>IF(AND(AND(C575&lt;&gt;"",E575&lt;&gt;"",I575&lt;&gt;"",OR(Settings!$B$10="No",I575&lt;&gt;E575)),G575="Paid a pro",Settings!$B$9="Yes"),MAX(0,H575-K575*F575),0)</f>
        <v/>
      </c>
      <c r="N575" s="3">
        <f>IF(C575="","",IF(B575="","Enter the boat number",IF(B575&gt;Settings!$B$6,"Boat number above the boat count",IF(SUMIFS($F$5:$F$1004,$B$5:$B$1004,B575,$C$5:$C$1004,C575)&gt;1.0001,"Shares for this step add up to over 100%",IF(I575="","Waiting for sign-off",IF(AND(Settings!$B$10="Yes",I575=E575),"Needs a different member to sign off","OK"))))))</f>
        <v/>
      </c>
    </row>
    <row r="576">
      <c r="A576" s="9" t="n"/>
      <c r="B576" s="6" t="n"/>
      <c r="C576" s="6" t="n"/>
      <c r="D576" s="3">
        <f>IF(C576="","",IFERROR(INDEX(Steps!$C$5:$C$62,MATCH(C576,Steps!$A$5:$A$62,0)),""))</f>
        <v/>
      </c>
      <c r="E576" s="6" t="n"/>
      <c r="F576" s="8" t="n"/>
      <c r="G576" s="6" t="n"/>
      <c r="H576" s="7" t="n"/>
      <c r="I576" s="6" t="n"/>
      <c r="J576" s="9" t="n"/>
      <c r="K576" s="11">
        <f>IF(C576="","",N(IFERROR(INDEX(Steps!$E$5:$E$62,MATCH(C576,Steps!$A$5:$A$62,0)),"")))</f>
        <v/>
      </c>
      <c r="L576" s="11">
        <f>IF(AND(C576&lt;&gt;"",E576&lt;&gt;"",I576&lt;&gt;"",OR(Settings!$B$10="No",I576&lt;&gt;E576)),K576*F576,0)</f>
        <v/>
      </c>
      <c r="M576" s="11">
        <f>IF(AND(AND(C576&lt;&gt;"",E576&lt;&gt;"",I576&lt;&gt;"",OR(Settings!$B$10="No",I576&lt;&gt;E576)),G576="Paid a pro",Settings!$B$9="Yes"),MAX(0,H576-K576*F576),0)</f>
        <v/>
      </c>
      <c r="N576" s="3">
        <f>IF(C576="","",IF(B576="","Enter the boat number",IF(B576&gt;Settings!$B$6,"Boat number above the boat count",IF(SUMIFS($F$5:$F$1004,$B$5:$B$1004,B576,$C$5:$C$1004,C576)&gt;1.0001,"Shares for this step add up to over 100%",IF(I576="","Waiting for sign-off",IF(AND(Settings!$B$10="Yes",I576=E576),"Needs a different member to sign off","OK"))))))</f>
        <v/>
      </c>
    </row>
    <row r="577">
      <c r="A577" s="9" t="n"/>
      <c r="B577" s="6" t="n"/>
      <c r="C577" s="6" t="n"/>
      <c r="D577" s="3">
        <f>IF(C577="","",IFERROR(INDEX(Steps!$C$5:$C$62,MATCH(C577,Steps!$A$5:$A$62,0)),""))</f>
        <v/>
      </c>
      <c r="E577" s="6" t="n"/>
      <c r="F577" s="8" t="n"/>
      <c r="G577" s="6" t="n"/>
      <c r="H577" s="7" t="n"/>
      <c r="I577" s="6" t="n"/>
      <c r="J577" s="9" t="n"/>
      <c r="K577" s="11">
        <f>IF(C577="","",N(IFERROR(INDEX(Steps!$E$5:$E$62,MATCH(C577,Steps!$A$5:$A$62,0)),"")))</f>
        <v/>
      </c>
      <c r="L577" s="11">
        <f>IF(AND(C577&lt;&gt;"",E577&lt;&gt;"",I577&lt;&gt;"",OR(Settings!$B$10="No",I577&lt;&gt;E577)),K577*F577,0)</f>
        <v/>
      </c>
      <c r="M577" s="11">
        <f>IF(AND(AND(C577&lt;&gt;"",E577&lt;&gt;"",I577&lt;&gt;"",OR(Settings!$B$10="No",I577&lt;&gt;E577)),G577="Paid a pro",Settings!$B$9="Yes"),MAX(0,H577-K577*F577),0)</f>
        <v/>
      </c>
      <c r="N577" s="3">
        <f>IF(C577="","",IF(B577="","Enter the boat number",IF(B577&gt;Settings!$B$6,"Boat number above the boat count",IF(SUMIFS($F$5:$F$1004,$B$5:$B$1004,B577,$C$5:$C$1004,C577)&gt;1.0001,"Shares for this step add up to over 100%",IF(I577="","Waiting for sign-off",IF(AND(Settings!$B$10="Yes",I577=E577),"Needs a different member to sign off","OK"))))))</f>
        <v/>
      </c>
    </row>
    <row r="578">
      <c r="A578" s="9" t="n"/>
      <c r="B578" s="6" t="n"/>
      <c r="C578" s="6" t="n"/>
      <c r="D578" s="3">
        <f>IF(C578="","",IFERROR(INDEX(Steps!$C$5:$C$62,MATCH(C578,Steps!$A$5:$A$62,0)),""))</f>
        <v/>
      </c>
      <c r="E578" s="6" t="n"/>
      <c r="F578" s="8" t="n"/>
      <c r="G578" s="6" t="n"/>
      <c r="H578" s="7" t="n"/>
      <c r="I578" s="6" t="n"/>
      <c r="J578" s="9" t="n"/>
      <c r="K578" s="11">
        <f>IF(C578="","",N(IFERROR(INDEX(Steps!$E$5:$E$62,MATCH(C578,Steps!$A$5:$A$62,0)),"")))</f>
        <v/>
      </c>
      <c r="L578" s="11">
        <f>IF(AND(C578&lt;&gt;"",E578&lt;&gt;"",I578&lt;&gt;"",OR(Settings!$B$10="No",I578&lt;&gt;E578)),K578*F578,0)</f>
        <v/>
      </c>
      <c r="M578" s="11">
        <f>IF(AND(AND(C578&lt;&gt;"",E578&lt;&gt;"",I578&lt;&gt;"",OR(Settings!$B$10="No",I578&lt;&gt;E578)),G578="Paid a pro",Settings!$B$9="Yes"),MAX(0,H578-K578*F578),0)</f>
        <v/>
      </c>
      <c r="N578" s="3">
        <f>IF(C578="","",IF(B578="","Enter the boat number",IF(B578&gt;Settings!$B$6,"Boat number above the boat count",IF(SUMIFS($F$5:$F$1004,$B$5:$B$1004,B578,$C$5:$C$1004,C578)&gt;1.0001,"Shares for this step add up to over 100%",IF(I578="","Waiting for sign-off",IF(AND(Settings!$B$10="Yes",I578=E578),"Needs a different member to sign off","OK"))))))</f>
        <v/>
      </c>
    </row>
    <row r="579">
      <c r="A579" s="9" t="n"/>
      <c r="B579" s="6" t="n"/>
      <c r="C579" s="6" t="n"/>
      <c r="D579" s="3">
        <f>IF(C579="","",IFERROR(INDEX(Steps!$C$5:$C$62,MATCH(C579,Steps!$A$5:$A$62,0)),""))</f>
        <v/>
      </c>
      <c r="E579" s="6" t="n"/>
      <c r="F579" s="8" t="n"/>
      <c r="G579" s="6" t="n"/>
      <c r="H579" s="7" t="n"/>
      <c r="I579" s="6" t="n"/>
      <c r="J579" s="9" t="n"/>
      <c r="K579" s="11">
        <f>IF(C579="","",N(IFERROR(INDEX(Steps!$E$5:$E$62,MATCH(C579,Steps!$A$5:$A$62,0)),"")))</f>
        <v/>
      </c>
      <c r="L579" s="11">
        <f>IF(AND(C579&lt;&gt;"",E579&lt;&gt;"",I579&lt;&gt;"",OR(Settings!$B$10="No",I579&lt;&gt;E579)),K579*F579,0)</f>
        <v/>
      </c>
      <c r="M579" s="11">
        <f>IF(AND(AND(C579&lt;&gt;"",E579&lt;&gt;"",I579&lt;&gt;"",OR(Settings!$B$10="No",I579&lt;&gt;E579)),G579="Paid a pro",Settings!$B$9="Yes"),MAX(0,H579-K579*F579),0)</f>
        <v/>
      </c>
      <c r="N579" s="3">
        <f>IF(C579="","",IF(B579="","Enter the boat number",IF(B579&gt;Settings!$B$6,"Boat number above the boat count",IF(SUMIFS($F$5:$F$1004,$B$5:$B$1004,B579,$C$5:$C$1004,C579)&gt;1.0001,"Shares for this step add up to over 100%",IF(I579="","Waiting for sign-off",IF(AND(Settings!$B$10="Yes",I579=E579),"Needs a different member to sign off","OK"))))))</f>
        <v/>
      </c>
    </row>
    <row r="580">
      <c r="A580" s="9" t="n"/>
      <c r="B580" s="6" t="n"/>
      <c r="C580" s="6" t="n"/>
      <c r="D580" s="3">
        <f>IF(C580="","",IFERROR(INDEX(Steps!$C$5:$C$62,MATCH(C580,Steps!$A$5:$A$62,0)),""))</f>
        <v/>
      </c>
      <c r="E580" s="6" t="n"/>
      <c r="F580" s="8" t="n"/>
      <c r="G580" s="6" t="n"/>
      <c r="H580" s="7" t="n"/>
      <c r="I580" s="6" t="n"/>
      <c r="J580" s="9" t="n"/>
      <c r="K580" s="11">
        <f>IF(C580="","",N(IFERROR(INDEX(Steps!$E$5:$E$62,MATCH(C580,Steps!$A$5:$A$62,0)),"")))</f>
        <v/>
      </c>
      <c r="L580" s="11">
        <f>IF(AND(C580&lt;&gt;"",E580&lt;&gt;"",I580&lt;&gt;"",OR(Settings!$B$10="No",I580&lt;&gt;E580)),K580*F580,0)</f>
        <v/>
      </c>
      <c r="M580" s="11">
        <f>IF(AND(AND(C580&lt;&gt;"",E580&lt;&gt;"",I580&lt;&gt;"",OR(Settings!$B$10="No",I580&lt;&gt;E580)),G580="Paid a pro",Settings!$B$9="Yes"),MAX(0,H580-K580*F580),0)</f>
        <v/>
      </c>
      <c r="N580" s="3">
        <f>IF(C580="","",IF(B580="","Enter the boat number",IF(B580&gt;Settings!$B$6,"Boat number above the boat count",IF(SUMIFS($F$5:$F$1004,$B$5:$B$1004,B580,$C$5:$C$1004,C580)&gt;1.0001,"Shares for this step add up to over 100%",IF(I580="","Waiting for sign-off",IF(AND(Settings!$B$10="Yes",I580=E580),"Needs a different member to sign off","OK"))))))</f>
        <v/>
      </c>
    </row>
    <row r="581">
      <c r="A581" s="9" t="n"/>
      <c r="B581" s="6" t="n"/>
      <c r="C581" s="6" t="n"/>
      <c r="D581" s="3">
        <f>IF(C581="","",IFERROR(INDEX(Steps!$C$5:$C$62,MATCH(C581,Steps!$A$5:$A$62,0)),""))</f>
        <v/>
      </c>
      <c r="E581" s="6" t="n"/>
      <c r="F581" s="8" t="n"/>
      <c r="G581" s="6" t="n"/>
      <c r="H581" s="7" t="n"/>
      <c r="I581" s="6" t="n"/>
      <c r="J581" s="9" t="n"/>
      <c r="K581" s="11">
        <f>IF(C581="","",N(IFERROR(INDEX(Steps!$E$5:$E$62,MATCH(C581,Steps!$A$5:$A$62,0)),"")))</f>
        <v/>
      </c>
      <c r="L581" s="11">
        <f>IF(AND(C581&lt;&gt;"",E581&lt;&gt;"",I581&lt;&gt;"",OR(Settings!$B$10="No",I581&lt;&gt;E581)),K581*F581,0)</f>
        <v/>
      </c>
      <c r="M581" s="11">
        <f>IF(AND(AND(C581&lt;&gt;"",E581&lt;&gt;"",I581&lt;&gt;"",OR(Settings!$B$10="No",I581&lt;&gt;E581)),G581="Paid a pro",Settings!$B$9="Yes"),MAX(0,H581-K581*F581),0)</f>
        <v/>
      </c>
      <c r="N581" s="3">
        <f>IF(C581="","",IF(B581="","Enter the boat number",IF(B581&gt;Settings!$B$6,"Boat number above the boat count",IF(SUMIFS($F$5:$F$1004,$B$5:$B$1004,B581,$C$5:$C$1004,C581)&gt;1.0001,"Shares for this step add up to over 100%",IF(I581="","Waiting for sign-off",IF(AND(Settings!$B$10="Yes",I581=E581),"Needs a different member to sign off","OK"))))))</f>
        <v/>
      </c>
    </row>
    <row r="582">
      <c r="A582" s="9" t="n"/>
      <c r="B582" s="6" t="n"/>
      <c r="C582" s="6" t="n"/>
      <c r="D582" s="3">
        <f>IF(C582="","",IFERROR(INDEX(Steps!$C$5:$C$62,MATCH(C582,Steps!$A$5:$A$62,0)),""))</f>
        <v/>
      </c>
      <c r="E582" s="6" t="n"/>
      <c r="F582" s="8" t="n"/>
      <c r="G582" s="6" t="n"/>
      <c r="H582" s="7" t="n"/>
      <c r="I582" s="6" t="n"/>
      <c r="J582" s="9" t="n"/>
      <c r="K582" s="11">
        <f>IF(C582="","",N(IFERROR(INDEX(Steps!$E$5:$E$62,MATCH(C582,Steps!$A$5:$A$62,0)),"")))</f>
        <v/>
      </c>
      <c r="L582" s="11">
        <f>IF(AND(C582&lt;&gt;"",E582&lt;&gt;"",I582&lt;&gt;"",OR(Settings!$B$10="No",I582&lt;&gt;E582)),K582*F582,0)</f>
        <v/>
      </c>
      <c r="M582" s="11">
        <f>IF(AND(AND(C582&lt;&gt;"",E582&lt;&gt;"",I582&lt;&gt;"",OR(Settings!$B$10="No",I582&lt;&gt;E582)),G582="Paid a pro",Settings!$B$9="Yes"),MAX(0,H582-K582*F582),0)</f>
        <v/>
      </c>
      <c r="N582" s="3">
        <f>IF(C582="","",IF(B582="","Enter the boat number",IF(B582&gt;Settings!$B$6,"Boat number above the boat count",IF(SUMIFS($F$5:$F$1004,$B$5:$B$1004,B582,$C$5:$C$1004,C582)&gt;1.0001,"Shares for this step add up to over 100%",IF(I582="","Waiting for sign-off",IF(AND(Settings!$B$10="Yes",I582=E582),"Needs a different member to sign off","OK"))))))</f>
        <v/>
      </c>
    </row>
    <row r="583">
      <c r="A583" s="9" t="n"/>
      <c r="B583" s="6" t="n"/>
      <c r="C583" s="6" t="n"/>
      <c r="D583" s="3">
        <f>IF(C583="","",IFERROR(INDEX(Steps!$C$5:$C$62,MATCH(C583,Steps!$A$5:$A$62,0)),""))</f>
        <v/>
      </c>
      <c r="E583" s="6" t="n"/>
      <c r="F583" s="8" t="n"/>
      <c r="G583" s="6" t="n"/>
      <c r="H583" s="7" t="n"/>
      <c r="I583" s="6" t="n"/>
      <c r="J583" s="9" t="n"/>
      <c r="K583" s="11">
        <f>IF(C583="","",N(IFERROR(INDEX(Steps!$E$5:$E$62,MATCH(C583,Steps!$A$5:$A$62,0)),"")))</f>
        <v/>
      </c>
      <c r="L583" s="11">
        <f>IF(AND(C583&lt;&gt;"",E583&lt;&gt;"",I583&lt;&gt;"",OR(Settings!$B$10="No",I583&lt;&gt;E583)),K583*F583,0)</f>
        <v/>
      </c>
      <c r="M583" s="11">
        <f>IF(AND(AND(C583&lt;&gt;"",E583&lt;&gt;"",I583&lt;&gt;"",OR(Settings!$B$10="No",I583&lt;&gt;E583)),G583="Paid a pro",Settings!$B$9="Yes"),MAX(0,H583-K583*F583),0)</f>
        <v/>
      </c>
      <c r="N583" s="3">
        <f>IF(C583="","",IF(B583="","Enter the boat number",IF(B583&gt;Settings!$B$6,"Boat number above the boat count",IF(SUMIFS($F$5:$F$1004,$B$5:$B$1004,B583,$C$5:$C$1004,C583)&gt;1.0001,"Shares for this step add up to over 100%",IF(I583="","Waiting for sign-off",IF(AND(Settings!$B$10="Yes",I583=E583),"Needs a different member to sign off","OK"))))))</f>
        <v/>
      </c>
    </row>
    <row r="584">
      <c r="A584" s="9" t="n"/>
      <c r="B584" s="6" t="n"/>
      <c r="C584" s="6" t="n"/>
      <c r="D584" s="3">
        <f>IF(C584="","",IFERROR(INDEX(Steps!$C$5:$C$62,MATCH(C584,Steps!$A$5:$A$62,0)),""))</f>
        <v/>
      </c>
      <c r="E584" s="6" t="n"/>
      <c r="F584" s="8" t="n"/>
      <c r="G584" s="6" t="n"/>
      <c r="H584" s="7" t="n"/>
      <c r="I584" s="6" t="n"/>
      <c r="J584" s="9" t="n"/>
      <c r="K584" s="11">
        <f>IF(C584="","",N(IFERROR(INDEX(Steps!$E$5:$E$62,MATCH(C584,Steps!$A$5:$A$62,0)),"")))</f>
        <v/>
      </c>
      <c r="L584" s="11">
        <f>IF(AND(C584&lt;&gt;"",E584&lt;&gt;"",I584&lt;&gt;"",OR(Settings!$B$10="No",I584&lt;&gt;E584)),K584*F584,0)</f>
        <v/>
      </c>
      <c r="M584" s="11">
        <f>IF(AND(AND(C584&lt;&gt;"",E584&lt;&gt;"",I584&lt;&gt;"",OR(Settings!$B$10="No",I584&lt;&gt;E584)),G584="Paid a pro",Settings!$B$9="Yes"),MAX(0,H584-K584*F584),0)</f>
        <v/>
      </c>
      <c r="N584" s="3">
        <f>IF(C584="","",IF(B584="","Enter the boat number",IF(B584&gt;Settings!$B$6,"Boat number above the boat count",IF(SUMIFS($F$5:$F$1004,$B$5:$B$1004,B584,$C$5:$C$1004,C584)&gt;1.0001,"Shares for this step add up to over 100%",IF(I584="","Waiting for sign-off",IF(AND(Settings!$B$10="Yes",I584=E584),"Needs a different member to sign off","OK"))))))</f>
        <v/>
      </c>
    </row>
    <row r="585">
      <c r="A585" s="9" t="n"/>
      <c r="B585" s="6" t="n"/>
      <c r="C585" s="6" t="n"/>
      <c r="D585" s="3">
        <f>IF(C585="","",IFERROR(INDEX(Steps!$C$5:$C$62,MATCH(C585,Steps!$A$5:$A$62,0)),""))</f>
        <v/>
      </c>
      <c r="E585" s="6" t="n"/>
      <c r="F585" s="8" t="n"/>
      <c r="G585" s="6" t="n"/>
      <c r="H585" s="7" t="n"/>
      <c r="I585" s="6" t="n"/>
      <c r="J585" s="9" t="n"/>
      <c r="K585" s="11">
        <f>IF(C585="","",N(IFERROR(INDEX(Steps!$E$5:$E$62,MATCH(C585,Steps!$A$5:$A$62,0)),"")))</f>
        <v/>
      </c>
      <c r="L585" s="11">
        <f>IF(AND(C585&lt;&gt;"",E585&lt;&gt;"",I585&lt;&gt;"",OR(Settings!$B$10="No",I585&lt;&gt;E585)),K585*F585,0)</f>
        <v/>
      </c>
      <c r="M585" s="11">
        <f>IF(AND(AND(C585&lt;&gt;"",E585&lt;&gt;"",I585&lt;&gt;"",OR(Settings!$B$10="No",I585&lt;&gt;E585)),G585="Paid a pro",Settings!$B$9="Yes"),MAX(0,H585-K585*F585),0)</f>
        <v/>
      </c>
      <c r="N585" s="3">
        <f>IF(C585="","",IF(B585="","Enter the boat number",IF(B585&gt;Settings!$B$6,"Boat number above the boat count",IF(SUMIFS($F$5:$F$1004,$B$5:$B$1004,B585,$C$5:$C$1004,C585)&gt;1.0001,"Shares for this step add up to over 100%",IF(I585="","Waiting for sign-off",IF(AND(Settings!$B$10="Yes",I585=E585),"Needs a different member to sign off","OK"))))))</f>
        <v/>
      </c>
    </row>
    <row r="586">
      <c r="A586" s="9" t="n"/>
      <c r="B586" s="6" t="n"/>
      <c r="C586" s="6" t="n"/>
      <c r="D586" s="3">
        <f>IF(C586="","",IFERROR(INDEX(Steps!$C$5:$C$62,MATCH(C586,Steps!$A$5:$A$62,0)),""))</f>
        <v/>
      </c>
      <c r="E586" s="6" t="n"/>
      <c r="F586" s="8" t="n"/>
      <c r="G586" s="6" t="n"/>
      <c r="H586" s="7" t="n"/>
      <c r="I586" s="6" t="n"/>
      <c r="J586" s="9" t="n"/>
      <c r="K586" s="11">
        <f>IF(C586="","",N(IFERROR(INDEX(Steps!$E$5:$E$62,MATCH(C586,Steps!$A$5:$A$62,0)),"")))</f>
        <v/>
      </c>
      <c r="L586" s="11">
        <f>IF(AND(C586&lt;&gt;"",E586&lt;&gt;"",I586&lt;&gt;"",OR(Settings!$B$10="No",I586&lt;&gt;E586)),K586*F586,0)</f>
        <v/>
      </c>
      <c r="M586" s="11">
        <f>IF(AND(AND(C586&lt;&gt;"",E586&lt;&gt;"",I586&lt;&gt;"",OR(Settings!$B$10="No",I586&lt;&gt;E586)),G586="Paid a pro",Settings!$B$9="Yes"),MAX(0,H586-K586*F586),0)</f>
        <v/>
      </c>
      <c r="N586" s="3">
        <f>IF(C586="","",IF(B586="","Enter the boat number",IF(B586&gt;Settings!$B$6,"Boat number above the boat count",IF(SUMIFS($F$5:$F$1004,$B$5:$B$1004,B586,$C$5:$C$1004,C586)&gt;1.0001,"Shares for this step add up to over 100%",IF(I586="","Waiting for sign-off",IF(AND(Settings!$B$10="Yes",I586=E586),"Needs a different member to sign off","OK"))))))</f>
        <v/>
      </c>
    </row>
    <row r="587">
      <c r="A587" s="9" t="n"/>
      <c r="B587" s="6" t="n"/>
      <c r="C587" s="6" t="n"/>
      <c r="D587" s="3">
        <f>IF(C587="","",IFERROR(INDEX(Steps!$C$5:$C$62,MATCH(C587,Steps!$A$5:$A$62,0)),""))</f>
        <v/>
      </c>
      <c r="E587" s="6" t="n"/>
      <c r="F587" s="8" t="n"/>
      <c r="G587" s="6" t="n"/>
      <c r="H587" s="7" t="n"/>
      <c r="I587" s="6" t="n"/>
      <c r="J587" s="9" t="n"/>
      <c r="K587" s="11">
        <f>IF(C587="","",N(IFERROR(INDEX(Steps!$E$5:$E$62,MATCH(C587,Steps!$A$5:$A$62,0)),"")))</f>
        <v/>
      </c>
      <c r="L587" s="11">
        <f>IF(AND(C587&lt;&gt;"",E587&lt;&gt;"",I587&lt;&gt;"",OR(Settings!$B$10="No",I587&lt;&gt;E587)),K587*F587,0)</f>
        <v/>
      </c>
      <c r="M587" s="11">
        <f>IF(AND(AND(C587&lt;&gt;"",E587&lt;&gt;"",I587&lt;&gt;"",OR(Settings!$B$10="No",I587&lt;&gt;E587)),G587="Paid a pro",Settings!$B$9="Yes"),MAX(0,H587-K587*F587),0)</f>
        <v/>
      </c>
      <c r="N587" s="3">
        <f>IF(C587="","",IF(B587="","Enter the boat number",IF(B587&gt;Settings!$B$6,"Boat number above the boat count",IF(SUMIFS($F$5:$F$1004,$B$5:$B$1004,B587,$C$5:$C$1004,C587)&gt;1.0001,"Shares for this step add up to over 100%",IF(I587="","Waiting for sign-off",IF(AND(Settings!$B$10="Yes",I587=E587),"Needs a different member to sign off","OK"))))))</f>
        <v/>
      </c>
    </row>
    <row r="588">
      <c r="A588" s="9" t="n"/>
      <c r="B588" s="6" t="n"/>
      <c r="C588" s="6" t="n"/>
      <c r="D588" s="3">
        <f>IF(C588="","",IFERROR(INDEX(Steps!$C$5:$C$62,MATCH(C588,Steps!$A$5:$A$62,0)),""))</f>
        <v/>
      </c>
      <c r="E588" s="6" t="n"/>
      <c r="F588" s="8" t="n"/>
      <c r="G588" s="6" t="n"/>
      <c r="H588" s="7" t="n"/>
      <c r="I588" s="6" t="n"/>
      <c r="J588" s="9" t="n"/>
      <c r="K588" s="11">
        <f>IF(C588="","",N(IFERROR(INDEX(Steps!$E$5:$E$62,MATCH(C588,Steps!$A$5:$A$62,0)),"")))</f>
        <v/>
      </c>
      <c r="L588" s="11">
        <f>IF(AND(C588&lt;&gt;"",E588&lt;&gt;"",I588&lt;&gt;"",OR(Settings!$B$10="No",I588&lt;&gt;E588)),K588*F588,0)</f>
        <v/>
      </c>
      <c r="M588" s="11">
        <f>IF(AND(AND(C588&lt;&gt;"",E588&lt;&gt;"",I588&lt;&gt;"",OR(Settings!$B$10="No",I588&lt;&gt;E588)),G588="Paid a pro",Settings!$B$9="Yes"),MAX(0,H588-K588*F588),0)</f>
        <v/>
      </c>
      <c r="N588" s="3">
        <f>IF(C588="","",IF(B588="","Enter the boat number",IF(B588&gt;Settings!$B$6,"Boat number above the boat count",IF(SUMIFS($F$5:$F$1004,$B$5:$B$1004,B588,$C$5:$C$1004,C588)&gt;1.0001,"Shares for this step add up to over 100%",IF(I588="","Waiting for sign-off",IF(AND(Settings!$B$10="Yes",I588=E588),"Needs a different member to sign off","OK"))))))</f>
        <v/>
      </c>
    </row>
    <row r="589">
      <c r="A589" s="9" t="n"/>
      <c r="B589" s="6" t="n"/>
      <c r="C589" s="6" t="n"/>
      <c r="D589" s="3">
        <f>IF(C589="","",IFERROR(INDEX(Steps!$C$5:$C$62,MATCH(C589,Steps!$A$5:$A$62,0)),""))</f>
        <v/>
      </c>
      <c r="E589" s="6" t="n"/>
      <c r="F589" s="8" t="n"/>
      <c r="G589" s="6" t="n"/>
      <c r="H589" s="7" t="n"/>
      <c r="I589" s="6" t="n"/>
      <c r="J589" s="9" t="n"/>
      <c r="K589" s="11">
        <f>IF(C589="","",N(IFERROR(INDEX(Steps!$E$5:$E$62,MATCH(C589,Steps!$A$5:$A$62,0)),"")))</f>
        <v/>
      </c>
      <c r="L589" s="11">
        <f>IF(AND(C589&lt;&gt;"",E589&lt;&gt;"",I589&lt;&gt;"",OR(Settings!$B$10="No",I589&lt;&gt;E589)),K589*F589,0)</f>
        <v/>
      </c>
      <c r="M589" s="11">
        <f>IF(AND(AND(C589&lt;&gt;"",E589&lt;&gt;"",I589&lt;&gt;"",OR(Settings!$B$10="No",I589&lt;&gt;E589)),G589="Paid a pro",Settings!$B$9="Yes"),MAX(0,H589-K589*F589),0)</f>
        <v/>
      </c>
      <c r="N589" s="3">
        <f>IF(C589="","",IF(B589="","Enter the boat number",IF(B589&gt;Settings!$B$6,"Boat number above the boat count",IF(SUMIFS($F$5:$F$1004,$B$5:$B$1004,B589,$C$5:$C$1004,C589)&gt;1.0001,"Shares for this step add up to over 100%",IF(I589="","Waiting for sign-off",IF(AND(Settings!$B$10="Yes",I589=E589),"Needs a different member to sign off","OK"))))))</f>
        <v/>
      </c>
    </row>
    <row r="590">
      <c r="A590" s="9" t="n"/>
      <c r="B590" s="6" t="n"/>
      <c r="C590" s="6" t="n"/>
      <c r="D590" s="3">
        <f>IF(C590="","",IFERROR(INDEX(Steps!$C$5:$C$62,MATCH(C590,Steps!$A$5:$A$62,0)),""))</f>
        <v/>
      </c>
      <c r="E590" s="6" t="n"/>
      <c r="F590" s="8" t="n"/>
      <c r="G590" s="6" t="n"/>
      <c r="H590" s="7" t="n"/>
      <c r="I590" s="6" t="n"/>
      <c r="J590" s="9" t="n"/>
      <c r="K590" s="11">
        <f>IF(C590="","",N(IFERROR(INDEX(Steps!$E$5:$E$62,MATCH(C590,Steps!$A$5:$A$62,0)),"")))</f>
        <v/>
      </c>
      <c r="L590" s="11">
        <f>IF(AND(C590&lt;&gt;"",E590&lt;&gt;"",I590&lt;&gt;"",OR(Settings!$B$10="No",I590&lt;&gt;E590)),K590*F590,0)</f>
        <v/>
      </c>
      <c r="M590" s="11">
        <f>IF(AND(AND(C590&lt;&gt;"",E590&lt;&gt;"",I590&lt;&gt;"",OR(Settings!$B$10="No",I590&lt;&gt;E590)),G590="Paid a pro",Settings!$B$9="Yes"),MAX(0,H590-K590*F590),0)</f>
        <v/>
      </c>
      <c r="N590" s="3">
        <f>IF(C590="","",IF(B590="","Enter the boat number",IF(B590&gt;Settings!$B$6,"Boat number above the boat count",IF(SUMIFS($F$5:$F$1004,$B$5:$B$1004,B590,$C$5:$C$1004,C590)&gt;1.0001,"Shares for this step add up to over 100%",IF(I590="","Waiting for sign-off",IF(AND(Settings!$B$10="Yes",I590=E590),"Needs a different member to sign off","OK"))))))</f>
        <v/>
      </c>
    </row>
    <row r="591">
      <c r="A591" s="9" t="n"/>
      <c r="B591" s="6" t="n"/>
      <c r="C591" s="6" t="n"/>
      <c r="D591" s="3">
        <f>IF(C591="","",IFERROR(INDEX(Steps!$C$5:$C$62,MATCH(C591,Steps!$A$5:$A$62,0)),""))</f>
        <v/>
      </c>
      <c r="E591" s="6" t="n"/>
      <c r="F591" s="8" t="n"/>
      <c r="G591" s="6" t="n"/>
      <c r="H591" s="7" t="n"/>
      <c r="I591" s="6" t="n"/>
      <c r="J591" s="9" t="n"/>
      <c r="K591" s="11">
        <f>IF(C591="","",N(IFERROR(INDEX(Steps!$E$5:$E$62,MATCH(C591,Steps!$A$5:$A$62,0)),"")))</f>
        <v/>
      </c>
      <c r="L591" s="11">
        <f>IF(AND(C591&lt;&gt;"",E591&lt;&gt;"",I591&lt;&gt;"",OR(Settings!$B$10="No",I591&lt;&gt;E591)),K591*F591,0)</f>
        <v/>
      </c>
      <c r="M591" s="11">
        <f>IF(AND(AND(C591&lt;&gt;"",E591&lt;&gt;"",I591&lt;&gt;"",OR(Settings!$B$10="No",I591&lt;&gt;E591)),G591="Paid a pro",Settings!$B$9="Yes"),MAX(0,H591-K591*F591),0)</f>
        <v/>
      </c>
      <c r="N591" s="3">
        <f>IF(C591="","",IF(B591="","Enter the boat number",IF(B591&gt;Settings!$B$6,"Boat number above the boat count",IF(SUMIFS($F$5:$F$1004,$B$5:$B$1004,B591,$C$5:$C$1004,C591)&gt;1.0001,"Shares for this step add up to over 100%",IF(I591="","Waiting for sign-off",IF(AND(Settings!$B$10="Yes",I591=E591),"Needs a different member to sign off","OK"))))))</f>
        <v/>
      </c>
    </row>
    <row r="592">
      <c r="A592" s="9" t="n"/>
      <c r="B592" s="6" t="n"/>
      <c r="C592" s="6" t="n"/>
      <c r="D592" s="3">
        <f>IF(C592="","",IFERROR(INDEX(Steps!$C$5:$C$62,MATCH(C592,Steps!$A$5:$A$62,0)),""))</f>
        <v/>
      </c>
      <c r="E592" s="6" t="n"/>
      <c r="F592" s="8" t="n"/>
      <c r="G592" s="6" t="n"/>
      <c r="H592" s="7" t="n"/>
      <c r="I592" s="6" t="n"/>
      <c r="J592" s="9" t="n"/>
      <c r="K592" s="11">
        <f>IF(C592="","",N(IFERROR(INDEX(Steps!$E$5:$E$62,MATCH(C592,Steps!$A$5:$A$62,0)),"")))</f>
        <v/>
      </c>
      <c r="L592" s="11">
        <f>IF(AND(C592&lt;&gt;"",E592&lt;&gt;"",I592&lt;&gt;"",OR(Settings!$B$10="No",I592&lt;&gt;E592)),K592*F592,0)</f>
        <v/>
      </c>
      <c r="M592" s="11">
        <f>IF(AND(AND(C592&lt;&gt;"",E592&lt;&gt;"",I592&lt;&gt;"",OR(Settings!$B$10="No",I592&lt;&gt;E592)),G592="Paid a pro",Settings!$B$9="Yes"),MAX(0,H592-K592*F592),0)</f>
        <v/>
      </c>
      <c r="N592" s="3">
        <f>IF(C592="","",IF(B592="","Enter the boat number",IF(B592&gt;Settings!$B$6,"Boat number above the boat count",IF(SUMIFS($F$5:$F$1004,$B$5:$B$1004,B592,$C$5:$C$1004,C592)&gt;1.0001,"Shares for this step add up to over 100%",IF(I592="","Waiting for sign-off",IF(AND(Settings!$B$10="Yes",I592=E592),"Needs a different member to sign off","OK"))))))</f>
        <v/>
      </c>
    </row>
    <row r="593">
      <c r="A593" s="9" t="n"/>
      <c r="B593" s="6" t="n"/>
      <c r="C593" s="6" t="n"/>
      <c r="D593" s="3">
        <f>IF(C593="","",IFERROR(INDEX(Steps!$C$5:$C$62,MATCH(C593,Steps!$A$5:$A$62,0)),""))</f>
        <v/>
      </c>
      <c r="E593" s="6" t="n"/>
      <c r="F593" s="8" t="n"/>
      <c r="G593" s="6" t="n"/>
      <c r="H593" s="7" t="n"/>
      <c r="I593" s="6" t="n"/>
      <c r="J593" s="9" t="n"/>
      <c r="K593" s="11">
        <f>IF(C593="","",N(IFERROR(INDEX(Steps!$E$5:$E$62,MATCH(C593,Steps!$A$5:$A$62,0)),"")))</f>
        <v/>
      </c>
      <c r="L593" s="11">
        <f>IF(AND(C593&lt;&gt;"",E593&lt;&gt;"",I593&lt;&gt;"",OR(Settings!$B$10="No",I593&lt;&gt;E593)),K593*F593,0)</f>
        <v/>
      </c>
      <c r="M593" s="11">
        <f>IF(AND(AND(C593&lt;&gt;"",E593&lt;&gt;"",I593&lt;&gt;"",OR(Settings!$B$10="No",I593&lt;&gt;E593)),G593="Paid a pro",Settings!$B$9="Yes"),MAX(0,H593-K593*F593),0)</f>
        <v/>
      </c>
      <c r="N593" s="3">
        <f>IF(C593="","",IF(B593="","Enter the boat number",IF(B593&gt;Settings!$B$6,"Boat number above the boat count",IF(SUMIFS($F$5:$F$1004,$B$5:$B$1004,B593,$C$5:$C$1004,C593)&gt;1.0001,"Shares for this step add up to over 100%",IF(I593="","Waiting for sign-off",IF(AND(Settings!$B$10="Yes",I593=E593),"Needs a different member to sign off","OK"))))))</f>
        <v/>
      </c>
    </row>
    <row r="594">
      <c r="A594" s="9" t="n"/>
      <c r="B594" s="6" t="n"/>
      <c r="C594" s="6" t="n"/>
      <c r="D594" s="3">
        <f>IF(C594="","",IFERROR(INDEX(Steps!$C$5:$C$62,MATCH(C594,Steps!$A$5:$A$62,0)),""))</f>
        <v/>
      </c>
      <c r="E594" s="6" t="n"/>
      <c r="F594" s="8" t="n"/>
      <c r="G594" s="6" t="n"/>
      <c r="H594" s="7" t="n"/>
      <c r="I594" s="6" t="n"/>
      <c r="J594" s="9" t="n"/>
      <c r="K594" s="11">
        <f>IF(C594="","",N(IFERROR(INDEX(Steps!$E$5:$E$62,MATCH(C594,Steps!$A$5:$A$62,0)),"")))</f>
        <v/>
      </c>
      <c r="L594" s="11">
        <f>IF(AND(C594&lt;&gt;"",E594&lt;&gt;"",I594&lt;&gt;"",OR(Settings!$B$10="No",I594&lt;&gt;E594)),K594*F594,0)</f>
        <v/>
      </c>
      <c r="M594" s="11">
        <f>IF(AND(AND(C594&lt;&gt;"",E594&lt;&gt;"",I594&lt;&gt;"",OR(Settings!$B$10="No",I594&lt;&gt;E594)),G594="Paid a pro",Settings!$B$9="Yes"),MAX(0,H594-K594*F594),0)</f>
        <v/>
      </c>
      <c r="N594" s="3">
        <f>IF(C594="","",IF(B594="","Enter the boat number",IF(B594&gt;Settings!$B$6,"Boat number above the boat count",IF(SUMIFS($F$5:$F$1004,$B$5:$B$1004,B594,$C$5:$C$1004,C594)&gt;1.0001,"Shares for this step add up to over 100%",IF(I594="","Waiting for sign-off",IF(AND(Settings!$B$10="Yes",I594=E594),"Needs a different member to sign off","OK"))))))</f>
        <v/>
      </c>
    </row>
    <row r="595">
      <c r="A595" s="9" t="n"/>
      <c r="B595" s="6" t="n"/>
      <c r="C595" s="6" t="n"/>
      <c r="D595" s="3">
        <f>IF(C595="","",IFERROR(INDEX(Steps!$C$5:$C$62,MATCH(C595,Steps!$A$5:$A$62,0)),""))</f>
        <v/>
      </c>
      <c r="E595" s="6" t="n"/>
      <c r="F595" s="8" t="n"/>
      <c r="G595" s="6" t="n"/>
      <c r="H595" s="7" t="n"/>
      <c r="I595" s="6" t="n"/>
      <c r="J595" s="9" t="n"/>
      <c r="K595" s="11">
        <f>IF(C595="","",N(IFERROR(INDEX(Steps!$E$5:$E$62,MATCH(C595,Steps!$A$5:$A$62,0)),"")))</f>
        <v/>
      </c>
      <c r="L595" s="11">
        <f>IF(AND(C595&lt;&gt;"",E595&lt;&gt;"",I595&lt;&gt;"",OR(Settings!$B$10="No",I595&lt;&gt;E595)),K595*F595,0)</f>
        <v/>
      </c>
      <c r="M595" s="11">
        <f>IF(AND(AND(C595&lt;&gt;"",E595&lt;&gt;"",I595&lt;&gt;"",OR(Settings!$B$10="No",I595&lt;&gt;E595)),G595="Paid a pro",Settings!$B$9="Yes"),MAX(0,H595-K595*F595),0)</f>
        <v/>
      </c>
      <c r="N595" s="3">
        <f>IF(C595="","",IF(B595="","Enter the boat number",IF(B595&gt;Settings!$B$6,"Boat number above the boat count",IF(SUMIFS($F$5:$F$1004,$B$5:$B$1004,B595,$C$5:$C$1004,C595)&gt;1.0001,"Shares for this step add up to over 100%",IF(I595="","Waiting for sign-off",IF(AND(Settings!$B$10="Yes",I595=E595),"Needs a different member to sign off","OK"))))))</f>
        <v/>
      </c>
    </row>
    <row r="596">
      <c r="A596" s="9" t="n"/>
      <c r="B596" s="6" t="n"/>
      <c r="C596" s="6" t="n"/>
      <c r="D596" s="3">
        <f>IF(C596="","",IFERROR(INDEX(Steps!$C$5:$C$62,MATCH(C596,Steps!$A$5:$A$62,0)),""))</f>
        <v/>
      </c>
      <c r="E596" s="6" t="n"/>
      <c r="F596" s="8" t="n"/>
      <c r="G596" s="6" t="n"/>
      <c r="H596" s="7" t="n"/>
      <c r="I596" s="6" t="n"/>
      <c r="J596" s="9" t="n"/>
      <c r="K596" s="11">
        <f>IF(C596="","",N(IFERROR(INDEX(Steps!$E$5:$E$62,MATCH(C596,Steps!$A$5:$A$62,0)),"")))</f>
        <v/>
      </c>
      <c r="L596" s="11">
        <f>IF(AND(C596&lt;&gt;"",E596&lt;&gt;"",I596&lt;&gt;"",OR(Settings!$B$10="No",I596&lt;&gt;E596)),K596*F596,0)</f>
        <v/>
      </c>
      <c r="M596" s="11">
        <f>IF(AND(AND(C596&lt;&gt;"",E596&lt;&gt;"",I596&lt;&gt;"",OR(Settings!$B$10="No",I596&lt;&gt;E596)),G596="Paid a pro",Settings!$B$9="Yes"),MAX(0,H596-K596*F596),0)</f>
        <v/>
      </c>
      <c r="N596" s="3">
        <f>IF(C596="","",IF(B596="","Enter the boat number",IF(B596&gt;Settings!$B$6,"Boat number above the boat count",IF(SUMIFS($F$5:$F$1004,$B$5:$B$1004,B596,$C$5:$C$1004,C596)&gt;1.0001,"Shares for this step add up to over 100%",IF(I596="","Waiting for sign-off",IF(AND(Settings!$B$10="Yes",I596=E596),"Needs a different member to sign off","OK"))))))</f>
        <v/>
      </c>
    </row>
    <row r="597">
      <c r="A597" s="9" t="n"/>
      <c r="B597" s="6" t="n"/>
      <c r="C597" s="6" t="n"/>
      <c r="D597" s="3">
        <f>IF(C597="","",IFERROR(INDEX(Steps!$C$5:$C$62,MATCH(C597,Steps!$A$5:$A$62,0)),""))</f>
        <v/>
      </c>
      <c r="E597" s="6" t="n"/>
      <c r="F597" s="8" t="n"/>
      <c r="G597" s="6" t="n"/>
      <c r="H597" s="7" t="n"/>
      <c r="I597" s="6" t="n"/>
      <c r="J597" s="9" t="n"/>
      <c r="K597" s="11">
        <f>IF(C597="","",N(IFERROR(INDEX(Steps!$E$5:$E$62,MATCH(C597,Steps!$A$5:$A$62,0)),"")))</f>
        <v/>
      </c>
      <c r="L597" s="11">
        <f>IF(AND(C597&lt;&gt;"",E597&lt;&gt;"",I597&lt;&gt;"",OR(Settings!$B$10="No",I597&lt;&gt;E597)),K597*F597,0)</f>
        <v/>
      </c>
      <c r="M597" s="11">
        <f>IF(AND(AND(C597&lt;&gt;"",E597&lt;&gt;"",I597&lt;&gt;"",OR(Settings!$B$10="No",I597&lt;&gt;E597)),G597="Paid a pro",Settings!$B$9="Yes"),MAX(0,H597-K597*F597),0)</f>
        <v/>
      </c>
      <c r="N597" s="3">
        <f>IF(C597="","",IF(B597="","Enter the boat number",IF(B597&gt;Settings!$B$6,"Boat number above the boat count",IF(SUMIFS($F$5:$F$1004,$B$5:$B$1004,B597,$C$5:$C$1004,C597)&gt;1.0001,"Shares for this step add up to over 100%",IF(I597="","Waiting for sign-off",IF(AND(Settings!$B$10="Yes",I597=E597),"Needs a different member to sign off","OK"))))))</f>
        <v/>
      </c>
    </row>
    <row r="598">
      <c r="A598" s="9" t="n"/>
      <c r="B598" s="6" t="n"/>
      <c r="C598" s="6" t="n"/>
      <c r="D598" s="3">
        <f>IF(C598="","",IFERROR(INDEX(Steps!$C$5:$C$62,MATCH(C598,Steps!$A$5:$A$62,0)),""))</f>
        <v/>
      </c>
      <c r="E598" s="6" t="n"/>
      <c r="F598" s="8" t="n"/>
      <c r="G598" s="6" t="n"/>
      <c r="H598" s="7" t="n"/>
      <c r="I598" s="6" t="n"/>
      <c r="J598" s="9" t="n"/>
      <c r="K598" s="11">
        <f>IF(C598="","",N(IFERROR(INDEX(Steps!$E$5:$E$62,MATCH(C598,Steps!$A$5:$A$62,0)),"")))</f>
        <v/>
      </c>
      <c r="L598" s="11">
        <f>IF(AND(C598&lt;&gt;"",E598&lt;&gt;"",I598&lt;&gt;"",OR(Settings!$B$10="No",I598&lt;&gt;E598)),K598*F598,0)</f>
        <v/>
      </c>
      <c r="M598" s="11">
        <f>IF(AND(AND(C598&lt;&gt;"",E598&lt;&gt;"",I598&lt;&gt;"",OR(Settings!$B$10="No",I598&lt;&gt;E598)),G598="Paid a pro",Settings!$B$9="Yes"),MAX(0,H598-K598*F598),0)</f>
        <v/>
      </c>
      <c r="N598" s="3">
        <f>IF(C598="","",IF(B598="","Enter the boat number",IF(B598&gt;Settings!$B$6,"Boat number above the boat count",IF(SUMIFS($F$5:$F$1004,$B$5:$B$1004,B598,$C$5:$C$1004,C598)&gt;1.0001,"Shares for this step add up to over 100%",IF(I598="","Waiting for sign-off",IF(AND(Settings!$B$10="Yes",I598=E598),"Needs a different member to sign off","OK"))))))</f>
        <v/>
      </c>
    </row>
    <row r="599">
      <c r="A599" s="9" t="n"/>
      <c r="B599" s="6" t="n"/>
      <c r="C599" s="6" t="n"/>
      <c r="D599" s="3">
        <f>IF(C599="","",IFERROR(INDEX(Steps!$C$5:$C$62,MATCH(C599,Steps!$A$5:$A$62,0)),""))</f>
        <v/>
      </c>
      <c r="E599" s="6" t="n"/>
      <c r="F599" s="8" t="n"/>
      <c r="G599" s="6" t="n"/>
      <c r="H599" s="7" t="n"/>
      <c r="I599" s="6" t="n"/>
      <c r="J599" s="9" t="n"/>
      <c r="K599" s="11">
        <f>IF(C599="","",N(IFERROR(INDEX(Steps!$E$5:$E$62,MATCH(C599,Steps!$A$5:$A$62,0)),"")))</f>
        <v/>
      </c>
      <c r="L599" s="11">
        <f>IF(AND(C599&lt;&gt;"",E599&lt;&gt;"",I599&lt;&gt;"",OR(Settings!$B$10="No",I599&lt;&gt;E599)),K599*F599,0)</f>
        <v/>
      </c>
      <c r="M599" s="11">
        <f>IF(AND(AND(C599&lt;&gt;"",E599&lt;&gt;"",I599&lt;&gt;"",OR(Settings!$B$10="No",I599&lt;&gt;E599)),G599="Paid a pro",Settings!$B$9="Yes"),MAX(0,H599-K599*F599),0)</f>
        <v/>
      </c>
      <c r="N599" s="3">
        <f>IF(C599="","",IF(B599="","Enter the boat number",IF(B599&gt;Settings!$B$6,"Boat number above the boat count",IF(SUMIFS($F$5:$F$1004,$B$5:$B$1004,B599,$C$5:$C$1004,C599)&gt;1.0001,"Shares for this step add up to over 100%",IF(I599="","Waiting for sign-off",IF(AND(Settings!$B$10="Yes",I599=E599),"Needs a different member to sign off","OK"))))))</f>
        <v/>
      </c>
    </row>
    <row r="600">
      <c r="A600" s="9" t="n"/>
      <c r="B600" s="6" t="n"/>
      <c r="C600" s="6" t="n"/>
      <c r="D600" s="3">
        <f>IF(C600="","",IFERROR(INDEX(Steps!$C$5:$C$62,MATCH(C600,Steps!$A$5:$A$62,0)),""))</f>
        <v/>
      </c>
      <c r="E600" s="6" t="n"/>
      <c r="F600" s="8" t="n"/>
      <c r="G600" s="6" t="n"/>
      <c r="H600" s="7" t="n"/>
      <c r="I600" s="6" t="n"/>
      <c r="J600" s="9" t="n"/>
      <c r="K600" s="11">
        <f>IF(C600="","",N(IFERROR(INDEX(Steps!$E$5:$E$62,MATCH(C600,Steps!$A$5:$A$62,0)),"")))</f>
        <v/>
      </c>
      <c r="L600" s="11">
        <f>IF(AND(C600&lt;&gt;"",E600&lt;&gt;"",I600&lt;&gt;"",OR(Settings!$B$10="No",I600&lt;&gt;E600)),K600*F600,0)</f>
        <v/>
      </c>
      <c r="M600" s="11">
        <f>IF(AND(AND(C600&lt;&gt;"",E600&lt;&gt;"",I600&lt;&gt;"",OR(Settings!$B$10="No",I600&lt;&gt;E600)),G600="Paid a pro",Settings!$B$9="Yes"),MAX(0,H600-K600*F600),0)</f>
        <v/>
      </c>
      <c r="N600" s="3">
        <f>IF(C600="","",IF(B600="","Enter the boat number",IF(B600&gt;Settings!$B$6,"Boat number above the boat count",IF(SUMIFS($F$5:$F$1004,$B$5:$B$1004,B600,$C$5:$C$1004,C600)&gt;1.0001,"Shares for this step add up to over 100%",IF(I600="","Waiting for sign-off",IF(AND(Settings!$B$10="Yes",I600=E600),"Needs a different member to sign off","OK"))))))</f>
        <v/>
      </c>
    </row>
    <row r="601">
      <c r="A601" s="9" t="n"/>
      <c r="B601" s="6" t="n"/>
      <c r="C601" s="6" t="n"/>
      <c r="D601" s="3">
        <f>IF(C601="","",IFERROR(INDEX(Steps!$C$5:$C$62,MATCH(C601,Steps!$A$5:$A$62,0)),""))</f>
        <v/>
      </c>
      <c r="E601" s="6" t="n"/>
      <c r="F601" s="8" t="n"/>
      <c r="G601" s="6" t="n"/>
      <c r="H601" s="7" t="n"/>
      <c r="I601" s="6" t="n"/>
      <c r="J601" s="9" t="n"/>
      <c r="K601" s="11">
        <f>IF(C601="","",N(IFERROR(INDEX(Steps!$E$5:$E$62,MATCH(C601,Steps!$A$5:$A$62,0)),"")))</f>
        <v/>
      </c>
      <c r="L601" s="11">
        <f>IF(AND(C601&lt;&gt;"",E601&lt;&gt;"",I601&lt;&gt;"",OR(Settings!$B$10="No",I601&lt;&gt;E601)),K601*F601,0)</f>
        <v/>
      </c>
      <c r="M601" s="11">
        <f>IF(AND(AND(C601&lt;&gt;"",E601&lt;&gt;"",I601&lt;&gt;"",OR(Settings!$B$10="No",I601&lt;&gt;E601)),G601="Paid a pro",Settings!$B$9="Yes"),MAX(0,H601-K601*F601),0)</f>
        <v/>
      </c>
      <c r="N601" s="3">
        <f>IF(C601="","",IF(B601="","Enter the boat number",IF(B601&gt;Settings!$B$6,"Boat number above the boat count",IF(SUMIFS($F$5:$F$1004,$B$5:$B$1004,B601,$C$5:$C$1004,C601)&gt;1.0001,"Shares for this step add up to over 100%",IF(I601="","Waiting for sign-off",IF(AND(Settings!$B$10="Yes",I601=E601),"Needs a different member to sign off","OK"))))))</f>
        <v/>
      </c>
    </row>
    <row r="602">
      <c r="A602" s="9" t="n"/>
      <c r="B602" s="6" t="n"/>
      <c r="C602" s="6" t="n"/>
      <c r="D602" s="3">
        <f>IF(C602="","",IFERROR(INDEX(Steps!$C$5:$C$62,MATCH(C602,Steps!$A$5:$A$62,0)),""))</f>
        <v/>
      </c>
      <c r="E602" s="6" t="n"/>
      <c r="F602" s="8" t="n"/>
      <c r="G602" s="6" t="n"/>
      <c r="H602" s="7" t="n"/>
      <c r="I602" s="6" t="n"/>
      <c r="J602" s="9" t="n"/>
      <c r="K602" s="11">
        <f>IF(C602="","",N(IFERROR(INDEX(Steps!$E$5:$E$62,MATCH(C602,Steps!$A$5:$A$62,0)),"")))</f>
        <v/>
      </c>
      <c r="L602" s="11">
        <f>IF(AND(C602&lt;&gt;"",E602&lt;&gt;"",I602&lt;&gt;"",OR(Settings!$B$10="No",I602&lt;&gt;E602)),K602*F602,0)</f>
        <v/>
      </c>
      <c r="M602" s="11">
        <f>IF(AND(AND(C602&lt;&gt;"",E602&lt;&gt;"",I602&lt;&gt;"",OR(Settings!$B$10="No",I602&lt;&gt;E602)),G602="Paid a pro",Settings!$B$9="Yes"),MAX(0,H602-K602*F602),0)</f>
        <v/>
      </c>
      <c r="N602" s="3">
        <f>IF(C602="","",IF(B602="","Enter the boat number",IF(B602&gt;Settings!$B$6,"Boat number above the boat count",IF(SUMIFS($F$5:$F$1004,$B$5:$B$1004,B602,$C$5:$C$1004,C602)&gt;1.0001,"Shares for this step add up to over 100%",IF(I602="","Waiting for sign-off",IF(AND(Settings!$B$10="Yes",I602=E602),"Needs a different member to sign off","OK"))))))</f>
        <v/>
      </c>
    </row>
    <row r="603">
      <c r="A603" s="9" t="n"/>
      <c r="B603" s="6" t="n"/>
      <c r="C603" s="6" t="n"/>
      <c r="D603" s="3">
        <f>IF(C603="","",IFERROR(INDEX(Steps!$C$5:$C$62,MATCH(C603,Steps!$A$5:$A$62,0)),""))</f>
        <v/>
      </c>
      <c r="E603" s="6" t="n"/>
      <c r="F603" s="8" t="n"/>
      <c r="G603" s="6" t="n"/>
      <c r="H603" s="7" t="n"/>
      <c r="I603" s="6" t="n"/>
      <c r="J603" s="9" t="n"/>
      <c r="K603" s="11">
        <f>IF(C603="","",N(IFERROR(INDEX(Steps!$E$5:$E$62,MATCH(C603,Steps!$A$5:$A$62,0)),"")))</f>
        <v/>
      </c>
      <c r="L603" s="11">
        <f>IF(AND(C603&lt;&gt;"",E603&lt;&gt;"",I603&lt;&gt;"",OR(Settings!$B$10="No",I603&lt;&gt;E603)),K603*F603,0)</f>
        <v/>
      </c>
      <c r="M603" s="11">
        <f>IF(AND(AND(C603&lt;&gt;"",E603&lt;&gt;"",I603&lt;&gt;"",OR(Settings!$B$10="No",I603&lt;&gt;E603)),G603="Paid a pro",Settings!$B$9="Yes"),MAX(0,H603-K603*F603),0)</f>
        <v/>
      </c>
      <c r="N603" s="3">
        <f>IF(C603="","",IF(B603="","Enter the boat number",IF(B603&gt;Settings!$B$6,"Boat number above the boat count",IF(SUMIFS($F$5:$F$1004,$B$5:$B$1004,B603,$C$5:$C$1004,C603)&gt;1.0001,"Shares for this step add up to over 100%",IF(I603="","Waiting for sign-off",IF(AND(Settings!$B$10="Yes",I603=E603),"Needs a different member to sign off","OK"))))))</f>
        <v/>
      </c>
    </row>
    <row r="604">
      <c r="A604" s="9" t="n"/>
      <c r="B604" s="6" t="n"/>
      <c r="C604" s="6" t="n"/>
      <c r="D604" s="3">
        <f>IF(C604="","",IFERROR(INDEX(Steps!$C$5:$C$62,MATCH(C604,Steps!$A$5:$A$62,0)),""))</f>
        <v/>
      </c>
      <c r="E604" s="6" t="n"/>
      <c r="F604" s="8" t="n"/>
      <c r="G604" s="6" t="n"/>
      <c r="H604" s="7" t="n"/>
      <c r="I604" s="6" t="n"/>
      <c r="J604" s="9" t="n"/>
      <c r="K604" s="11">
        <f>IF(C604="","",N(IFERROR(INDEX(Steps!$E$5:$E$62,MATCH(C604,Steps!$A$5:$A$62,0)),"")))</f>
        <v/>
      </c>
      <c r="L604" s="11">
        <f>IF(AND(C604&lt;&gt;"",E604&lt;&gt;"",I604&lt;&gt;"",OR(Settings!$B$10="No",I604&lt;&gt;E604)),K604*F604,0)</f>
        <v/>
      </c>
      <c r="M604" s="11">
        <f>IF(AND(AND(C604&lt;&gt;"",E604&lt;&gt;"",I604&lt;&gt;"",OR(Settings!$B$10="No",I604&lt;&gt;E604)),G604="Paid a pro",Settings!$B$9="Yes"),MAX(0,H604-K604*F604),0)</f>
        <v/>
      </c>
      <c r="N604" s="3">
        <f>IF(C604="","",IF(B604="","Enter the boat number",IF(B604&gt;Settings!$B$6,"Boat number above the boat count",IF(SUMIFS($F$5:$F$1004,$B$5:$B$1004,B604,$C$5:$C$1004,C604)&gt;1.0001,"Shares for this step add up to over 100%",IF(I604="","Waiting for sign-off",IF(AND(Settings!$B$10="Yes",I604=E604),"Needs a different member to sign off","OK"))))))</f>
        <v/>
      </c>
    </row>
    <row r="605">
      <c r="A605" s="9" t="n"/>
      <c r="B605" s="6" t="n"/>
      <c r="C605" s="6" t="n"/>
      <c r="D605" s="3">
        <f>IF(C605="","",IFERROR(INDEX(Steps!$C$5:$C$62,MATCH(C605,Steps!$A$5:$A$62,0)),""))</f>
        <v/>
      </c>
      <c r="E605" s="6" t="n"/>
      <c r="F605" s="8" t="n"/>
      <c r="G605" s="6" t="n"/>
      <c r="H605" s="7" t="n"/>
      <c r="I605" s="6" t="n"/>
      <c r="J605" s="9" t="n"/>
      <c r="K605" s="11">
        <f>IF(C605="","",N(IFERROR(INDEX(Steps!$E$5:$E$62,MATCH(C605,Steps!$A$5:$A$62,0)),"")))</f>
        <v/>
      </c>
      <c r="L605" s="11">
        <f>IF(AND(C605&lt;&gt;"",E605&lt;&gt;"",I605&lt;&gt;"",OR(Settings!$B$10="No",I605&lt;&gt;E605)),K605*F605,0)</f>
        <v/>
      </c>
      <c r="M605" s="11">
        <f>IF(AND(AND(C605&lt;&gt;"",E605&lt;&gt;"",I605&lt;&gt;"",OR(Settings!$B$10="No",I605&lt;&gt;E605)),G605="Paid a pro",Settings!$B$9="Yes"),MAX(0,H605-K605*F605),0)</f>
        <v/>
      </c>
      <c r="N605" s="3">
        <f>IF(C605="","",IF(B605="","Enter the boat number",IF(B605&gt;Settings!$B$6,"Boat number above the boat count",IF(SUMIFS($F$5:$F$1004,$B$5:$B$1004,B605,$C$5:$C$1004,C605)&gt;1.0001,"Shares for this step add up to over 100%",IF(I605="","Waiting for sign-off",IF(AND(Settings!$B$10="Yes",I605=E605),"Needs a different member to sign off","OK"))))))</f>
        <v/>
      </c>
    </row>
    <row r="606">
      <c r="A606" s="9" t="n"/>
      <c r="B606" s="6" t="n"/>
      <c r="C606" s="6" t="n"/>
      <c r="D606" s="3">
        <f>IF(C606="","",IFERROR(INDEX(Steps!$C$5:$C$62,MATCH(C606,Steps!$A$5:$A$62,0)),""))</f>
        <v/>
      </c>
      <c r="E606" s="6" t="n"/>
      <c r="F606" s="8" t="n"/>
      <c r="G606" s="6" t="n"/>
      <c r="H606" s="7" t="n"/>
      <c r="I606" s="6" t="n"/>
      <c r="J606" s="9" t="n"/>
      <c r="K606" s="11">
        <f>IF(C606="","",N(IFERROR(INDEX(Steps!$E$5:$E$62,MATCH(C606,Steps!$A$5:$A$62,0)),"")))</f>
        <v/>
      </c>
      <c r="L606" s="11">
        <f>IF(AND(C606&lt;&gt;"",E606&lt;&gt;"",I606&lt;&gt;"",OR(Settings!$B$10="No",I606&lt;&gt;E606)),K606*F606,0)</f>
        <v/>
      </c>
      <c r="M606" s="11">
        <f>IF(AND(AND(C606&lt;&gt;"",E606&lt;&gt;"",I606&lt;&gt;"",OR(Settings!$B$10="No",I606&lt;&gt;E606)),G606="Paid a pro",Settings!$B$9="Yes"),MAX(0,H606-K606*F606),0)</f>
        <v/>
      </c>
      <c r="N606" s="3">
        <f>IF(C606="","",IF(B606="","Enter the boat number",IF(B606&gt;Settings!$B$6,"Boat number above the boat count",IF(SUMIFS($F$5:$F$1004,$B$5:$B$1004,B606,$C$5:$C$1004,C606)&gt;1.0001,"Shares for this step add up to over 100%",IF(I606="","Waiting for sign-off",IF(AND(Settings!$B$10="Yes",I606=E606),"Needs a different member to sign off","OK"))))))</f>
        <v/>
      </c>
    </row>
    <row r="607">
      <c r="A607" s="9" t="n"/>
      <c r="B607" s="6" t="n"/>
      <c r="C607" s="6" t="n"/>
      <c r="D607" s="3">
        <f>IF(C607="","",IFERROR(INDEX(Steps!$C$5:$C$62,MATCH(C607,Steps!$A$5:$A$62,0)),""))</f>
        <v/>
      </c>
      <c r="E607" s="6" t="n"/>
      <c r="F607" s="8" t="n"/>
      <c r="G607" s="6" t="n"/>
      <c r="H607" s="7" t="n"/>
      <c r="I607" s="6" t="n"/>
      <c r="J607" s="9" t="n"/>
      <c r="K607" s="11">
        <f>IF(C607="","",N(IFERROR(INDEX(Steps!$E$5:$E$62,MATCH(C607,Steps!$A$5:$A$62,0)),"")))</f>
        <v/>
      </c>
      <c r="L607" s="11">
        <f>IF(AND(C607&lt;&gt;"",E607&lt;&gt;"",I607&lt;&gt;"",OR(Settings!$B$10="No",I607&lt;&gt;E607)),K607*F607,0)</f>
        <v/>
      </c>
      <c r="M607" s="11">
        <f>IF(AND(AND(C607&lt;&gt;"",E607&lt;&gt;"",I607&lt;&gt;"",OR(Settings!$B$10="No",I607&lt;&gt;E607)),G607="Paid a pro",Settings!$B$9="Yes"),MAX(0,H607-K607*F607),0)</f>
        <v/>
      </c>
      <c r="N607" s="3">
        <f>IF(C607="","",IF(B607="","Enter the boat number",IF(B607&gt;Settings!$B$6,"Boat number above the boat count",IF(SUMIFS($F$5:$F$1004,$B$5:$B$1004,B607,$C$5:$C$1004,C607)&gt;1.0001,"Shares for this step add up to over 100%",IF(I607="","Waiting for sign-off",IF(AND(Settings!$B$10="Yes",I607=E607),"Needs a different member to sign off","OK"))))))</f>
        <v/>
      </c>
    </row>
    <row r="608">
      <c r="A608" s="9" t="n"/>
      <c r="B608" s="6" t="n"/>
      <c r="C608" s="6" t="n"/>
      <c r="D608" s="3">
        <f>IF(C608="","",IFERROR(INDEX(Steps!$C$5:$C$62,MATCH(C608,Steps!$A$5:$A$62,0)),""))</f>
        <v/>
      </c>
      <c r="E608" s="6" t="n"/>
      <c r="F608" s="8" t="n"/>
      <c r="G608" s="6" t="n"/>
      <c r="H608" s="7" t="n"/>
      <c r="I608" s="6" t="n"/>
      <c r="J608" s="9" t="n"/>
      <c r="K608" s="11">
        <f>IF(C608="","",N(IFERROR(INDEX(Steps!$E$5:$E$62,MATCH(C608,Steps!$A$5:$A$62,0)),"")))</f>
        <v/>
      </c>
      <c r="L608" s="11">
        <f>IF(AND(C608&lt;&gt;"",E608&lt;&gt;"",I608&lt;&gt;"",OR(Settings!$B$10="No",I608&lt;&gt;E608)),K608*F608,0)</f>
        <v/>
      </c>
      <c r="M608" s="11">
        <f>IF(AND(AND(C608&lt;&gt;"",E608&lt;&gt;"",I608&lt;&gt;"",OR(Settings!$B$10="No",I608&lt;&gt;E608)),G608="Paid a pro",Settings!$B$9="Yes"),MAX(0,H608-K608*F608),0)</f>
        <v/>
      </c>
      <c r="N608" s="3">
        <f>IF(C608="","",IF(B608="","Enter the boat number",IF(B608&gt;Settings!$B$6,"Boat number above the boat count",IF(SUMIFS($F$5:$F$1004,$B$5:$B$1004,B608,$C$5:$C$1004,C608)&gt;1.0001,"Shares for this step add up to over 100%",IF(I608="","Waiting for sign-off",IF(AND(Settings!$B$10="Yes",I608=E608),"Needs a different member to sign off","OK"))))))</f>
        <v/>
      </c>
    </row>
    <row r="609">
      <c r="A609" s="9" t="n"/>
      <c r="B609" s="6" t="n"/>
      <c r="C609" s="6" t="n"/>
      <c r="D609" s="3">
        <f>IF(C609="","",IFERROR(INDEX(Steps!$C$5:$C$62,MATCH(C609,Steps!$A$5:$A$62,0)),""))</f>
        <v/>
      </c>
      <c r="E609" s="6" t="n"/>
      <c r="F609" s="8" t="n"/>
      <c r="G609" s="6" t="n"/>
      <c r="H609" s="7" t="n"/>
      <c r="I609" s="6" t="n"/>
      <c r="J609" s="9" t="n"/>
      <c r="K609" s="11">
        <f>IF(C609="","",N(IFERROR(INDEX(Steps!$E$5:$E$62,MATCH(C609,Steps!$A$5:$A$62,0)),"")))</f>
        <v/>
      </c>
      <c r="L609" s="11">
        <f>IF(AND(C609&lt;&gt;"",E609&lt;&gt;"",I609&lt;&gt;"",OR(Settings!$B$10="No",I609&lt;&gt;E609)),K609*F609,0)</f>
        <v/>
      </c>
      <c r="M609" s="11">
        <f>IF(AND(AND(C609&lt;&gt;"",E609&lt;&gt;"",I609&lt;&gt;"",OR(Settings!$B$10="No",I609&lt;&gt;E609)),G609="Paid a pro",Settings!$B$9="Yes"),MAX(0,H609-K609*F609),0)</f>
        <v/>
      </c>
      <c r="N609" s="3">
        <f>IF(C609="","",IF(B609="","Enter the boat number",IF(B609&gt;Settings!$B$6,"Boat number above the boat count",IF(SUMIFS($F$5:$F$1004,$B$5:$B$1004,B609,$C$5:$C$1004,C609)&gt;1.0001,"Shares for this step add up to over 100%",IF(I609="","Waiting for sign-off",IF(AND(Settings!$B$10="Yes",I609=E609),"Needs a different member to sign off","OK"))))))</f>
        <v/>
      </c>
    </row>
    <row r="610">
      <c r="A610" s="9" t="n"/>
      <c r="B610" s="6" t="n"/>
      <c r="C610" s="6" t="n"/>
      <c r="D610" s="3">
        <f>IF(C610="","",IFERROR(INDEX(Steps!$C$5:$C$62,MATCH(C610,Steps!$A$5:$A$62,0)),""))</f>
        <v/>
      </c>
      <c r="E610" s="6" t="n"/>
      <c r="F610" s="8" t="n"/>
      <c r="G610" s="6" t="n"/>
      <c r="H610" s="7" t="n"/>
      <c r="I610" s="6" t="n"/>
      <c r="J610" s="9" t="n"/>
      <c r="K610" s="11">
        <f>IF(C610="","",N(IFERROR(INDEX(Steps!$E$5:$E$62,MATCH(C610,Steps!$A$5:$A$62,0)),"")))</f>
        <v/>
      </c>
      <c r="L610" s="11">
        <f>IF(AND(C610&lt;&gt;"",E610&lt;&gt;"",I610&lt;&gt;"",OR(Settings!$B$10="No",I610&lt;&gt;E610)),K610*F610,0)</f>
        <v/>
      </c>
      <c r="M610" s="11">
        <f>IF(AND(AND(C610&lt;&gt;"",E610&lt;&gt;"",I610&lt;&gt;"",OR(Settings!$B$10="No",I610&lt;&gt;E610)),G610="Paid a pro",Settings!$B$9="Yes"),MAX(0,H610-K610*F610),0)</f>
        <v/>
      </c>
      <c r="N610" s="3">
        <f>IF(C610="","",IF(B610="","Enter the boat number",IF(B610&gt;Settings!$B$6,"Boat number above the boat count",IF(SUMIFS($F$5:$F$1004,$B$5:$B$1004,B610,$C$5:$C$1004,C610)&gt;1.0001,"Shares for this step add up to over 100%",IF(I610="","Waiting for sign-off",IF(AND(Settings!$B$10="Yes",I610=E610),"Needs a different member to sign off","OK"))))))</f>
        <v/>
      </c>
    </row>
    <row r="611">
      <c r="A611" s="9" t="n"/>
      <c r="B611" s="6" t="n"/>
      <c r="C611" s="6" t="n"/>
      <c r="D611" s="3">
        <f>IF(C611="","",IFERROR(INDEX(Steps!$C$5:$C$62,MATCH(C611,Steps!$A$5:$A$62,0)),""))</f>
        <v/>
      </c>
      <c r="E611" s="6" t="n"/>
      <c r="F611" s="8" t="n"/>
      <c r="G611" s="6" t="n"/>
      <c r="H611" s="7" t="n"/>
      <c r="I611" s="6" t="n"/>
      <c r="J611" s="9" t="n"/>
      <c r="K611" s="11">
        <f>IF(C611="","",N(IFERROR(INDEX(Steps!$E$5:$E$62,MATCH(C611,Steps!$A$5:$A$62,0)),"")))</f>
        <v/>
      </c>
      <c r="L611" s="11">
        <f>IF(AND(C611&lt;&gt;"",E611&lt;&gt;"",I611&lt;&gt;"",OR(Settings!$B$10="No",I611&lt;&gt;E611)),K611*F611,0)</f>
        <v/>
      </c>
      <c r="M611" s="11">
        <f>IF(AND(AND(C611&lt;&gt;"",E611&lt;&gt;"",I611&lt;&gt;"",OR(Settings!$B$10="No",I611&lt;&gt;E611)),G611="Paid a pro",Settings!$B$9="Yes"),MAX(0,H611-K611*F611),0)</f>
        <v/>
      </c>
      <c r="N611" s="3">
        <f>IF(C611="","",IF(B611="","Enter the boat number",IF(B611&gt;Settings!$B$6,"Boat number above the boat count",IF(SUMIFS($F$5:$F$1004,$B$5:$B$1004,B611,$C$5:$C$1004,C611)&gt;1.0001,"Shares for this step add up to over 100%",IF(I611="","Waiting for sign-off",IF(AND(Settings!$B$10="Yes",I611=E611),"Needs a different member to sign off","OK"))))))</f>
        <v/>
      </c>
    </row>
    <row r="612">
      <c r="A612" s="9" t="n"/>
      <c r="B612" s="6" t="n"/>
      <c r="C612" s="6" t="n"/>
      <c r="D612" s="3">
        <f>IF(C612="","",IFERROR(INDEX(Steps!$C$5:$C$62,MATCH(C612,Steps!$A$5:$A$62,0)),""))</f>
        <v/>
      </c>
      <c r="E612" s="6" t="n"/>
      <c r="F612" s="8" t="n"/>
      <c r="G612" s="6" t="n"/>
      <c r="H612" s="7" t="n"/>
      <c r="I612" s="6" t="n"/>
      <c r="J612" s="9" t="n"/>
      <c r="K612" s="11">
        <f>IF(C612="","",N(IFERROR(INDEX(Steps!$E$5:$E$62,MATCH(C612,Steps!$A$5:$A$62,0)),"")))</f>
        <v/>
      </c>
      <c r="L612" s="11">
        <f>IF(AND(C612&lt;&gt;"",E612&lt;&gt;"",I612&lt;&gt;"",OR(Settings!$B$10="No",I612&lt;&gt;E612)),K612*F612,0)</f>
        <v/>
      </c>
      <c r="M612" s="11">
        <f>IF(AND(AND(C612&lt;&gt;"",E612&lt;&gt;"",I612&lt;&gt;"",OR(Settings!$B$10="No",I612&lt;&gt;E612)),G612="Paid a pro",Settings!$B$9="Yes"),MAX(0,H612-K612*F612),0)</f>
        <v/>
      </c>
      <c r="N612" s="3">
        <f>IF(C612="","",IF(B612="","Enter the boat number",IF(B612&gt;Settings!$B$6,"Boat number above the boat count",IF(SUMIFS($F$5:$F$1004,$B$5:$B$1004,B612,$C$5:$C$1004,C612)&gt;1.0001,"Shares for this step add up to over 100%",IF(I612="","Waiting for sign-off",IF(AND(Settings!$B$10="Yes",I612=E612),"Needs a different member to sign off","OK"))))))</f>
        <v/>
      </c>
    </row>
    <row r="613">
      <c r="A613" s="9" t="n"/>
      <c r="B613" s="6" t="n"/>
      <c r="C613" s="6" t="n"/>
      <c r="D613" s="3">
        <f>IF(C613="","",IFERROR(INDEX(Steps!$C$5:$C$62,MATCH(C613,Steps!$A$5:$A$62,0)),""))</f>
        <v/>
      </c>
      <c r="E613" s="6" t="n"/>
      <c r="F613" s="8" t="n"/>
      <c r="G613" s="6" t="n"/>
      <c r="H613" s="7" t="n"/>
      <c r="I613" s="6" t="n"/>
      <c r="J613" s="9" t="n"/>
      <c r="K613" s="11">
        <f>IF(C613="","",N(IFERROR(INDEX(Steps!$E$5:$E$62,MATCH(C613,Steps!$A$5:$A$62,0)),"")))</f>
        <v/>
      </c>
      <c r="L613" s="11">
        <f>IF(AND(C613&lt;&gt;"",E613&lt;&gt;"",I613&lt;&gt;"",OR(Settings!$B$10="No",I613&lt;&gt;E613)),K613*F613,0)</f>
        <v/>
      </c>
      <c r="M613" s="11">
        <f>IF(AND(AND(C613&lt;&gt;"",E613&lt;&gt;"",I613&lt;&gt;"",OR(Settings!$B$10="No",I613&lt;&gt;E613)),G613="Paid a pro",Settings!$B$9="Yes"),MAX(0,H613-K613*F613),0)</f>
        <v/>
      </c>
      <c r="N613" s="3">
        <f>IF(C613="","",IF(B613="","Enter the boat number",IF(B613&gt;Settings!$B$6,"Boat number above the boat count",IF(SUMIFS($F$5:$F$1004,$B$5:$B$1004,B613,$C$5:$C$1004,C613)&gt;1.0001,"Shares for this step add up to over 100%",IF(I613="","Waiting for sign-off",IF(AND(Settings!$B$10="Yes",I613=E613),"Needs a different member to sign off","OK"))))))</f>
        <v/>
      </c>
    </row>
    <row r="614">
      <c r="A614" s="9" t="n"/>
      <c r="B614" s="6" t="n"/>
      <c r="C614" s="6" t="n"/>
      <c r="D614" s="3">
        <f>IF(C614="","",IFERROR(INDEX(Steps!$C$5:$C$62,MATCH(C614,Steps!$A$5:$A$62,0)),""))</f>
        <v/>
      </c>
      <c r="E614" s="6" t="n"/>
      <c r="F614" s="8" t="n"/>
      <c r="G614" s="6" t="n"/>
      <c r="H614" s="7" t="n"/>
      <c r="I614" s="6" t="n"/>
      <c r="J614" s="9" t="n"/>
      <c r="K614" s="11">
        <f>IF(C614="","",N(IFERROR(INDEX(Steps!$E$5:$E$62,MATCH(C614,Steps!$A$5:$A$62,0)),"")))</f>
        <v/>
      </c>
      <c r="L614" s="11">
        <f>IF(AND(C614&lt;&gt;"",E614&lt;&gt;"",I614&lt;&gt;"",OR(Settings!$B$10="No",I614&lt;&gt;E614)),K614*F614,0)</f>
        <v/>
      </c>
      <c r="M614" s="11">
        <f>IF(AND(AND(C614&lt;&gt;"",E614&lt;&gt;"",I614&lt;&gt;"",OR(Settings!$B$10="No",I614&lt;&gt;E614)),G614="Paid a pro",Settings!$B$9="Yes"),MAX(0,H614-K614*F614),0)</f>
        <v/>
      </c>
      <c r="N614" s="3">
        <f>IF(C614="","",IF(B614="","Enter the boat number",IF(B614&gt;Settings!$B$6,"Boat number above the boat count",IF(SUMIFS($F$5:$F$1004,$B$5:$B$1004,B614,$C$5:$C$1004,C614)&gt;1.0001,"Shares for this step add up to over 100%",IF(I614="","Waiting for sign-off",IF(AND(Settings!$B$10="Yes",I614=E614),"Needs a different member to sign off","OK"))))))</f>
        <v/>
      </c>
    </row>
    <row r="615">
      <c r="A615" s="9" t="n"/>
      <c r="B615" s="6" t="n"/>
      <c r="C615" s="6" t="n"/>
      <c r="D615" s="3">
        <f>IF(C615="","",IFERROR(INDEX(Steps!$C$5:$C$62,MATCH(C615,Steps!$A$5:$A$62,0)),""))</f>
        <v/>
      </c>
      <c r="E615" s="6" t="n"/>
      <c r="F615" s="8" t="n"/>
      <c r="G615" s="6" t="n"/>
      <c r="H615" s="7" t="n"/>
      <c r="I615" s="6" t="n"/>
      <c r="J615" s="9" t="n"/>
      <c r="K615" s="11">
        <f>IF(C615="","",N(IFERROR(INDEX(Steps!$E$5:$E$62,MATCH(C615,Steps!$A$5:$A$62,0)),"")))</f>
        <v/>
      </c>
      <c r="L615" s="11">
        <f>IF(AND(C615&lt;&gt;"",E615&lt;&gt;"",I615&lt;&gt;"",OR(Settings!$B$10="No",I615&lt;&gt;E615)),K615*F615,0)</f>
        <v/>
      </c>
      <c r="M615" s="11">
        <f>IF(AND(AND(C615&lt;&gt;"",E615&lt;&gt;"",I615&lt;&gt;"",OR(Settings!$B$10="No",I615&lt;&gt;E615)),G615="Paid a pro",Settings!$B$9="Yes"),MAX(0,H615-K615*F615),0)</f>
        <v/>
      </c>
      <c r="N615" s="3">
        <f>IF(C615="","",IF(B615="","Enter the boat number",IF(B615&gt;Settings!$B$6,"Boat number above the boat count",IF(SUMIFS($F$5:$F$1004,$B$5:$B$1004,B615,$C$5:$C$1004,C615)&gt;1.0001,"Shares for this step add up to over 100%",IF(I615="","Waiting for sign-off",IF(AND(Settings!$B$10="Yes",I615=E615),"Needs a different member to sign off","OK"))))))</f>
        <v/>
      </c>
    </row>
    <row r="616">
      <c r="A616" s="9" t="n"/>
      <c r="B616" s="6" t="n"/>
      <c r="C616" s="6" t="n"/>
      <c r="D616" s="3">
        <f>IF(C616="","",IFERROR(INDEX(Steps!$C$5:$C$62,MATCH(C616,Steps!$A$5:$A$62,0)),""))</f>
        <v/>
      </c>
      <c r="E616" s="6" t="n"/>
      <c r="F616" s="8" t="n"/>
      <c r="G616" s="6" t="n"/>
      <c r="H616" s="7" t="n"/>
      <c r="I616" s="6" t="n"/>
      <c r="J616" s="9" t="n"/>
      <c r="K616" s="11">
        <f>IF(C616="","",N(IFERROR(INDEX(Steps!$E$5:$E$62,MATCH(C616,Steps!$A$5:$A$62,0)),"")))</f>
        <v/>
      </c>
      <c r="L616" s="11">
        <f>IF(AND(C616&lt;&gt;"",E616&lt;&gt;"",I616&lt;&gt;"",OR(Settings!$B$10="No",I616&lt;&gt;E616)),K616*F616,0)</f>
        <v/>
      </c>
      <c r="M616" s="11">
        <f>IF(AND(AND(C616&lt;&gt;"",E616&lt;&gt;"",I616&lt;&gt;"",OR(Settings!$B$10="No",I616&lt;&gt;E616)),G616="Paid a pro",Settings!$B$9="Yes"),MAX(0,H616-K616*F616),0)</f>
        <v/>
      </c>
      <c r="N616" s="3">
        <f>IF(C616="","",IF(B616="","Enter the boat number",IF(B616&gt;Settings!$B$6,"Boat number above the boat count",IF(SUMIFS($F$5:$F$1004,$B$5:$B$1004,B616,$C$5:$C$1004,C616)&gt;1.0001,"Shares for this step add up to over 100%",IF(I616="","Waiting for sign-off",IF(AND(Settings!$B$10="Yes",I616=E616),"Needs a different member to sign off","OK"))))))</f>
        <v/>
      </c>
    </row>
    <row r="617">
      <c r="A617" s="9" t="n"/>
      <c r="B617" s="6" t="n"/>
      <c r="C617" s="6" t="n"/>
      <c r="D617" s="3">
        <f>IF(C617="","",IFERROR(INDEX(Steps!$C$5:$C$62,MATCH(C617,Steps!$A$5:$A$62,0)),""))</f>
        <v/>
      </c>
      <c r="E617" s="6" t="n"/>
      <c r="F617" s="8" t="n"/>
      <c r="G617" s="6" t="n"/>
      <c r="H617" s="7" t="n"/>
      <c r="I617" s="6" t="n"/>
      <c r="J617" s="9" t="n"/>
      <c r="K617" s="11">
        <f>IF(C617="","",N(IFERROR(INDEX(Steps!$E$5:$E$62,MATCH(C617,Steps!$A$5:$A$62,0)),"")))</f>
        <v/>
      </c>
      <c r="L617" s="11">
        <f>IF(AND(C617&lt;&gt;"",E617&lt;&gt;"",I617&lt;&gt;"",OR(Settings!$B$10="No",I617&lt;&gt;E617)),K617*F617,0)</f>
        <v/>
      </c>
      <c r="M617" s="11">
        <f>IF(AND(AND(C617&lt;&gt;"",E617&lt;&gt;"",I617&lt;&gt;"",OR(Settings!$B$10="No",I617&lt;&gt;E617)),G617="Paid a pro",Settings!$B$9="Yes"),MAX(0,H617-K617*F617),0)</f>
        <v/>
      </c>
      <c r="N617" s="3">
        <f>IF(C617="","",IF(B617="","Enter the boat number",IF(B617&gt;Settings!$B$6,"Boat number above the boat count",IF(SUMIFS($F$5:$F$1004,$B$5:$B$1004,B617,$C$5:$C$1004,C617)&gt;1.0001,"Shares for this step add up to over 100%",IF(I617="","Waiting for sign-off",IF(AND(Settings!$B$10="Yes",I617=E617),"Needs a different member to sign off","OK"))))))</f>
        <v/>
      </c>
    </row>
    <row r="618">
      <c r="A618" s="9" t="n"/>
      <c r="B618" s="6" t="n"/>
      <c r="C618" s="6" t="n"/>
      <c r="D618" s="3">
        <f>IF(C618="","",IFERROR(INDEX(Steps!$C$5:$C$62,MATCH(C618,Steps!$A$5:$A$62,0)),""))</f>
        <v/>
      </c>
      <c r="E618" s="6" t="n"/>
      <c r="F618" s="8" t="n"/>
      <c r="G618" s="6" t="n"/>
      <c r="H618" s="7" t="n"/>
      <c r="I618" s="6" t="n"/>
      <c r="J618" s="9" t="n"/>
      <c r="K618" s="11">
        <f>IF(C618="","",N(IFERROR(INDEX(Steps!$E$5:$E$62,MATCH(C618,Steps!$A$5:$A$62,0)),"")))</f>
        <v/>
      </c>
      <c r="L618" s="11">
        <f>IF(AND(C618&lt;&gt;"",E618&lt;&gt;"",I618&lt;&gt;"",OR(Settings!$B$10="No",I618&lt;&gt;E618)),K618*F618,0)</f>
        <v/>
      </c>
      <c r="M618" s="11">
        <f>IF(AND(AND(C618&lt;&gt;"",E618&lt;&gt;"",I618&lt;&gt;"",OR(Settings!$B$10="No",I618&lt;&gt;E618)),G618="Paid a pro",Settings!$B$9="Yes"),MAX(0,H618-K618*F618),0)</f>
        <v/>
      </c>
      <c r="N618" s="3">
        <f>IF(C618="","",IF(B618="","Enter the boat number",IF(B618&gt;Settings!$B$6,"Boat number above the boat count",IF(SUMIFS($F$5:$F$1004,$B$5:$B$1004,B618,$C$5:$C$1004,C618)&gt;1.0001,"Shares for this step add up to over 100%",IF(I618="","Waiting for sign-off",IF(AND(Settings!$B$10="Yes",I618=E618),"Needs a different member to sign off","OK"))))))</f>
        <v/>
      </c>
    </row>
    <row r="619">
      <c r="A619" s="9" t="n"/>
      <c r="B619" s="6" t="n"/>
      <c r="C619" s="6" t="n"/>
      <c r="D619" s="3">
        <f>IF(C619="","",IFERROR(INDEX(Steps!$C$5:$C$62,MATCH(C619,Steps!$A$5:$A$62,0)),""))</f>
        <v/>
      </c>
      <c r="E619" s="6" t="n"/>
      <c r="F619" s="8" t="n"/>
      <c r="G619" s="6" t="n"/>
      <c r="H619" s="7" t="n"/>
      <c r="I619" s="6" t="n"/>
      <c r="J619" s="9" t="n"/>
      <c r="K619" s="11">
        <f>IF(C619="","",N(IFERROR(INDEX(Steps!$E$5:$E$62,MATCH(C619,Steps!$A$5:$A$62,0)),"")))</f>
        <v/>
      </c>
      <c r="L619" s="11">
        <f>IF(AND(C619&lt;&gt;"",E619&lt;&gt;"",I619&lt;&gt;"",OR(Settings!$B$10="No",I619&lt;&gt;E619)),K619*F619,0)</f>
        <v/>
      </c>
      <c r="M619" s="11">
        <f>IF(AND(AND(C619&lt;&gt;"",E619&lt;&gt;"",I619&lt;&gt;"",OR(Settings!$B$10="No",I619&lt;&gt;E619)),G619="Paid a pro",Settings!$B$9="Yes"),MAX(0,H619-K619*F619),0)</f>
        <v/>
      </c>
      <c r="N619" s="3">
        <f>IF(C619="","",IF(B619="","Enter the boat number",IF(B619&gt;Settings!$B$6,"Boat number above the boat count",IF(SUMIFS($F$5:$F$1004,$B$5:$B$1004,B619,$C$5:$C$1004,C619)&gt;1.0001,"Shares for this step add up to over 100%",IF(I619="","Waiting for sign-off",IF(AND(Settings!$B$10="Yes",I619=E619),"Needs a different member to sign off","OK"))))))</f>
        <v/>
      </c>
    </row>
    <row r="620">
      <c r="A620" s="9" t="n"/>
      <c r="B620" s="6" t="n"/>
      <c r="C620" s="6" t="n"/>
      <c r="D620" s="3">
        <f>IF(C620="","",IFERROR(INDEX(Steps!$C$5:$C$62,MATCH(C620,Steps!$A$5:$A$62,0)),""))</f>
        <v/>
      </c>
      <c r="E620" s="6" t="n"/>
      <c r="F620" s="8" t="n"/>
      <c r="G620" s="6" t="n"/>
      <c r="H620" s="7" t="n"/>
      <c r="I620" s="6" t="n"/>
      <c r="J620" s="9" t="n"/>
      <c r="K620" s="11">
        <f>IF(C620="","",N(IFERROR(INDEX(Steps!$E$5:$E$62,MATCH(C620,Steps!$A$5:$A$62,0)),"")))</f>
        <v/>
      </c>
      <c r="L620" s="11">
        <f>IF(AND(C620&lt;&gt;"",E620&lt;&gt;"",I620&lt;&gt;"",OR(Settings!$B$10="No",I620&lt;&gt;E620)),K620*F620,0)</f>
        <v/>
      </c>
      <c r="M620" s="11">
        <f>IF(AND(AND(C620&lt;&gt;"",E620&lt;&gt;"",I620&lt;&gt;"",OR(Settings!$B$10="No",I620&lt;&gt;E620)),G620="Paid a pro",Settings!$B$9="Yes"),MAX(0,H620-K620*F620),0)</f>
        <v/>
      </c>
      <c r="N620" s="3">
        <f>IF(C620="","",IF(B620="","Enter the boat number",IF(B620&gt;Settings!$B$6,"Boat number above the boat count",IF(SUMIFS($F$5:$F$1004,$B$5:$B$1004,B620,$C$5:$C$1004,C620)&gt;1.0001,"Shares for this step add up to over 100%",IF(I620="","Waiting for sign-off",IF(AND(Settings!$B$10="Yes",I620=E620),"Needs a different member to sign off","OK"))))))</f>
        <v/>
      </c>
    </row>
    <row r="621">
      <c r="A621" s="9" t="n"/>
      <c r="B621" s="6" t="n"/>
      <c r="C621" s="6" t="n"/>
      <c r="D621" s="3">
        <f>IF(C621="","",IFERROR(INDEX(Steps!$C$5:$C$62,MATCH(C621,Steps!$A$5:$A$62,0)),""))</f>
        <v/>
      </c>
      <c r="E621" s="6" t="n"/>
      <c r="F621" s="8" t="n"/>
      <c r="G621" s="6" t="n"/>
      <c r="H621" s="7" t="n"/>
      <c r="I621" s="6" t="n"/>
      <c r="J621" s="9" t="n"/>
      <c r="K621" s="11">
        <f>IF(C621="","",N(IFERROR(INDEX(Steps!$E$5:$E$62,MATCH(C621,Steps!$A$5:$A$62,0)),"")))</f>
        <v/>
      </c>
      <c r="L621" s="11">
        <f>IF(AND(C621&lt;&gt;"",E621&lt;&gt;"",I621&lt;&gt;"",OR(Settings!$B$10="No",I621&lt;&gt;E621)),K621*F621,0)</f>
        <v/>
      </c>
      <c r="M621" s="11">
        <f>IF(AND(AND(C621&lt;&gt;"",E621&lt;&gt;"",I621&lt;&gt;"",OR(Settings!$B$10="No",I621&lt;&gt;E621)),G621="Paid a pro",Settings!$B$9="Yes"),MAX(0,H621-K621*F621),0)</f>
        <v/>
      </c>
      <c r="N621" s="3">
        <f>IF(C621="","",IF(B621="","Enter the boat number",IF(B621&gt;Settings!$B$6,"Boat number above the boat count",IF(SUMIFS($F$5:$F$1004,$B$5:$B$1004,B621,$C$5:$C$1004,C621)&gt;1.0001,"Shares for this step add up to over 100%",IF(I621="","Waiting for sign-off",IF(AND(Settings!$B$10="Yes",I621=E621),"Needs a different member to sign off","OK"))))))</f>
        <v/>
      </c>
    </row>
    <row r="622">
      <c r="A622" s="9" t="n"/>
      <c r="B622" s="6" t="n"/>
      <c r="C622" s="6" t="n"/>
      <c r="D622" s="3">
        <f>IF(C622="","",IFERROR(INDEX(Steps!$C$5:$C$62,MATCH(C622,Steps!$A$5:$A$62,0)),""))</f>
        <v/>
      </c>
      <c r="E622" s="6" t="n"/>
      <c r="F622" s="8" t="n"/>
      <c r="G622" s="6" t="n"/>
      <c r="H622" s="7" t="n"/>
      <c r="I622" s="6" t="n"/>
      <c r="J622" s="9" t="n"/>
      <c r="K622" s="11">
        <f>IF(C622="","",N(IFERROR(INDEX(Steps!$E$5:$E$62,MATCH(C622,Steps!$A$5:$A$62,0)),"")))</f>
        <v/>
      </c>
      <c r="L622" s="11">
        <f>IF(AND(C622&lt;&gt;"",E622&lt;&gt;"",I622&lt;&gt;"",OR(Settings!$B$10="No",I622&lt;&gt;E622)),K622*F622,0)</f>
        <v/>
      </c>
      <c r="M622" s="11">
        <f>IF(AND(AND(C622&lt;&gt;"",E622&lt;&gt;"",I622&lt;&gt;"",OR(Settings!$B$10="No",I622&lt;&gt;E622)),G622="Paid a pro",Settings!$B$9="Yes"),MAX(0,H622-K622*F622),0)</f>
        <v/>
      </c>
      <c r="N622" s="3">
        <f>IF(C622="","",IF(B622="","Enter the boat number",IF(B622&gt;Settings!$B$6,"Boat number above the boat count",IF(SUMIFS($F$5:$F$1004,$B$5:$B$1004,B622,$C$5:$C$1004,C622)&gt;1.0001,"Shares for this step add up to over 100%",IF(I622="","Waiting for sign-off",IF(AND(Settings!$B$10="Yes",I622=E622),"Needs a different member to sign off","OK"))))))</f>
        <v/>
      </c>
    </row>
    <row r="623">
      <c r="A623" s="9" t="n"/>
      <c r="B623" s="6" t="n"/>
      <c r="C623" s="6" t="n"/>
      <c r="D623" s="3">
        <f>IF(C623="","",IFERROR(INDEX(Steps!$C$5:$C$62,MATCH(C623,Steps!$A$5:$A$62,0)),""))</f>
        <v/>
      </c>
      <c r="E623" s="6" t="n"/>
      <c r="F623" s="8" t="n"/>
      <c r="G623" s="6" t="n"/>
      <c r="H623" s="7" t="n"/>
      <c r="I623" s="6" t="n"/>
      <c r="J623" s="9" t="n"/>
      <c r="K623" s="11">
        <f>IF(C623="","",N(IFERROR(INDEX(Steps!$E$5:$E$62,MATCH(C623,Steps!$A$5:$A$62,0)),"")))</f>
        <v/>
      </c>
      <c r="L623" s="11">
        <f>IF(AND(C623&lt;&gt;"",E623&lt;&gt;"",I623&lt;&gt;"",OR(Settings!$B$10="No",I623&lt;&gt;E623)),K623*F623,0)</f>
        <v/>
      </c>
      <c r="M623" s="11">
        <f>IF(AND(AND(C623&lt;&gt;"",E623&lt;&gt;"",I623&lt;&gt;"",OR(Settings!$B$10="No",I623&lt;&gt;E623)),G623="Paid a pro",Settings!$B$9="Yes"),MAX(0,H623-K623*F623),0)</f>
        <v/>
      </c>
      <c r="N623" s="3">
        <f>IF(C623="","",IF(B623="","Enter the boat number",IF(B623&gt;Settings!$B$6,"Boat number above the boat count",IF(SUMIFS($F$5:$F$1004,$B$5:$B$1004,B623,$C$5:$C$1004,C623)&gt;1.0001,"Shares for this step add up to over 100%",IF(I623="","Waiting for sign-off",IF(AND(Settings!$B$10="Yes",I623=E623),"Needs a different member to sign off","OK"))))))</f>
        <v/>
      </c>
    </row>
    <row r="624">
      <c r="A624" s="9" t="n"/>
      <c r="B624" s="6" t="n"/>
      <c r="C624" s="6" t="n"/>
      <c r="D624" s="3">
        <f>IF(C624="","",IFERROR(INDEX(Steps!$C$5:$C$62,MATCH(C624,Steps!$A$5:$A$62,0)),""))</f>
        <v/>
      </c>
      <c r="E624" s="6" t="n"/>
      <c r="F624" s="8" t="n"/>
      <c r="G624" s="6" t="n"/>
      <c r="H624" s="7" t="n"/>
      <c r="I624" s="6" t="n"/>
      <c r="J624" s="9" t="n"/>
      <c r="K624" s="11">
        <f>IF(C624="","",N(IFERROR(INDEX(Steps!$E$5:$E$62,MATCH(C624,Steps!$A$5:$A$62,0)),"")))</f>
        <v/>
      </c>
      <c r="L624" s="11">
        <f>IF(AND(C624&lt;&gt;"",E624&lt;&gt;"",I624&lt;&gt;"",OR(Settings!$B$10="No",I624&lt;&gt;E624)),K624*F624,0)</f>
        <v/>
      </c>
      <c r="M624" s="11">
        <f>IF(AND(AND(C624&lt;&gt;"",E624&lt;&gt;"",I624&lt;&gt;"",OR(Settings!$B$10="No",I624&lt;&gt;E624)),G624="Paid a pro",Settings!$B$9="Yes"),MAX(0,H624-K624*F624),0)</f>
        <v/>
      </c>
      <c r="N624" s="3">
        <f>IF(C624="","",IF(B624="","Enter the boat number",IF(B624&gt;Settings!$B$6,"Boat number above the boat count",IF(SUMIFS($F$5:$F$1004,$B$5:$B$1004,B624,$C$5:$C$1004,C624)&gt;1.0001,"Shares for this step add up to over 100%",IF(I624="","Waiting for sign-off",IF(AND(Settings!$B$10="Yes",I624=E624),"Needs a different member to sign off","OK"))))))</f>
        <v/>
      </c>
    </row>
    <row r="625">
      <c r="A625" s="9" t="n"/>
      <c r="B625" s="6" t="n"/>
      <c r="C625" s="6" t="n"/>
      <c r="D625" s="3">
        <f>IF(C625="","",IFERROR(INDEX(Steps!$C$5:$C$62,MATCH(C625,Steps!$A$5:$A$62,0)),""))</f>
        <v/>
      </c>
      <c r="E625" s="6" t="n"/>
      <c r="F625" s="8" t="n"/>
      <c r="G625" s="6" t="n"/>
      <c r="H625" s="7" t="n"/>
      <c r="I625" s="6" t="n"/>
      <c r="J625" s="9" t="n"/>
      <c r="K625" s="11">
        <f>IF(C625="","",N(IFERROR(INDEX(Steps!$E$5:$E$62,MATCH(C625,Steps!$A$5:$A$62,0)),"")))</f>
        <v/>
      </c>
      <c r="L625" s="11">
        <f>IF(AND(C625&lt;&gt;"",E625&lt;&gt;"",I625&lt;&gt;"",OR(Settings!$B$10="No",I625&lt;&gt;E625)),K625*F625,0)</f>
        <v/>
      </c>
      <c r="M625" s="11">
        <f>IF(AND(AND(C625&lt;&gt;"",E625&lt;&gt;"",I625&lt;&gt;"",OR(Settings!$B$10="No",I625&lt;&gt;E625)),G625="Paid a pro",Settings!$B$9="Yes"),MAX(0,H625-K625*F625),0)</f>
        <v/>
      </c>
      <c r="N625" s="3">
        <f>IF(C625="","",IF(B625="","Enter the boat number",IF(B625&gt;Settings!$B$6,"Boat number above the boat count",IF(SUMIFS($F$5:$F$1004,$B$5:$B$1004,B625,$C$5:$C$1004,C625)&gt;1.0001,"Shares for this step add up to over 100%",IF(I625="","Waiting for sign-off",IF(AND(Settings!$B$10="Yes",I625=E625),"Needs a different member to sign off","OK"))))))</f>
        <v/>
      </c>
    </row>
    <row r="626">
      <c r="A626" s="9" t="n"/>
      <c r="B626" s="6" t="n"/>
      <c r="C626" s="6" t="n"/>
      <c r="D626" s="3">
        <f>IF(C626="","",IFERROR(INDEX(Steps!$C$5:$C$62,MATCH(C626,Steps!$A$5:$A$62,0)),""))</f>
        <v/>
      </c>
      <c r="E626" s="6" t="n"/>
      <c r="F626" s="8" t="n"/>
      <c r="G626" s="6" t="n"/>
      <c r="H626" s="7" t="n"/>
      <c r="I626" s="6" t="n"/>
      <c r="J626" s="9" t="n"/>
      <c r="K626" s="11">
        <f>IF(C626="","",N(IFERROR(INDEX(Steps!$E$5:$E$62,MATCH(C626,Steps!$A$5:$A$62,0)),"")))</f>
        <v/>
      </c>
      <c r="L626" s="11">
        <f>IF(AND(C626&lt;&gt;"",E626&lt;&gt;"",I626&lt;&gt;"",OR(Settings!$B$10="No",I626&lt;&gt;E626)),K626*F626,0)</f>
        <v/>
      </c>
      <c r="M626" s="11">
        <f>IF(AND(AND(C626&lt;&gt;"",E626&lt;&gt;"",I626&lt;&gt;"",OR(Settings!$B$10="No",I626&lt;&gt;E626)),G626="Paid a pro",Settings!$B$9="Yes"),MAX(0,H626-K626*F626),0)</f>
        <v/>
      </c>
      <c r="N626" s="3">
        <f>IF(C626="","",IF(B626="","Enter the boat number",IF(B626&gt;Settings!$B$6,"Boat number above the boat count",IF(SUMIFS($F$5:$F$1004,$B$5:$B$1004,B626,$C$5:$C$1004,C626)&gt;1.0001,"Shares for this step add up to over 100%",IF(I626="","Waiting for sign-off",IF(AND(Settings!$B$10="Yes",I626=E626),"Needs a different member to sign off","OK"))))))</f>
        <v/>
      </c>
    </row>
    <row r="627">
      <c r="A627" s="9" t="n"/>
      <c r="B627" s="6" t="n"/>
      <c r="C627" s="6" t="n"/>
      <c r="D627" s="3">
        <f>IF(C627="","",IFERROR(INDEX(Steps!$C$5:$C$62,MATCH(C627,Steps!$A$5:$A$62,0)),""))</f>
        <v/>
      </c>
      <c r="E627" s="6" t="n"/>
      <c r="F627" s="8" t="n"/>
      <c r="G627" s="6" t="n"/>
      <c r="H627" s="7" t="n"/>
      <c r="I627" s="6" t="n"/>
      <c r="J627" s="9" t="n"/>
      <c r="K627" s="11">
        <f>IF(C627="","",N(IFERROR(INDEX(Steps!$E$5:$E$62,MATCH(C627,Steps!$A$5:$A$62,0)),"")))</f>
        <v/>
      </c>
      <c r="L627" s="11">
        <f>IF(AND(C627&lt;&gt;"",E627&lt;&gt;"",I627&lt;&gt;"",OR(Settings!$B$10="No",I627&lt;&gt;E627)),K627*F627,0)</f>
        <v/>
      </c>
      <c r="M627" s="11">
        <f>IF(AND(AND(C627&lt;&gt;"",E627&lt;&gt;"",I627&lt;&gt;"",OR(Settings!$B$10="No",I627&lt;&gt;E627)),G627="Paid a pro",Settings!$B$9="Yes"),MAX(0,H627-K627*F627),0)</f>
        <v/>
      </c>
      <c r="N627" s="3">
        <f>IF(C627="","",IF(B627="","Enter the boat number",IF(B627&gt;Settings!$B$6,"Boat number above the boat count",IF(SUMIFS($F$5:$F$1004,$B$5:$B$1004,B627,$C$5:$C$1004,C627)&gt;1.0001,"Shares for this step add up to over 100%",IF(I627="","Waiting for sign-off",IF(AND(Settings!$B$10="Yes",I627=E627),"Needs a different member to sign off","OK"))))))</f>
        <v/>
      </c>
    </row>
    <row r="628">
      <c r="A628" s="9" t="n"/>
      <c r="B628" s="6" t="n"/>
      <c r="C628" s="6" t="n"/>
      <c r="D628" s="3">
        <f>IF(C628="","",IFERROR(INDEX(Steps!$C$5:$C$62,MATCH(C628,Steps!$A$5:$A$62,0)),""))</f>
        <v/>
      </c>
      <c r="E628" s="6" t="n"/>
      <c r="F628" s="8" t="n"/>
      <c r="G628" s="6" t="n"/>
      <c r="H628" s="7" t="n"/>
      <c r="I628" s="6" t="n"/>
      <c r="J628" s="9" t="n"/>
      <c r="K628" s="11">
        <f>IF(C628="","",N(IFERROR(INDEX(Steps!$E$5:$E$62,MATCH(C628,Steps!$A$5:$A$62,0)),"")))</f>
        <v/>
      </c>
      <c r="L628" s="11">
        <f>IF(AND(C628&lt;&gt;"",E628&lt;&gt;"",I628&lt;&gt;"",OR(Settings!$B$10="No",I628&lt;&gt;E628)),K628*F628,0)</f>
        <v/>
      </c>
      <c r="M628" s="11">
        <f>IF(AND(AND(C628&lt;&gt;"",E628&lt;&gt;"",I628&lt;&gt;"",OR(Settings!$B$10="No",I628&lt;&gt;E628)),G628="Paid a pro",Settings!$B$9="Yes"),MAX(0,H628-K628*F628),0)</f>
        <v/>
      </c>
      <c r="N628" s="3">
        <f>IF(C628="","",IF(B628="","Enter the boat number",IF(B628&gt;Settings!$B$6,"Boat number above the boat count",IF(SUMIFS($F$5:$F$1004,$B$5:$B$1004,B628,$C$5:$C$1004,C628)&gt;1.0001,"Shares for this step add up to over 100%",IF(I628="","Waiting for sign-off",IF(AND(Settings!$B$10="Yes",I628=E628),"Needs a different member to sign off","OK"))))))</f>
        <v/>
      </c>
    </row>
    <row r="629">
      <c r="A629" s="9" t="n"/>
      <c r="B629" s="6" t="n"/>
      <c r="C629" s="6" t="n"/>
      <c r="D629" s="3">
        <f>IF(C629="","",IFERROR(INDEX(Steps!$C$5:$C$62,MATCH(C629,Steps!$A$5:$A$62,0)),""))</f>
        <v/>
      </c>
      <c r="E629" s="6" t="n"/>
      <c r="F629" s="8" t="n"/>
      <c r="G629" s="6" t="n"/>
      <c r="H629" s="7" t="n"/>
      <c r="I629" s="6" t="n"/>
      <c r="J629" s="9" t="n"/>
      <c r="K629" s="11">
        <f>IF(C629="","",N(IFERROR(INDEX(Steps!$E$5:$E$62,MATCH(C629,Steps!$A$5:$A$62,0)),"")))</f>
        <v/>
      </c>
      <c r="L629" s="11">
        <f>IF(AND(C629&lt;&gt;"",E629&lt;&gt;"",I629&lt;&gt;"",OR(Settings!$B$10="No",I629&lt;&gt;E629)),K629*F629,0)</f>
        <v/>
      </c>
      <c r="M629" s="11">
        <f>IF(AND(AND(C629&lt;&gt;"",E629&lt;&gt;"",I629&lt;&gt;"",OR(Settings!$B$10="No",I629&lt;&gt;E629)),G629="Paid a pro",Settings!$B$9="Yes"),MAX(0,H629-K629*F629),0)</f>
        <v/>
      </c>
      <c r="N629" s="3">
        <f>IF(C629="","",IF(B629="","Enter the boat number",IF(B629&gt;Settings!$B$6,"Boat number above the boat count",IF(SUMIFS($F$5:$F$1004,$B$5:$B$1004,B629,$C$5:$C$1004,C629)&gt;1.0001,"Shares for this step add up to over 100%",IF(I629="","Waiting for sign-off",IF(AND(Settings!$B$10="Yes",I629=E629),"Needs a different member to sign off","OK"))))))</f>
        <v/>
      </c>
    </row>
    <row r="630">
      <c r="A630" s="9" t="n"/>
      <c r="B630" s="6" t="n"/>
      <c r="C630" s="6" t="n"/>
      <c r="D630" s="3">
        <f>IF(C630="","",IFERROR(INDEX(Steps!$C$5:$C$62,MATCH(C630,Steps!$A$5:$A$62,0)),""))</f>
        <v/>
      </c>
      <c r="E630" s="6" t="n"/>
      <c r="F630" s="8" t="n"/>
      <c r="G630" s="6" t="n"/>
      <c r="H630" s="7" t="n"/>
      <c r="I630" s="6" t="n"/>
      <c r="J630" s="9" t="n"/>
      <c r="K630" s="11">
        <f>IF(C630="","",N(IFERROR(INDEX(Steps!$E$5:$E$62,MATCH(C630,Steps!$A$5:$A$62,0)),"")))</f>
        <v/>
      </c>
      <c r="L630" s="11">
        <f>IF(AND(C630&lt;&gt;"",E630&lt;&gt;"",I630&lt;&gt;"",OR(Settings!$B$10="No",I630&lt;&gt;E630)),K630*F630,0)</f>
        <v/>
      </c>
      <c r="M630" s="11">
        <f>IF(AND(AND(C630&lt;&gt;"",E630&lt;&gt;"",I630&lt;&gt;"",OR(Settings!$B$10="No",I630&lt;&gt;E630)),G630="Paid a pro",Settings!$B$9="Yes"),MAX(0,H630-K630*F630),0)</f>
        <v/>
      </c>
      <c r="N630" s="3">
        <f>IF(C630="","",IF(B630="","Enter the boat number",IF(B630&gt;Settings!$B$6,"Boat number above the boat count",IF(SUMIFS($F$5:$F$1004,$B$5:$B$1004,B630,$C$5:$C$1004,C630)&gt;1.0001,"Shares for this step add up to over 100%",IF(I630="","Waiting for sign-off",IF(AND(Settings!$B$10="Yes",I630=E630),"Needs a different member to sign off","OK"))))))</f>
        <v/>
      </c>
    </row>
    <row r="631">
      <c r="A631" s="9" t="n"/>
      <c r="B631" s="6" t="n"/>
      <c r="C631" s="6" t="n"/>
      <c r="D631" s="3">
        <f>IF(C631="","",IFERROR(INDEX(Steps!$C$5:$C$62,MATCH(C631,Steps!$A$5:$A$62,0)),""))</f>
        <v/>
      </c>
      <c r="E631" s="6" t="n"/>
      <c r="F631" s="8" t="n"/>
      <c r="G631" s="6" t="n"/>
      <c r="H631" s="7" t="n"/>
      <c r="I631" s="6" t="n"/>
      <c r="J631" s="9" t="n"/>
      <c r="K631" s="11">
        <f>IF(C631="","",N(IFERROR(INDEX(Steps!$E$5:$E$62,MATCH(C631,Steps!$A$5:$A$62,0)),"")))</f>
        <v/>
      </c>
      <c r="L631" s="11">
        <f>IF(AND(C631&lt;&gt;"",E631&lt;&gt;"",I631&lt;&gt;"",OR(Settings!$B$10="No",I631&lt;&gt;E631)),K631*F631,0)</f>
        <v/>
      </c>
      <c r="M631" s="11">
        <f>IF(AND(AND(C631&lt;&gt;"",E631&lt;&gt;"",I631&lt;&gt;"",OR(Settings!$B$10="No",I631&lt;&gt;E631)),G631="Paid a pro",Settings!$B$9="Yes"),MAX(0,H631-K631*F631),0)</f>
        <v/>
      </c>
      <c r="N631" s="3">
        <f>IF(C631="","",IF(B631="","Enter the boat number",IF(B631&gt;Settings!$B$6,"Boat number above the boat count",IF(SUMIFS($F$5:$F$1004,$B$5:$B$1004,B631,$C$5:$C$1004,C631)&gt;1.0001,"Shares for this step add up to over 100%",IF(I631="","Waiting for sign-off",IF(AND(Settings!$B$10="Yes",I631=E631),"Needs a different member to sign off","OK"))))))</f>
        <v/>
      </c>
    </row>
    <row r="632">
      <c r="A632" s="9" t="n"/>
      <c r="B632" s="6" t="n"/>
      <c r="C632" s="6" t="n"/>
      <c r="D632" s="3">
        <f>IF(C632="","",IFERROR(INDEX(Steps!$C$5:$C$62,MATCH(C632,Steps!$A$5:$A$62,0)),""))</f>
        <v/>
      </c>
      <c r="E632" s="6" t="n"/>
      <c r="F632" s="8" t="n"/>
      <c r="G632" s="6" t="n"/>
      <c r="H632" s="7" t="n"/>
      <c r="I632" s="6" t="n"/>
      <c r="J632" s="9" t="n"/>
      <c r="K632" s="11">
        <f>IF(C632="","",N(IFERROR(INDEX(Steps!$E$5:$E$62,MATCH(C632,Steps!$A$5:$A$62,0)),"")))</f>
        <v/>
      </c>
      <c r="L632" s="11">
        <f>IF(AND(C632&lt;&gt;"",E632&lt;&gt;"",I632&lt;&gt;"",OR(Settings!$B$10="No",I632&lt;&gt;E632)),K632*F632,0)</f>
        <v/>
      </c>
      <c r="M632" s="11">
        <f>IF(AND(AND(C632&lt;&gt;"",E632&lt;&gt;"",I632&lt;&gt;"",OR(Settings!$B$10="No",I632&lt;&gt;E632)),G632="Paid a pro",Settings!$B$9="Yes"),MAX(0,H632-K632*F632),0)</f>
        <v/>
      </c>
      <c r="N632" s="3">
        <f>IF(C632="","",IF(B632="","Enter the boat number",IF(B632&gt;Settings!$B$6,"Boat number above the boat count",IF(SUMIFS($F$5:$F$1004,$B$5:$B$1004,B632,$C$5:$C$1004,C632)&gt;1.0001,"Shares for this step add up to over 100%",IF(I632="","Waiting for sign-off",IF(AND(Settings!$B$10="Yes",I632=E632),"Needs a different member to sign off","OK"))))))</f>
        <v/>
      </c>
    </row>
    <row r="633">
      <c r="A633" s="9" t="n"/>
      <c r="B633" s="6" t="n"/>
      <c r="C633" s="6" t="n"/>
      <c r="D633" s="3">
        <f>IF(C633="","",IFERROR(INDEX(Steps!$C$5:$C$62,MATCH(C633,Steps!$A$5:$A$62,0)),""))</f>
        <v/>
      </c>
      <c r="E633" s="6" t="n"/>
      <c r="F633" s="8" t="n"/>
      <c r="G633" s="6" t="n"/>
      <c r="H633" s="7" t="n"/>
      <c r="I633" s="6" t="n"/>
      <c r="J633" s="9" t="n"/>
      <c r="K633" s="11">
        <f>IF(C633="","",N(IFERROR(INDEX(Steps!$E$5:$E$62,MATCH(C633,Steps!$A$5:$A$62,0)),"")))</f>
        <v/>
      </c>
      <c r="L633" s="11">
        <f>IF(AND(C633&lt;&gt;"",E633&lt;&gt;"",I633&lt;&gt;"",OR(Settings!$B$10="No",I633&lt;&gt;E633)),K633*F633,0)</f>
        <v/>
      </c>
      <c r="M633" s="11">
        <f>IF(AND(AND(C633&lt;&gt;"",E633&lt;&gt;"",I633&lt;&gt;"",OR(Settings!$B$10="No",I633&lt;&gt;E633)),G633="Paid a pro",Settings!$B$9="Yes"),MAX(0,H633-K633*F633),0)</f>
        <v/>
      </c>
      <c r="N633" s="3">
        <f>IF(C633="","",IF(B633="","Enter the boat number",IF(B633&gt;Settings!$B$6,"Boat number above the boat count",IF(SUMIFS($F$5:$F$1004,$B$5:$B$1004,B633,$C$5:$C$1004,C633)&gt;1.0001,"Shares for this step add up to over 100%",IF(I633="","Waiting for sign-off",IF(AND(Settings!$B$10="Yes",I633=E633),"Needs a different member to sign off","OK"))))))</f>
        <v/>
      </c>
    </row>
    <row r="634">
      <c r="A634" s="9" t="n"/>
      <c r="B634" s="6" t="n"/>
      <c r="C634" s="6" t="n"/>
      <c r="D634" s="3">
        <f>IF(C634="","",IFERROR(INDEX(Steps!$C$5:$C$62,MATCH(C634,Steps!$A$5:$A$62,0)),""))</f>
        <v/>
      </c>
      <c r="E634" s="6" t="n"/>
      <c r="F634" s="8" t="n"/>
      <c r="G634" s="6" t="n"/>
      <c r="H634" s="7" t="n"/>
      <c r="I634" s="6" t="n"/>
      <c r="J634" s="9" t="n"/>
      <c r="K634" s="11">
        <f>IF(C634="","",N(IFERROR(INDEX(Steps!$E$5:$E$62,MATCH(C634,Steps!$A$5:$A$62,0)),"")))</f>
        <v/>
      </c>
      <c r="L634" s="11">
        <f>IF(AND(C634&lt;&gt;"",E634&lt;&gt;"",I634&lt;&gt;"",OR(Settings!$B$10="No",I634&lt;&gt;E634)),K634*F634,0)</f>
        <v/>
      </c>
      <c r="M634" s="11">
        <f>IF(AND(AND(C634&lt;&gt;"",E634&lt;&gt;"",I634&lt;&gt;"",OR(Settings!$B$10="No",I634&lt;&gt;E634)),G634="Paid a pro",Settings!$B$9="Yes"),MAX(0,H634-K634*F634),0)</f>
        <v/>
      </c>
      <c r="N634" s="3">
        <f>IF(C634="","",IF(B634="","Enter the boat number",IF(B634&gt;Settings!$B$6,"Boat number above the boat count",IF(SUMIFS($F$5:$F$1004,$B$5:$B$1004,B634,$C$5:$C$1004,C634)&gt;1.0001,"Shares for this step add up to over 100%",IF(I634="","Waiting for sign-off",IF(AND(Settings!$B$10="Yes",I634=E634),"Needs a different member to sign off","OK"))))))</f>
        <v/>
      </c>
    </row>
    <row r="635">
      <c r="A635" s="9" t="n"/>
      <c r="B635" s="6" t="n"/>
      <c r="C635" s="6" t="n"/>
      <c r="D635" s="3">
        <f>IF(C635="","",IFERROR(INDEX(Steps!$C$5:$C$62,MATCH(C635,Steps!$A$5:$A$62,0)),""))</f>
        <v/>
      </c>
      <c r="E635" s="6" t="n"/>
      <c r="F635" s="8" t="n"/>
      <c r="G635" s="6" t="n"/>
      <c r="H635" s="7" t="n"/>
      <c r="I635" s="6" t="n"/>
      <c r="J635" s="9" t="n"/>
      <c r="K635" s="11">
        <f>IF(C635="","",N(IFERROR(INDEX(Steps!$E$5:$E$62,MATCH(C635,Steps!$A$5:$A$62,0)),"")))</f>
        <v/>
      </c>
      <c r="L635" s="11">
        <f>IF(AND(C635&lt;&gt;"",E635&lt;&gt;"",I635&lt;&gt;"",OR(Settings!$B$10="No",I635&lt;&gt;E635)),K635*F635,0)</f>
        <v/>
      </c>
      <c r="M635" s="11">
        <f>IF(AND(AND(C635&lt;&gt;"",E635&lt;&gt;"",I635&lt;&gt;"",OR(Settings!$B$10="No",I635&lt;&gt;E635)),G635="Paid a pro",Settings!$B$9="Yes"),MAX(0,H635-K635*F635),0)</f>
        <v/>
      </c>
      <c r="N635" s="3">
        <f>IF(C635="","",IF(B635="","Enter the boat number",IF(B635&gt;Settings!$B$6,"Boat number above the boat count",IF(SUMIFS($F$5:$F$1004,$B$5:$B$1004,B635,$C$5:$C$1004,C635)&gt;1.0001,"Shares for this step add up to over 100%",IF(I635="","Waiting for sign-off",IF(AND(Settings!$B$10="Yes",I635=E635),"Needs a different member to sign off","OK"))))))</f>
        <v/>
      </c>
    </row>
    <row r="636">
      <c r="A636" s="9" t="n"/>
      <c r="B636" s="6" t="n"/>
      <c r="C636" s="6" t="n"/>
      <c r="D636" s="3">
        <f>IF(C636="","",IFERROR(INDEX(Steps!$C$5:$C$62,MATCH(C636,Steps!$A$5:$A$62,0)),""))</f>
        <v/>
      </c>
      <c r="E636" s="6" t="n"/>
      <c r="F636" s="8" t="n"/>
      <c r="G636" s="6" t="n"/>
      <c r="H636" s="7" t="n"/>
      <c r="I636" s="6" t="n"/>
      <c r="J636" s="9" t="n"/>
      <c r="K636" s="11">
        <f>IF(C636="","",N(IFERROR(INDEX(Steps!$E$5:$E$62,MATCH(C636,Steps!$A$5:$A$62,0)),"")))</f>
        <v/>
      </c>
      <c r="L636" s="11">
        <f>IF(AND(C636&lt;&gt;"",E636&lt;&gt;"",I636&lt;&gt;"",OR(Settings!$B$10="No",I636&lt;&gt;E636)),K636*F636,0)</f>
        <v/>
      </c>
      <c r="M636" s="11">
        <f>IF(AND(AND(C636&lt;&gt;"",E636&lt;&gt;"",I636&lt;&gt;"",OR(Settings!$B$10="No",I636&lt;&gt;E636)),G636="Paid a pro",Settings!$B$9="Yes"),MAX(0,H636-K636*F636),0)</f>
        <v/>
      </c>
      <c r="N636" s="3">
        <f>IF(C636="","",IF(B636="","Enter the boat number",IF(B636&gt;Settings!$B$6,"Boat number above the boat count",IF(SUMIFS($F$5:$F$1004,$B$5:$B$1004,B636,$C$5:$C$1004,C636)&gt;1.0001,"Shares for this step add up to over 100%",IF(I636="","Waiting for sign-off",IF(AND(Settings!$B$10="Yes",I636=E636),"Needs a different member to sign off","OK"))))))</f>
        <v/>
      </c>
    </row>
    <row r="637">
      <c r="A637" s="9" t="n"/>
      <c r="B637" s="6" t="n"/>
      <c r="C637" s="6" t="n"/>
      <c r="D637" s="3">
        <f>IF(C637="","",IFERROR(INDEX(Steps!$C$5:$C$62,MATCH(C637,Steps!$A$5:$A$62,0)),""))</f>
        <v/>
      </c>
      <c r="E637" s="6" t="n"/>
      <c r="F637" s="8" t="n"/>
      <c r="G637" s="6" t="n"/>
      <c r="H637" s="7" t="n"/>
      <c r="I637" s="6" t="n"/>
      <c r="J637" s="9" t="n"/>
      <c r="K637" s="11">
        <f>IF(C637="","",N(IFERROR(INDEX(Steps!$E$5:$E$62,MATCH(C637,Steps!$A$5:$A$62,0)),"")))</f>
        <v/>
      </c>
      <c r="L637" s="11">
        <f>IF(AND(C637&lt;&gt;"",E637&lt;&gt;"",I637&lt;&gt;"",OR(Settings!$B$10="No",I637&lt;&gt;E637)),K637*F637,0)</f>
        <v/>
      </c>
      <c r="M637" s="11">
        <f>IF(AND(AND(C637&lt;&gt;"",E637&lt;&gt;"",I637&lt;&gt;"",OR(Settings!$B$10="No",I637&lt;&gt;E637)),G637="Paid a pro",Settings!$B$9="Yes"),MAX(0,H637-K637*F637),0)</f>
        <v/>
      </c>
      <c r="N637" s="3">
        <f>IF(C637="","",IF(B637="","Enter the boat number",IF(B637&gt;Settings!$B$6,"Boat number above the boat count",IF(SUMIFS($F$5:$F$1004,$B$5:$B$1004,B637,$C$5:$C$1004,C637)&gt;1.0001,"Shares for this step add up to over 100%",IF(I637="","Waiting for sign-off",IF(AND(Settings!$B$10="Yes",I637=E637),"Needs a different member to sign off","OK"))))))</f>
        <v/>
      </c>
    </row>
    <row r="638">
      <c r="A638" s="9" t="n"/>
      <c r="B638" s="6" t="n"/>
      <c r="C638" s="6" t="n"/>
      <c r="D638" s="3">
        <f>IF(C638="","",IFERROR(INDEX(Steps!$C$5:$C$62,MATCH(C638,Steps!$A$5:$A$62,0)),""))</f>
        <v/>
      </c>
      <c r="E638" s="6" t="n"/>
      <c r="F638" s="8" t="n"/>
      <c r="G638" s="6" t="n"/>
      <c r="H638" s="7" t="n"/>
      <c r="I638" s="6" t="n"/>
      <c r="J638" s="9" t="n"/>
      <c r="K638" s="11">
        <f>IF(C638="","",N(IFERROR(INDEX(Steps!$E$5:$E$62,MATCH(C638,Steps!$A$5:$A$62,0)),"")))</f>
        <v/>
      </c>
      <c r="L638" s="11">
        <f>IF(AND(C638&lt;&gt;"",E638&lt;&gt;"",I638&lt;&gt;"",OR(Settings!$B$10="No",I638&lt;&gt;E638)),K638*F638,0)</f>
        <v/>
      </c>
      <c r="M638" s="11">
        <f>IF(AND(AND(C638&lt;&gt;"",E638&lt;&gt;"",I638&lt;&gt;"",OR(Settings!$B$10="No",I638&lt;&gt;E638)),G638="Paid a pro",Settings!$B$9="Yes"),MAX(0,H638-K638*F638),0)</f>
        <v/>
      </c>
      <c r="N638" s="3">
        <f>IF(C638="","",IF(B638="","Enter the boat number",IF(B638&gt;Settings!$B$6,"Boat number above the boat count",IF(SUMIFS($F$5:$F$1004,$B$5:$B$1004,B638,$C$5:$C$1004,C638)&gt;1.0001,"Shares for this step add up to over 100%",IF(I638="","Waiting for sign-off",IF(AND(Settings!$B$10="Yes",I638=E638),"Needs a different member to sign off","OK"))))))</f>
        <v/>
      </c>
    </row>
    <row r="639">
      <c r="A639" s="9" t="n"/>
      <c r="B639" s="6" t="n"/>
      <c r="C639" s="6" t="n"/>
      <c r="D639" s="3">
        <f>IF(C639="","",IFERROR(INDEX(Steps!$C$5:$C$62,MATCH(C639,Steps!$A$5:$A$62,0)),""))</f>
        <v/>
      </c>
      <c r="E639" s="6" t="n"/>
      <c r="F639" s="8" t="n"/>
      <c r="G639" s="6" t="n"/>
      <c r="H639" s="7" t="n"/>
      <c r="I639" s="6" t="n"/>
      <c r="J639" s="9" t="n"/>
      <c r="K639" s="11">
        <f>IF(C639="","",N(IFERROR(INDEX(Steps!$E$5:$E$62,MATCH(C639,Steps!$A$5:$A$62,0)),"")))</f>
        <v/>
      </c>
      <c r="L639" s="11">
        <f>IF(AND(C639&lt;&gt;"",E639&lt;&gt;"",I639&lt;&gt;"",OR(Settings!$B$10="No",I639&lt;&gt;E639)),K639*F639,0)</f>
        <v/>
      </c>
      <c r="M639" s="11">
        <f>IF(AND(AND(C639&lt;&gt;"",E639&lt;&gt;"",I639&lt;&gt;"",OR(Settings!$B$10="No",I639&lt;&gt;E639)),G639="Paid a pro",Settings!$B$9="Yes"),MAX(0,H639-K639*F639),0)</f>
        <v/>
      </c>
      <c r="N639" s="3">
        <f>IF(C639="","",IF(B639="","Enter the boat number",IF(B639&gt;Settings!$B$6,"Boat number above the boat count",IF(SUMIFS($F$5:$F$1004,$B$5:$B$1004,B639,$C$5:$C$1004,C639)&gt;1.0001,"Shares for this step add up to over 100%",IF(I639="","Waiting for sign-off",IF(AND(Settings!$B$10="Yes",I639=E639),"Needs a different member to sign off","OK"))))))</f>
        <v/>
      </c>
    </row>
    <row r="640">
      <c r="A640" s="9" t="n"/>
      <c r="B640" s="6" t="n"/>
      <c r="C640" s="6" t="n"/>
      <c r="D640" s="3">
        <f>IF(C640="","",IFERROR(INDEX(Steps!$C$5:$C$62,MATCH(C640,Steps!$A$5:$A$62,0)),""))</f>
        <v/>
      </c>
      <c r="E640" s="6" t="n"/>
      <c r="F640" s="8" t="n"/>
      <c r="G640" s="6" t="n"/>
      <c r="H640" s="7" t="n"/>
      <c r="I640" s="6" t="n"/>
      <c r="J640" s="9" t="n"/>
      <c r="K640" s="11">
        <f>IF(C640="","",N(IFERROR(INDEX(Steps!$E$5:$E$62,MATCH(C640,Steps!$A$5:$A$62,0)),"")))</f>
        <v/>
      </c>
      <c r="L640" s="11">
        <f>IF(AND(C640&lt;&gt;"",E640&lt;&gt;"",I640&lt;&gt;"",OR(Settings!$B$10="No",I640&lt;&gt;E640)),K640*F640,0)</f>
        <v/>
      </c>
      <c r="M640" s="11">
        <f>IF(AND(AND(C640&lt;&gt;"",E640&lt;&gt;"",I640&lt;&gt;"",OR(Settings!$B$10="No",I640&lt;&gt;E640)),G640="Paid a pro",Settings!$B$9="Yes"),MAX(0,H640-K640*F640),0)</f>
        <v/>
      </c>
      <c r="N640" s="3">
        <f>IF(C640="","",IF(B640="","Enter the boat number",IF(B640&gt;Settings!$B$6,"Boat number above the boat count",IF(SUMIFS($F$5:$F$1004,$B$5:$B$1004,B640,$C$5:$C$1004,C640)&gt;1.0001,"Shares for this step add up to over 100%",IF(I640="","Waiting for sign-off",IF(AND(Settings!$B$10="Yes",I640=E640),"Needs a different member to sign off","OK"))))))</f>
        <v/>
      </c>
    </row>
    <row r="641">
      <c r="A641" s="9" t="n"/>
      <c r="B641" s="6" t="n"/>
      <c r="C641" s="6" t="n"/>
      <c r="D641" s="3">
        <f>IF(C641="","",IFERROR(INDEX(Steps!$C$5:$C$62,MATCH(C641,Steps!$A$5:$A$62,0)),""))</f>
        <v/>
      </c>
      <c r="E641" s="6" t="n"/>
      <c r="F641" s="8" t="n"/>
      <c r="G641" s="6" t="n"/>
      <c r="H641" s="7" t="n"/>
      <c r="I641" s="6" t="n"/>
      <c r="J641" s="9" t="n"/>
      <c r="K641" s="11">
        <f>IF(C641="","",N(IFERROR(INDEX(Steps!$E$5:$E$62,MATCH(C641,Steps!$A$5:$A$62,0)),"")))</f>
        <v/>
      </c>
      <c r="L641" s="11">
        <f>IF(AND(C641&lt;&gt;"",E641&lt;&gt;"",I641&lt;&gt;"",OR(Settings!$B$10="No",I641&lt;&gt;E641)),K641*F641,0)</f>
        <v/>
      </c>
      <c r="M641" s="11">
        <f>IF(AND(AND(C641&lt;&gt;"",E641&lt;&gt;"",I641&lt;&gt;"",OR(Settings!$B$10="No",I641&lt;&gt;E641)),G641="Paid a pro",Settings!$B$9="Yes"),MAX(0,H641-K641*F641),0)</f>
        <v/>
      </c>
      <c r="N641" s="3">
        <f>IF(C641="","",IF(B641="","Enter the boat number",IF(B641&gt;Settings!$B$6,"Boat number above the boat count",IF(SUMIFS($F$5:$F$1004,$B$5:$B$1004,B641,$C$5:$C$1004,C641)&gt;1.0001,"Shares for this step add up to over 100%",IF(I641="","Waiting for sign-off",IF(AND(Settings!$B$10="Yes",I641=E641),"Needs a different member to sign off","OK"))))))</f>
        <v/>
      </c>
    </row>
    <row r="642">
      <c r="A642" s="9" t="n"/>
      <c r="B642" s="6" t="n"/>
      <c r="C642" s="6" t="n"/>
      <c r="D642" s="3">
        <f>IF(C642="","",IFERROR(INDEX(Steps!$C$5:$C$62,MATCH(C642,Steps!$A$5:$A$62,0)),""))</f>
        <v/>
      </c>
      <c r="E642" s="6" t="n"/>
      <c r="F642" s="8" t="n"/>
      <c r="G642" s="6" t="n"/>
      <c r="H642" s="7" t="n"/>
      <c r="I642" s="6" t="n"/>
      <c r="J642" s="9" t="n"/>
      <c r="K642" s="11">
        <f>IF(C642="","",N(IFERROR(INDEX(Steps!$E$5:$E$62,MATCH(C642,Steps!$A$5:$A$62,0)),"")))</f>
        <v/>
      </c>
      <c r="L642" s="11">
        <f>IF(AND(C642&lt;&gt;"",E642&lt;&gt;"",I642&lt;&gt;"",OR(Settings!$B$10="No",I642&lt;&gt;E642)),K642*F642,0)</f>
        <v/>
      </c>
      <c r="M642" s="11">
        <f>IF(AND(AND(C642&lt;&gt;"",E642&lt;&gt;"",I642&lt;&gt;"",OR(Settings!$B$10="No",I642&lt;&gt;E642)),G642="Paid a pro",Settings!$B$9="Yes"),MAX(0,H642-K642*F642),0)</f>
        <v/>
      </c>
      <c r="N642" s="3">
        <f>IF(C642="","",IF(B642="","Enter the boat number",IF(B642&gt;Settings!$B$6,"Boat number above the boat count",IF(SUMIFS($F$5:$F$1004,$B$5:$B$1004,B642,$C$5:$C$1004,C642)&gt;1.0001,"Shares for this step add up to over 100%",IF(I642="","Waiting for sign-off",IF(AND(Settings!$B$10="Yes",I642=E642),"Needs a different member to sign off","OK"))))))</f>
        <v/>
      </c>
    </row>
    <row r="643">
      <c r="A643" s="9" t="n"/>
      <c r="B643" s="6" t="n"/>
      <c r="C643" s="6" t="n"/>
      <c r="D643" s="3">
        <f>IF(C643="","",IFERROR(INDEX(Steps!$C$5:$C$62,MATCH(C643,Steps!$A$5:$A$62,0)),""))</f>
        <v/>
      </c>
      <c r="E643" s="6" t="n"/>
      <c r="F643" s="8" t="n"/>
      <c r="G643" s="6" t="n"/>
      <c r="H643" s="7" t="n"/>
      <c r="I643" s="6" t="n"/>
      <c r="J643" s="9" t="n"/>
      <c r="K643" s="11">
        <f>IF(C643="","",N(IFERROR(INDEX(Steps!$E$5:$E$62,MATCH(C643,Steps!$A$5:$A$62,0)),"")))</f>
        <v/>
      </c>
      <c r="L643" s="11">
        <f>IF(AND(C643&lt;&gt;"",E643&lt;&gt;"",I643&lt;&gt;"",OR(Settings!$B$10="No",I643&lt;&gt;E643)),K643*F643,0)</f>
        <v/>
      </c>
      <c r="M643" s="11">
        <f>IF(AND(AND(C643&lt;&gt;"",E643&lt;&gt;"",I643&lt;&gt;"",OR(Settings!$B$10="No",I643&lt;&gt;E643)),G643="Paid a pro",Settings!$B$9="Yes"),MAX(0,H643-K643*F643),0)</f>
        <v/>
      </c>
      <c r="N643" s="3">
        <f>IF(C643="","",IF(B643="","Enter the boat number",IF(B643&gt;Settings!$B$6,"Boat number above the boat count",IF(SUMIFS($F$5:$F$1004,$B$5:$B$1004,B643,$C$5:$C$1004,C643)&gt;1.0001,"Shares for this step add up to over 100%",IF(I643="","Waiting for sign-off",IF(AND(Settings!$B$10="Yes",I643=E643),"Needs a different member to sign off","OK"))))))</f>
        <v/>
      </c>
    </row>
    <row r="644">
      <c r="A644" s="9" t="n"/>
      <c r="B644" s="6" t="n"/>
      <c r="C644" s="6" t="n"/>
      <c r="D644" s="3">
        <f>IF(C644="","",IFERROR(INDEX(Steps!$C$5:$C$62,MATCH(C644,Steps!$A$5:$A$62,0)),""))</f>
        <v/>
      </c>
      <c r="E644" s="6" t="n"/>
      <c r="F644" s="8" t="n"/>
      <c r="G644" s="6" t="n"/>
      <c r="H644" s="7" t="n"/>
      <c r="I644" s="6" t="n"/>
      <c r="J644" s="9" t="n"/>
      <c r="K644" s="11">
        <f>IF(C644="","",N(IFERROR(INDEX(Steps!$E$5:$E$62,MATCH(C644,Steps!$A$5:$A$62,0)),"")))</f>
        <v/>
      </c>
      <c r="L644" s="11">
        <f>IF(AND(C644&lt;&gt;"",E644&lt;&gt;"",I644&lt;&gt;"",OR(Settings!$B$10="No",I644&lt;&gt;E644)),K644*F644,0)</f>
        <v/>
      </c>
      <c r="M644" s="11">
        <f>IF(AND(AND(C644&lt;&gt;"",E644&lt;&gt;"",I644&lt;&gt;"",OR(Settings!$B$10="No",I644&lt;&gt;E644)),G644="Paid a pro",Settings!$B$9="Yes"),MAX(0,H644-K644*F644),0)</f>
        <v/>
      </c>
      <c r="N644" s="3">
        <f>IF(C644="","",IF(B644="","Enter the boat number",IF(B644&gt;Settings!$B$6,"Boat number above the boat count",IF(SUMIFS($F$5:$F$1004,$B$5:$B$1004,B644,$C$5:$C$1004,C644)&gt;1.0001,"Shares for this step add up to over 100%",IF(I644="","Waiting for sign-off",IF(AND(Settings!$B$10="Yes",I644=E644),"Needs a different member to sign off","OK"))))))</f>
        <v/>
      </c>
    </row>
    <row r="645">
      <c r="A645" s="9" t="n"/>
      <c r="B645" s="6" t="n"/>
      <c r="C645" s="6" t="n"/>
      <c r="D645" s="3">
        <f>IF(C645="","",IFERROR(INDEX(Steps!$C$5:$C$62,MATCH(C645,Steps!$A$5:$A$62,0)),""))</f>
        <v/>
      </c>
      <c r="E645" s="6" t="n"/>
      <c r="F645" s="8" t="n"/>
      <c r="G645" s="6" t="n"/>
      <c r="H645" s="7" t="n"/>
      <c r="I645" s="6" t="n"/>
      <c r="J645" s="9" t="n"/>
      <c r="K645" s="11">
        <f>IF(C645="","",N(IFERROR(INDEX(Steps!$E$5:$E$62,MATCH(C645,Steps!$A$5:$A$62,0)),"")))</f>
        <v/>
      </c>
      <c r="L645" s="11">
        <f>IF(AND(C645&lt;&gt;"",E645&lt;&gt;"",I645&lt;&gt;"",OR(Settings!$B$10="No",I645&lt;&gt;E645)),K645*F645,0)</f>
        <v/>
      </c>
      <c r="M645" s="11">
        <f>IF(AND(AND(C645&lt;&gt;"",E645&lt;&gt;"",I645&lt;&gt;"",OR(Settings!$B$10="No",I645&lt;&gt;E645)),G645="Paid a pro",Settings!$B$9="Yes"),MAX(0,H645-K645*F645),0)</f>
        <v/>
      </c>
      <c r="N645" s="3">
        <f>IF(C645="","",IF(B645="","Enter the boat number",IF(B645&gt;Settings!$B$6,"Boat number above the boat count",IF(SUMIFS($F$5:$F$1004,$B$5:$B$1004,B645,$C$5:$C$1004,C645)&gt;1.0001,"Shares for this step add up to over 100%",IF(I645="","Waiting for sign-off",IF(AND(Settings!$B$10="Yes",I645=E645),"Needs a different member to sign off","OK"))))))</f>
        <v/>
      </c>
    </row>
    <row r="646">
      <c r="A646" s="9" t="n"/>
      <c r="B646" s="6" t="n"/>
      <c r="C646" s="6" t="n"/>
      <c r="D646" s="3">
        <f>IF(C646="","",IFERROR(INDEX(Steps!$C$5:$C$62,MATCH(C646,Steps!$A$5:$A$62,0)),""))</f>
        <v/>
      </c>
      <c r="E646" s="6" t="n"/>
      <c r="F646" s="8" t="n"/>
      <c r="G646" s="6" t="n"/>
      <c r="H646" s="7" t="n"/>
      <c r="I646" s="6" t="n"/>
      <c r="J646" s="9" t="n"/>
      <c r="K646" s="11">
        <f>IF(C646="","",N(IFERROR(INDEX(Steps!$E$5:$E$62,MATCH(C646,Steps!$A$5:$A$62,0)),"")))</f>
        <v/>
      </c>
      <c r="L646" s="11">
        <f>IF(AND(C646&lt;&gt;"",E646&lt;&gt;"",I646&lt;&gt;"",OR(Settings!$B$10="No",I646&lt;&gt;E646)),K646*F646,0)</f>
        <v/>
      </c>
      <c r="M646" s="11">
        <f>IF(AND(AND(C646&lt;&gt;"",E646&lt;&gt;"",I646&lt;&gt;"",OR(Settings!$B$10="No",I646&lt;&gt;E646)),G646="Paid a pro",Settings!$B$9="Yes"),MAX(0,H646-K646*F646),0)</f>
        <v/>
      </c>
      <c r="N646" s="3">
        <f>IF(C646="","",IF(B646="","Enter the boat number",IF(B646&gt;Settings!$B$6,"Boat number above the boat count",IF(SUMIFS($F$5:$F$1004,$B$5:$B$1004,B646,$C$5:$C$1004,C646)&gt;1.0001,"Shares for this step add up to over 100%",IF(I646="","Waiting for sign-off",IF(AND(Settings!$B$10="Yes",I646=E646),"Needs a different member to sign off","OK"))))))</f>
        <v/>
      </c>
    </row>
    <row r="647">
      <c r="A647" s="9" t="n"/>
      <c r="B647" s="6" t="n"/>
      <c r="C647" s="6" t="n"/>
      <c r="D647" s="3">
        <f>IF(C647="","",IFERROR(INDEX(Steps!$C$5:$C$62,MATCH(C647,Steps!$A$5:$A$62,0)),""))</f>
        <v/>
      </c>
      <c r="E647" s="6" t="n"/>
      <c r="F647" s="8" t="n"/>
      <c r="G647" s="6" t="n"/>
      <c r="H647" s="7" t="n"/>
      <c r="I647" s="6" t="n"/>
      <c r="J647" s="9" t="n"/>
      <c r="K647" s="11">
        <f>IF(C647="","",N(IFERROR(INDEX(Steps!$E$5:$E$62,MATCH(C647,Steps!$A$5:$A$62,0)),"")))</f>
        <v/>
      </c>
      <c r="L647" s="11">
        <f>IF(AND(C647&lt;&gt;"",E647&lt;&gt;"",I647&lt;&gt;"",OR(Settings!$B$10="No",I647&lt;&gt;E647)),K647*F647,0)</f>
        <v/>
      </c>
      <c r="M647" s="11">
        <f>IF(AND(AND(C647&lt;&gt;"",E647&lt;&gt;"",I647&lt;&gt;"",OR(Settings!$B$10="No",I647&lt;&gt;E647)),G647="Paid a pro",Settings!$B$9="Yes"),MAX(0,H647-K647*F647),0)</f>
        <v/>
      </c>
      <c r="N647" s="3">
        <f>IF(C647="","",IF(B647="","Enter the boat number",IF(B647&gt;Settings!$B$6,"Boat number above the boat count",IF(SUMIFS($F$5:$F$1004,$B$5:$B$1004,B647,$C$5:$C$1004,C647)&gt;1.0001,"Shares for this step add up to over 100%",IF(I647="","Waiting for sign-off",IF(AND(Settings!$B$10="Yes",I647=E647),"Needs a different member to sign off","OK"))))))</f>
        <v/>
      </c>
    </row>
    <row r="648">
      <c r="A648" s="9" t="n"/>
      <c r="B648" s="6" t="n"/>
      <c r="C648" s="6" t="n"/>
      <c r="D648" s="3">
        <f>IF(C648="","",IFERROR(INDEX(Steps!$C$5:$C$62,MATCH(C648,Steps!$A$5:$A$62,0)),""))</f>
        <v/>
      </c>
      <c r="E648" s="6" t="n"/>
      <c r="F648" s="8" t="n"/>
      <c r="G648" s="6" t="n"/>
      <c r="H648" s="7" t="n"/>
      <c r="I648" s="6" t="n"/>
      <c r="J648" s="9" t="n"/>
      <c r="K648" s="11">
        <f>IF(C648="","",N(IFERROR(INDEX(Steps!$E$5:$E$62,MATCH(C648,Steps!$A$5:$A$62,0)),"")))</f>
        <v/>
      </c>
      <c r="L648" s="11">
        <f>IF(AND(C648&lt;&gt;"",E648&lt;&gt;"",I648&lt;&gt;"",OR(Settings!$B$10="No",I648&lt;&gt;E648)),K648*F648,0)</f>
        <v/>
      </c>
      <c r="M648" s="11">
        <f>IF(AND(AND(C648&lt;&gt;"",E648&lt;&gt;"",I648&lt;&gt;"",OR(Settings!$B$10="No",I648&lt;&gt;E648)),G648="Paid a pro",Settings!$B$9="Yes"),MAX(0,H648-K648*F648),0)</f>
        <v/>
      </c>
      <c r="N648" s="3">
        <f>IF(C648="","",IF(B648="","Enter the boat number",IF(B648&gt;Settings!$B$6,"Boat number above the boat count",IF(SUMIFS($F$5:$F$1004,$B$5:$B$1004,B648,$C$5:$C$1004,C648)&gt;1.0001,"Shares for this step add up to over 100%",IF(I648="","Waiting for sign-off",IF(AND(Settings!$B$10="Yes",I648=E648),"Needs a different member to sign off","OK"))))))</f>
        <v/>
      </c>
    </row>
    <row r="649">
      <c r="A649" s="9" t="n"/>
      <c r="B649" s="6" t="n"/>
      <c r="C649" s="6" t="n"/>
      <c r="D649" s="3">
        <f>IF(C649="","",IFERROR(INDEX(Steps!$C$5:$C$62,MATCH(C649,Steps!$A$5:$A$62,0)),""))</f>
        <v/>
      </c>
      <c r="E649" s="6" t="n"/>
      <c r="F649" s="8" t="n"/>
      <c r="G649" s="6" t="n"/>
      <c r="H649" s="7" t="n"/>
      <c r="I649" s="6" t="n"/>
      <c r="J649" s="9" t="n"/>
      <c r="K649" s="11">
        <f>IF(C649="","",N(IFERROR(INDEX(Steps!$E$5:$E$62,MATCH(C649,Steps!$A$5:$A$62,0)),"")))</f>
        <v/>
      </c>
      <c r="L649" s="11">
        <f>IF(AND(C649&lt;&gt;"",E649&lt;&gt;"",I649&lt;&gt;"",OR(Settings!$B$10="No",I649&lt;&gt;E649)),K649*F649,0)</f>
        <v/>
      </c>
      <c r="M649" s="11">
        <f>IF(AND(AND(C649&lt;&gt;"",E649&lt;&gt;"",I649&lt;&gt;"",OR(Settings!$B$10="No",I649&lt;&gt;E649)),G649="Paid a pro",Settings!$B$9="Yes"),MAX(0,H649-K649*F649),0)</f>
        <v/>
      </c>
      <c r="N649" s="3">
        <f>IF(C649="","",IF(B649="","Enter the boat number",IF(B649&gt;Settings!$B$6,"Boat number above the boat count",IF(SUMIFS($F$5:$F$1004,$B$5:$B$1004,B649,$C$5:$C$1004,C649)&gt;1.0001,"Shares for this step add up to over 100%",IF(I649="","Waiting for sign-off",IF(AND(Settings!$B$10="Yes",I649=E649),"Needs a different member to sign off","OK"))))))</f>
        <v/>
      </c>
    </row>
    <row r="650">
      <c r="A650" s="9" t="n"/>
      <c r="B650" s="6" t="n"/>
      <c r="C650" s="6" t="n"/>
      <c r="D650" s="3">
        <f>IF(C650="","",IFERROR(INDEX(Steps!$C$5:$C$62,MATCH(C650,Steps!$A$5:$A$62,0)),""))</f>
        <v/>
      </c>
      <c r="E650" s="6" t="n"/>
      <c r="F650" s="8" t="n"/>
      <c r="G650" s="6" t="n"/>
      <c r="H650" s="7" t="n"/>
      <c r="I650" s="6" t="n"/>
      <c r="J650" s="9" t="n"/>
      <c r="K650" s="11">
        <f>IF(C650="","",N(IFERROR(INDEX(Steps!$E$5:$E$62,MATCH(C650,Steps!$A$5:$A$62,0)),"")))</f>
        <v/>
      </c>
      <c r="L650" s="11">
        <f>IF(AND(C650&lt;&gt;"",E650&lt;&gt;"",I650&lt;&gt;"",OR(Settings!$B$10="No",I650&lt;&gt;E650)),K650*F650,0)</f>
        <v/>
      </c>
      <c r="M650" s="11">
        <f>IF(AND(AND(C650&lt;&gt;"",E650&lt;&gt;"",I650&lt;&gt;"",OR(Settings!$B$10="No",I650&lt;&gt;E650)),G650="Paid a pro",Settings!$B$9="Yes"),MAX(0,H650-K650*F650),0)</f>
        <v/>
      </c>
      <c r="N650" s="3">
        <f>IF(C650="","",IF(B650="","Enter the boat number",IF(B650&gt;Settings!$B$6,"Boat number above the boat count",IF(SUMIFS($F$5:$F$1004,$B$5:$B$1004,B650,$C$5:$C$1004,C650)&gt;1.0001,"Shares for this step add up to over 100%",IF(I650="","Waiting for sign-off",IF(AND(Settings!$B$10="Yes",I650=E650),"Needs a different member to sign off","OK"))))))</f>
        <v/>
      </c>
    </row>
    <row r="651">
      <c r="A651" s="9" t="n"/>
      <c r="B651" s="6" t="n"/>
      <c r="C651" s="6" t="n"/>
      <c r="D651" s="3">
        <f>IF(C651="","",IFERROR(INDEX(Steps!$C$5:$C$62,MATCH(C651,Steps!$A$5:$A$62,0)),""))</f>
        <v/>
      </c>
      <c r="E651" s="6" t="n"/>
      <c r="F651" s="8" t="n"/>
      <c r="G651" s="6" t="n"/>
      <c r="H651" s="7" t="n"/>
      <c r="I651" s="6" t="n"/>
      <c r="J651" s="9" t="n"/>
      <c r="K651" s="11">
        <f>IF(C651="","",N(IFERROR(INDEX(Steps!$E$5:$E$62,MATCH(C651,Steps!$A$5:$A$62,0)),"")))</f>
        <v/>
      </c>
      <c r="L651" s="11">
        <f>IF(AND(C651&lt;&gt;"",E651&lt;&gt;"",I651&lt;&gt;"",OR(Settings!$B$10="No",I651&lt;&gt;E651)),K651*F651,0)</f>
        <v/>
      </c>
      <c r="M651" s="11">
        <f>IF(AND(AND(C651&lt;&gt;"",E651&lt;&gt;"",I651&lt;&gt;"",OR(Settings!$B$10="No",I651&lt;&gt;E651)),G651="Paid a pro",Settings!$B$9="Yes"),MAX(0,H651-K651*F651),0)</f>
        <v/>
      </c>
      <c r="N651" s="3">
        <f>IF(C651="","",IF(B651="","Enter the boat number",IF(B651&gt;Settings!$B$6,"Boat number above the boat count",IF(SUMIFS($F$5:$F$1004,$B$5:$B$1004,B651,$C$5:$C$1004,C651)&gt;1.0001,"Shares for this step add up to over 100%",IF(I651="","Waiting for sign-off",IF(AND(Settings!$B$10="Yes",I651=E651),"Needs a different member to sign off","OK"))))))</f>
        <v/>
      </c>
    </row>
    <row r="652">
      <c r="A652" s="9" t="n"/>
      <c r="B652" s="6" t="n"/>
      <c r="C652" s="6" t="n"/>
      <c r="D652" s="3">
        <f>IF(C652="","",IFERROR(INDEX(Steps!$C$5:$C$62,MATCH(C652,Steps!$A$5:$A$62,0)),""))</f>
        <v/>
      </c>
      <c r="E652" s="6" t="n"/>
      <c r="F652" s="8" t="n"/>
      <c r="G652" s="6" t="n"/>
      <c r="H652" s="7" t="n"/>
      <c r="I652" s="6" t="n"/>
      <c r="J652" s="9" t="n"/>
      <c r="K652" s="11">
        <f>IF(C652="","",N(IFERROR(INDEX(Steps!$E$5:$E$62,MATCH(C652,Steps!$A$5:$A$62,0)),"")))</f>
        <v/>
      </c>
      <c r="L652" s="11">
        <f>IF(AND(C652&lt;&gt;"",E652&lt;&gt;"",I652&lt;&gt;"",OR(Settings!$B$10="No",I652&lt;&gt;E652)),K652*F652,0)</f>
        <v/>
      </c>
      <c r="M652" s="11">
        <f>IF(AND(AND(C652&lt;&gt;"",E652&lt;&gt;"",I652&lt;&gt;"",OR(Settings!$B$10="No",I652&lt;&gt;E652)),G652="Paid a pro",Settings!$B$9="Yes"),MAX(0,H652-K652*F652),0)</f>
        <v/>
      </c>
      <c r="N652" s="3">
        <f>IF(C652="","",IF(B652="","Enter the boat number",IF(B652&gt;Settings!$B$6,"Boat number above the boat count",IF(SUMIFS($F$5:$F$1004,$B$5:$B$1004,B652,$C$5:$C$1004,C652)&gt;1.0001,"Shares for this step add up to over 100%",IF(I652="","Waiting for sign-off",IF(AND(Settings!$B$10="Yes",I652=E652),"Needs a different member to sign off","OK"))))))</f>
        <v/>
      </c>
    </row>
    <row r="653">
      <c r="A653" s="9" t="n"/>
      <c r="B653" s="6" t="n"/>
      <c r="C653" s="6" t="n"/>
      <c r="D653" s="3">
        <f>IF(C653="","",IFERROR(INDEX(Steps!$C$5:$C$62,MATCH(C653,Steps!$A$5:$A$62,0)),""))</f>
        <v/>
      </c>
      <c r="E653" s="6" t="n"/>
      <c r="F653" s="8" t="n"/>
      <c r="G653" s="6" t="n"/>
      <c r="H653" s="7" t="n"/>
      <c r="I653" s="6" t="n"/>
      <c r="J653" s="9" t="n"/>
      <c r="K653" s="11">
        <f>IF(C653="","",N(IFERROR(INDEX(Steps!$E$5:$E$62,MATCH(C653,Steps!$A$5:$A$62,0)),"")))</f>
        <v/>
      </c>
      <c r="L653" s="11">
        <f>IF(AND(C653&lt;&gt;"",E653&lt;&gt;"",I653&lt;&gt;"",OR(Settings!$B$10="No",I653&lt;&gt;E653)),K653*F653,0)</f>
        <v/>
      </c>
      <c r="M653" s="11">
        <f>IF(AND(AND(C653&lt;&gt;"",E653&lt;&gt;"",I653&lt;&gt;"",OR(Settings!$B$10="No",I653&lt;&gt;E653)),G653="Paid a pro",Settings!$B$9="Yes"),MAX(0,H653-K653*F653),0)</f>
        <v/>
      </c>
      <c r="N653" s="3">
        <f>IF(C653="","",IF(B653="","Enter the boat number",IF(B653&gt;Settings!$B$6,"Boat number above the boat count",IF(SUMIFS($F$5:$F$1004,$B$5:$B$1004,B653,$C$5:$C$1004,C653)&gt;1.0001,"Shares for this step add up to over 100%",IF(I653="","Waiting for sign-off",IF(AND(Settings!$B$10="Yes",I653=E653),"Needs a different member to sign off","OK"))))))</f>
        <v/>
      </c>
    </row>
    <row r="654">
      <c r="A654" s="9" t="n"/>
      <c r="B654" s="6" t="n"/>
      <c r="C654" s="6" t="n"/>
      <c r="D654" s="3">
        <f>IF(C654="","",IFERROR(INDEX(Steps!$C$5:$C$62,MATCH(C654,Steps!$A$5:$A$62,0)),""))</f>
        <v/>
      </c>
      <c r="E654" s="6" t="n"/>
      <c r="F654" s="8" t="n"/>
      <c r="G654" s="6" t="n"/>
      <c r="H654" s="7" t="n"/>
      <c r="I654" s="6" t="n"/>
      <c r="J654" s="9" t="n"/>
      <c r="K654" s="11">
        <f>IF(C654="","",N(IFERROR(INDEX(Steps!$E$5:$E$62,MATCH(C654,Steps!$A$5:$A$62,0)),"")))</f>
        <v/>
      </c>
      <c r="L654" s="11">
        <f>IF(AND(C654&lt;&gt;"",E654&lt;&gt;"",I654&lt;&gt;"",OR(Settings!$B$10="No",I654&lt;&gt;E654)),K654*F654,0)</f>
        <v/>
      </c>
      <c r="M654" s="11">
        <f>IF(AND(AND(C654&lt;&gt;"",E654&lt;&gt;"",I654&lt;&gt;"",OR(Settings!$B$10="No",I654&lt;&gt;E654)),G654="Paid a pro",Settings!$B$9="Yes"),MAX(0,H654-K654*F654),0)</f>
        <v/>
      </c>
      <c r="N654" s="3">
        <f>IF(C654="","",IF(B654="","Enter the boat number",IF(B654&gt;Settings!$B$6,"Boat number above the boat count",IF(SUMIFS($F$5:$F$1004,$B$5:$B$1004,B654,$C$5:$C$1004,C654)&gt;1.0001,"Shares for this step add up to over 100%",IF(I654="","Waiting for sign-off",IF(AND(Settings!$B$10="Yes",I654=E654),"Needs a different member to sign off","OK"))))))</f>
        <v/>
      </c>
    </row>
    <row r="655">
      <c r="A655" s="9" t="n"/>
      <c r="B655" s="6" t="n"/>
      <c r="C655" s="6" t="n"/>
      <c r="D655" s="3">
        <f>IF(C655="","",IFERROR(INDEX(Steps!$C$5:$C$62,MATCH(C655,Steps!$A$5:$A$62,0)),""))</f>
        <v/>
      </c>
      <c r="E655" s="6" t="n"/>
      <c r="F655" s="8" t="n"/>
      <c r="G655" s="6" t="n"/>
      <c r="H655" s="7" t="n"/>
      <c r="I655" s="6" t="n"/>
      <c r="J655" s="9" t="n"/>
      <c r="K655" s="11">
        <f>IF(C655="","",N(IFERROR(INDEX(Steps!$E$5:$E$62,MATCH(C655,Steps!$A$5:$A$62,0)),"")))</f>
        <v/>
      </c>
      <c r="L655" s="11">
        <f>IF(AND(C655&lt;&gt;"",E655&lt;&gt;"",I655&lt;&gt;"",OR(Settings!$B$10="No",I655&lt;&gt;E655)),K655*F655,0)</f>
        <v/>
      </c>
      <c r="M655" s="11">
        <f>IF(AND(AND(C655&lt;&gt;"",E655&lt;&gt;"",I655&lt;&gt;"",OR(Settings!$B$10="No",I655&lt;&gt;E655)),G655="Paid a pro",Settings!$B$9="Yes"),MAX(0,H655-K655*F655),0)</f>
        <v/>
      </c>
      <c r="N655" s="3">
        <f>IF(C655="","",IF(B655="","Enter the boat number",IF(B655&gt;Settings!$B$6,"Boat number above the boat count",IF(SUMIFS($F$5:$F$1004,$B$5:$B$1004,B655,$C$5:$C$1004,C655)&gt;1.0001,"Shares for this step add up to over 100%",IF(I655="","Waiting for sign-off",IF(AND(Settings!$B$10="Yes",I655=E655),"Needs a different member to sign off","OK"))))))</f>
        <v/>
      </c>
    </row>
    <row r="656">
      <c r="A656" s="9" t="n"/>
      <c r="B656" s="6" t="n"/>
      <c r="C656" s="6" t="n"/>
      <c r="D656" s="3">
        <f>IF(C656="","",IFERROR(INDEX(Steps!$C$5:$C$62,MATCH(C656,Steps!$A$5:$A$62,0)),""))</f>
        <v/>
      </c>
      <c r="E656" s="6" t="n"/>
      <c r="F656" s="8" t="n"/>
      <c r="G656" s="6" t="n"/>
      <c r="H656" s="7" t="n"/>
      <c r="I656" s="6" t="n"/>
      <c r="J656" s="9" t="n"/>
      <c r="K656" s="11">
        <f>IF(C656="","",N(IFERROR(INDEX(Steps!$E$5:$E$62,MATCH(C656,Steps!$A$5:$A$62,0)),"")))</f>
        <v/>
      </c>
      <c r="L656" s="11">
        <f>IF(AND(C656&lt;&gt;"",E656&lt;&gt;"",I656&lt;&gt;"",OR(Settings!$B$10="No",I656&lt;&gt;E656)),K656*F656,0)</f>
        <v/>
      </c>
      <c r="M656" s="11">
        <f>IF(AND(AND(C656&lt;&gt;"",E656&lt;&gt;"",I656&lt;&gt;"",OR(Settings!$B$10="No",I656&lt;&gt;E656)),G656="Paid a pro",Settings!$B$9="Yes"),MAX(0,H656-K656*F656),0)</f>
        <v/>
      </c>
      <c r="N656" s="3">
        <f>IF(C656="","",IF(B656="","Enter the boat number",IF(B656&gt;Settings!$B$6,"Boat number above the boat count",IF(SUMIFS($F$5:$F$1004,$B$5:$B$1004,B656,$C$5:$C$1004,C656)&gt;1.0001,"Shares for this step add up to over 100%",IF(I656="","Waiting for sign-off",IF(AND(Settings!$B$10="Yes",I656=E656),"Needs a different member to sign off","OK"))))))</f>
        <v/>
      </c>
    </row>
    <row r="657">
      <c r="A657" s="9" t="n"/>
      <c r="B657" s="6" t="n"/>
      <c r="C657" s="6" t="n"/>
      <c r="D657" s="3">
        <f>IF(C657="","",IFERROR(INDEX(Steps!$C$5:$C$62,MATCH(C657,Steps!$A$5:$A$62,0)),""))</f>
        <v/>
      </c>
      <c r="E657" s="6" t="n"/>
      <c r="F657" s="8" t="n"/>
      <c r="G657" s="6" t="n"/>
      <c r="H657" s="7" t="n"/>
      <c r="I657" s="6" t="n"/>
      <c r="J657" s="9" t="n"/>
      <c r="K657" s="11">
        <f>IF(C657="","",N(IFERROR(INDEX(Steps!$E$5:$E$62,MATCH(C657,Steps!$A$5:$A$62,0)),"")))</f>
        <v/>
      </c>
      <c r="L657" s="11">
        <f>IF(AND(C657&lt;&gt;"",E657&lt;&gt;"",I657&lt;&gt;"",OR(Settings!$B$10="No",I657&lt;&gt;E657)),K657*F657,0)</f>
        <v/>
      </c>
      <c r="M657" s="11">
        <f>IF(AND(AND(C657&lt;&gt;"",E657&lt;&gt;"",I657&lt;&gt;"",OR(Settings!$B$10="No",I657&lt;&gt;E657)),G657="Paid a pro",Settings!$B$9="Yes"),MAX(0,H657-K657*F657),0)</f>
        <v/>
      </c>
      <c r="N657" s="3">
        <f>IF(C657="","",IF(B657="","Enter the boat number",IF(B657&gt;Settings!$B$6,"Boat number above the boat count",IF(SUMIFS($F$5:$F$1004,$B$5:$B$1004,B657,$C$5:$C$1004,C657)&gt;1.0001,"Shares for this step add up to over 100%",IF(I657="","Waiting for sign-off",IF(AND(Settings!$B$10="Yes",I657=E657),"Needs a different member to sign off","OK"))))))</f>
        <v/>
      </c>
    </row>
    <row r="658">
      <c r="A658" s="9" t="n"/>
      <c r="B658" s="6" t="n"/>
      <c r="C658" s="6" t="n"/>
      <c r="D658" s="3">
        <f>IF(C658="","",IFERROR(INDEX(Steps!$C$5:$C$62,MATCH(C658,Steps!$A$5:$A$62,0)),""))</f>
        <v/>
      </c>
      <c r="E658" s="6" t="n"/>
      <c r="F658" s="8" t="n"/>
      <c r="G658" s="6" t="n"/>
      <c r="H658" s="7" t="n"/>
      <c r="I658" s="6" t="n"/>
      <c r="J658" s="9" t="n"/>
      <c r="K658" s="11">
        <f>IF(C658="","",N(IFERROR(INDEX(Steps!$E$5:$E$62,MATCH(C658,Steps!$A$5:$A$62,0)),"")))</f>
        <v/>
      </c>
      <c r="L658" s="11">
        <f>IF(AND(C658&lt;&gt;"",E658&lt;&gt;"",I658&lt;&gt;"",OR(Settings!$B$10="No",I658&lt;&gt;E658)),K658*F658,0)</f>
        <v/>
      </c>
      <c r="M658" s="11">
        <f>IF(AND(AND(C658&lt;&gt;"",E658&lt;&gt;"",I658&lt;&gt;"",OR(Settings!$B$10="No",I658&lt;&gt;E658)),G658="Paid a pro",Settings!$B$9="Yes"),MAX(0,H658-K658*F658),0)</f>
        <v/>
      </c>
      <c r="N658" s="3">
        <f>IF(C658="","",IF(B658="","Enter the boat number",IF(B658&gt;Settings!$B$6,"Boat number above the boat count",IF(SUMIFS($F$5:$F$1004,$B$5:$B$1004,B658,$C$5:$C$1004,C658)&gt;1.0001,"Shares for this step add up to over 100%",IF(I658="","Waiting for sign-off",IF(AND(Settings!$B$10="Yes",I658=E658),"Needs a different member to sign off","OK"))))))</f>
        <v/>
      </c>
    </row>
    <row r="659">
      <c r="A659" s="9" t="n"/>
      <c r="B659" s="6" t="n"/>
      <c r="C659" s="6" t="n"/>
      <c r="D659" s="3">
        <f>IF(C659="","",IFERROR(INDEX(Steps!$C$5:$C$62,MATCH(C659,Steps!$A$5:$A$62,0)),""))</f>
        <v/>
      </c>
      <c r="E659" s="6" t="n"/>
      <c r="F659" s="8" t="n"/>
      <c r="G659" s="6" t="n"/>
      <c r="H659" s="7" t="n"/>
      <c r="I659" s="6" t="n"/>
      <c r="J659" s="9" t="n"/>
      <c r="K659" s="11">
        <f>IF(C659="","",N(IFERROR(INDEX(Steps!$E$5:$E$62,MATCH(C659,Steps!$A$5:$A$62,0)),"")))</f>
        <v/>
      </c>
      <c r="L659" s="11">
        <f>IF(AND(C659&lt;&gt;"",E659&lt;&gt;"",I659&lt;&gt;"",OR(Settings!$B$10="No",I659&lt;&gt;E659)),K659*F659,0)</f>
        <v/>
      </c>
      <c r="M659" s="11">
        <f>IF(AND(AND(C659&lt;&gt;"",E659&lt;&gt;"",I659&lt;&gt;"",OR(Settings!$B$10="No",I659&lt;&gt;E659)),G659="Paid a pro",Settings!$B$9="Yes"),MAX(0,H659-K659*F659),0)</f>
        <v/>
      </c>
      <c r="N659" s="3">
        <f>IF(C659="","",IF(B659="","Enter the boat number",IF(B659&gt;Settings!$B$6,"Boat number above the boat count",IF(SUMIFS($F$5:$F$1004,$B$5:$B$1004,B659,$C$5:$C$1004,C659)&gt;1.0001,"Shares for this step add up to over 100%",IF(I659="","Waiting for sign-off",IF(AND(Settings!$B$10="Yes",I659=E659),"Needs a different member to sign off","OK"))))))</f>
        <v/>
      </c>
    </row>
    <row r="660">
      <c r="A660" s="9" t="n"/>
      <c r="B660" s="6" t="n"/>
      <c r="C660" s="6" t="n"/>
      <c r="D660" s="3">
        <f>IF(C660="","",IFERROR(INDEX(Steps!$C$5:$C$62,MATCH(C660,Steps!$A$5:$A$62,0)),""))</f>
        <v/>
      </c>
      <c r="E660" s="6" t="n"/>
      <c r="F660" s="8" t="n"/>
      <c r="G660" s="6" t="n"/>
      <c r="H660" s="7" t="n"/>
      <c r="I660" s="6" t="n"/>
      <c r="J660" s="9" t="n"/>
      <c r="K660" s="11">
        <f>IF(C660="","",N(IFERROR(INDEX(Steps!$E$5:$E$62,MATCH(C660,Steps!$A$5:$A$62,0)),"")))</f>
        <v/>
      </c>
      <c r="L660" s="11">
        <f>IF(AND(C660&lt;&gt;"",E660&lt;&gt;"",I660&lt;&gt;"",OR(Settings!$B$10="No",I660&lt;&gt;E660)),K660*F660,0)</f>
        <v/>
      </c>
      <c r="M660" s="11">
        <f>IF(AND(AND(C660&lt;&gt;"",E660&lt;&gt;"",I660&lt;&gt;"",OR(Settings!$B$10="No",I660&lt;&gt;E660)),G660="Paid a pro",Settings!$B$9="Yes"),MAX(0,H660-K660*F660),0)</f>
        <v/>
      </c>
      <c r="N660" s="3">
        <f>IF(C660="","",IF(B660="","Enter the boat number",IF(B660&gt;Settings!$B$6,"Boat number above the boat count",IF(SUMIFS($F$5:$F$1004,$B$5:$B$1004,B660,$C$5:$C$1004,C660)&gt;1.0001,"Shares for this step add up to over 100%",IF(I660="","Waiting for sign-off",IF(AND(Settings!$B$10="Yes",I660=E660),"Needs a different member to sign off","OK"))))))</f>
        <v/>
      </c>
    </row>
    <row r="661">
      <c r="A661" s="9" t="n"/>
      <c r="B661" s="6" t="n"/>
      <c r="C661" s="6" t="n"/>
      <c r="D661" s="3">
        <f>IF(C661="","",IFERROR(INDEX(Steps!$C$5:$C$62,MATCH(C661,Steps!$A$5:$A$62,0)),""))</f>
        <v/>
      </c>
      <c r="E661" s="6" t="n"/>
      <c r="F661" s="8" t="n"/>
      <c r="G661" s="6" t="n"/>
      <c r="H661" s="7" t="n"/>
      <c r="I661" s="6" t="n"/>
      <c r="J661" s="9" t="n"/>
      <c r="K661" s="11">
        <f>IF(C661="","",N(IFERROR(INDEX(Steps!$E$5:$E$62,MATCH(C661,Steps!$A$5:$A$62,0)),"")))</f>
        <v/>
      </c>
      <c r="L661" s="11">
        <f>IF(AND(C661&lt;&gt;"",E661&lt;&gt;"",I661&lt;&gt;"",OR(Settings!$B$10="No",I661&lt;&gt;E661)),K661*F661,0)</f>
        <v/>
      </c>
      <c r="M661" s="11">
        <f>IF(AND(AND(C661&lt;&gt;"",E661&lt;&gt;"",I661&lt;&gt;"",OR(Settings!$B$10="No",I661&lt;&gt;E661)),G661="Paid a pro",Settings!$B$9="Yes"),MAX(0,H661-K661*F661),0)</f>
        <v/>
      </c>
      <c r="N661" s="3">
        <f>IF(C661="","",IF(B661="","Enter the boat number",IF(B661&gt;Settings!$B$6,"Boat number above the boat count",IF(SUMIFS($F$5:$F$1004,$B$5:$B$1004,B661,$C$5:$C$1004,C661)&gt;1.0001,"Shares for this step add up to over 100%",IF(I661="","Waiting for sign-off",IF(AND(Settings!$B$10="Yes",I661=E661),"Needs a different member to sign off","OK"))))))</f>
        <v/>
      </c>
    </row>
    <row r="662">
      <c r="A662" s="9" t="n"/>
      <c r="B662" s="6" t="n"/>
      <c r="C662" s="6" t="n"/>
      <c r="D662" s="3">
        <f>IF(C662="","",IFERROR(INDEX(Steps!$C$5:$C$62,MATCH(C662,Steps!$A$5:$A$62,0)),""))</f>
        <v/>
      </c>
      <c r="E662" s="6" t="n"/>
      <c r="F662" s="8" t="n"/>
      <c r="G662" s="6" t="n"/>
      <c r="H662" s="7" t="n"/>
      <c r="I662" s="6" t="n"/>
      <c r="J662" s="9" t="n"/>
      <c r="K662" s="11">
        <f>IF(C662="","",N(IFERROR(INDEX(Steps!$E$5:$E$62,MATCH(C662,Steps!$A$5:$A$62,0)),"")))</f>
        <v/>
      </c>
      <c r="L662" s="11">
        <f>IF(AND(C662&lt;&gt;"",E662&lt;&gt;"",I662&lt;&gt;"",OR(Settings!$B$10="No",I662&lt;&gt;E662)),K662*F662,0)</f>
        <v/>
      </c>
      <c r="M662" s="11">
        <f>IF(AND(AND(C662&lt;&gt;"",E662&lt;&gt;"",I662&lt;&gt;"",OR(Settings!$B$10="No",I662&lt;&gt;E662)),G662="Paid a pro",Settings!$B$9="Yes"),MAX(0,H662-K662*F662),0)</f>
        <v/>
      </c>
      <c r="N662" s="3">
        <f>IF(C662="","",IF(B662="","Enter the boat number",IF(B662&gt;Settings!$B$6,"Boat number above the boat count",IF(SUMIFS($F$5:$F$1004,$B$5:$B$1004,B662,$C$5:$C$1004,C662)&gt;1.0001,"Shares for this step add up to over 100%",IF(I662="","Waiting for sign-off",IF(AND(Settings!$B$10="Yes",I662=E662),"Needs a different member to sign off","OK"))))))</f>
        <v/>
      </c>
    </row>
    <row r="663">
      <c r="A663" s="9" t="n"/>
      <c r="B663" s="6" t="n"/>
      <c r="C663" s="6" t="n"/>
      <c r="D663" s="3">
        <f>IF(C663="","",IFERROR(INDEX(Steps!$C$5:$C$62,MATCH(C663,Steps!$A$5:$A$62,0)),""))</f>
        <v/>
      </c>
      <c r="E663" s="6" t="n"/>
      <c r="F663" s="8" t="n"/>
      <c r="G663" s="6" t="n"/>
      <c r="H663" s="7" t="n"/>
      <c r="I663" s="6" t="n"/>
      <c r="J663" s="9" t="n"/>
      <c r="K663" s="11">
        <f>IF(C663="","",N(IFERROR(INDEX(Steps!$E$5:$E$62,MATCH(C663,Steps!$A$5:$A$62,0)),"")))</f>
        <v/>
      </c>
      <c r="L663" s="11">
        <f>IF(AND(C663&lt;&gt;"",E663&lt;&gt;"",I663&lt;&gt;"",OR(Settings!$B$10="No",I663&lt;&gt;E663)),K663*F663,0)</f>
        <v/>
      </c>
      <c r="M663" s="11">
        <f>IF(AND(AND(C663&lt;&gt;"",E663&lt;&gt;"",I663&lt;&gt;"",OR(Settings!$B$10="No",I663&lt;&gt;E663)),G663="Paid a pro",Settings!$B$9="Yes"),MAX(0,H663-K663*F663),0)</f>
        <v/>
      </c>
      <c r="N663" s="3">
        <f>IF(C663="","",IF(B663="","Enter the boat number",IF(B663&gt;Settings!$B$6,"Boat number above the boat count",IF(SUMIFS($F$5:$F$1004,$B$5:$B$1004,B663,$C$5:$C$1004,C663)&gt;1.0001,"Shares for this step add up to over 100%",IF(I663="","Waiting for sign-off",IF(AND(Settings!$B$10="Yes",I663=E663),"Needs a different member to sign off","OK"))))))</f>
        <v/>
      </c>
    </row>
    <row r="664">
      <c r="A664" s="9" t="n"/>
      <c r="B664" s="6" t="n"/>
      <c r="C664" s="6" t="n"/>
      <c r="D664" s="3">
        <f>IF(C664="","",IFERROR(INDEX(Steps!$C$5:$C$62,MATCH(C664,Steps!$A$5:$A$62,0)),""))</f>
        <v/>
      </c>
      <c r="E664" s="6" t="n"/>
      <c r="F664" s="8" t="n"/>
      <c r="G664" s="6" t="n"/>
      <c r="H664" s="7" t="n"/>
      <c r="I664" s="6" t="n"/>
      <c r="J664" s="9" t="n"/>
      <c r="K664" s="11">
        <f>IF(C664="","",N(IFERROR(INDEX(Steps!$E$5:$E$62,MATCH(C664,Steps!$A$5:$A$62,0)),"")))</f>
        <v/>
      </c>
      <c r="L664" s="11">
        <f>IF(AND(C664&lt;&gt;"",E664&lt;&gt;"",I664&lt;&gt;"",OR(Settings!$B$10="No",I664&lt;&gt;E664)),K664*F664,0)</f>
        <v/>
      </c>
      <c r="M664" s="11">
        <f>IF(AND(AND(C664&lt;&gt;"",E664&lt;&gt;"",I664&lt;&gt;"",OR(Settings!$B$10="No",I664&lt;&gt;E664)),G664="Paid a pro",Settings!$B$9="Yes"),MAX(0,H664-K664*F664),0)</f>
        <v/>
      </c>
      <c r="N664" s="3">
        <f>IF(C664="","",IF(B664="","Enter the boat number",IF(B664&gt;Settings!$B$6,"Boat number above the boat count",IF(SUMIFS($F$5:$F$1004,$B$5:$B$1004,B664,$C$5:$C$1004,C664)&gt;1.0001,"Shares for this step add up to over 100%",IF(I664="","Waiting for sign-off",IF(AND(Settings!$B$10="Yes",I664=E664),"Needs a different member to sign off","OK"))))))</f>
        <v/>
      </c>
    </row>
    <row r="665">
      <c r="A665" s="9" t="n"/>
      <c r="B665" s="6" t="n"/>
      <c r="C665" s="6" t="n"/>
      <c r="D665" s="3">
        <f>IF(C665="","",IFERROR(INDEX(Steps!$C$5:$C$62,MATCH(C665,Steps!$A$5:$A$62,0)),""))</f>
        <v/>
      </c>
      <c r="E665" s="6" t="n"/>
      <c r="F665" s="8" t="n"/>
      <c r="G665" s="6" t="n"/>
      <c r="H665" s="7" t="n"/>
      <c r="I665" s="6" t="n"/>
      <c r="J665" s="9" t="n"/>
      <c r="K665" s="11">
        <f>IF(C665="","",N(IFERROR(INDEX(Steps!$E$5:$E$62,MATCH(C665,Steps!$A$5:$A$62,0)),"")))</f>
        <v/>
      </c>
      <c r="L665" s="11">
        <f>IF(AND(C665&lt;&gt;"",E665&lt;&gt;"",I665&lt;&gt;"",OR(Settings!$B$10="No",I665&lt;&gt;E665)),K665*F665,0)</f>
        <v/>
      </c>
      <c r="M665" s="11">
        <f>IF(AND(AND(C665&lt;&gt;"",E665&lt;&gt;"",I665&lt;&gt;"",OR(Settings!$B$10="No",I665&lt;&gt;E665)),G665="Paid a pro",Settings!$B$9="Yes"),MAX(0,H665-K665*F665),0)</f>
        <v/>
      </c>
      <c r="N665" s="3">
        <f>IF(C665="","",IF(B665="","Enter the boat number",IF(B665&gt;Settings!$B$6,"Boat number above the boat count",IF(SUMIFS($F$5:$F$1004,$B$5:$B$1004,B665,$C$5:$C$1004,C665)&gt;1.0001,"Shares for this step add up to over 100%",IF(I665="","Waiting for sign-off",IF(AND(Settings!$B$10="Yes",I665=E665),"Needs a different member to sign off","OK"))))))</f>
        <v/>
      </c>
    </row>
    <row r="666">
      <c r="A666" s="9" t="n"/>
      <c r="B666" s="6" t="n"/>
      <c r="C666" s="6" t="n"/>
      <c r="D666" s="3">
        <f>IF(C666="","",IFERROR(INDEX(Steps!$C$5:$C$62,MATCH(C666,Steps!$A$5:$A$62,0)),""))</f>
        <v/>
      </c>
      <c r="E666" s="6" t="n"/>
      <c r="F666" s="8" t="n"/>
      <c r="G666" s="6" t="n"/>
      <c r="H666" s="7" t="n"/>
      <c r="I666" s="6" t="n"/>
      <c r="J666" s="9" t="n"/>
      <c r="K666" s="11">
        <f>IF(C666="","",N(IFERROR(INDEX(Steps!$E$5:$E$62,MATCH(C666,Steps!$A$5:$A$62,0)),"")))</f>
        <v/>
      </c>
      <c r="L666" s="11">
        <f>IF(AND(C666&lt;&gt;"",E666&lt;&gt;"",I666&lt;&gt;"",OR(Settings!$B$10="No",I666&lt;&gt;E666)),K666*F666,0)</f>
        <v/>
      </c>
      <c r="M666" s="11">
        <f>IF(AND(AND(C666&lt;&gt;"",E666&lt;&gt;"",I666&lt;&gt;"",OR(Settings!$B$10="No",I666&lt;&gt;E666)),G666="Paid a pro",Settings!$B$9="Yes"),MAX(0,H666-K666*F666),0)</f>
        <v/>
      </c>
      <c r="N666" s="3">
        <f>IF(C666="","",IF(B666="","Enter the boat number",IF(B666&gt;Settings!$B$6,"Boat number above the boat count",IF(SUMIFS($F$5:$F$1004,$B$5:$B$1004,B666,$C$5:$C$1004,C666)&gt;1.0001,"Shares for this step add up to over 100%",IF(I666="","Waiting for sign-off",IF(AND(Settings!$B$10="Yes",I666=E666),"Needs a different member to sign off","OK"))))))</f>
        <v/>
      </c>
    </row>
    <row r="667">
      <c r="A667" s="9" t="n"/>
      <c r="B667" s="6" t="n"/>
      <c r="C667" s="6" t="n"/>
      <c r="D667" s="3">
        <f>IF(C667="","",IFERROR(INDEX(Steps!$C$5:$C$62,MATCH(C667,Steps!$A$5:$A$62,0)),""))</f>
        <v/>
      </c>
      <c r="E667" s="6" t="n"/>
      <c r="F667" s="8" t="n"/>
      <c r="G667" s="6" t="n"/>
      <c r="H667" s="7" t="n"/>
      <c r="I667" s="6" t="n"/>
      <c r="J667" s="9" t="n"/>
      <c r="K667" s="11">
        <f>IF(C667="","",N(IFERROR(INDEX(Steps!$E$5:$E$62,MATCH(C667,Steps!$A$5:$A$62,0)),"")))</f>
        <v/>
      </c>
      <c r="L667" s="11">
        <f>IF(AND(C667&lt;&gt;"",E667&lt;&gt;"",I667&lt;&gt;"",OR(Settings!$B$10="No",I667&lt;&gt;E667)),K667*F667,0)</f>
        <v/>
      </c>
      <c r="M667" s="11">
        <f>IF(AND(AND(C667&lt;&gt;"",E667&lt;&gt;"",I667&lt;&gt;"",OR(Settings!$B$10="No",I667&lt;&gt;E667)),G667="Paid a pro",Settings!$B$9="Yes"),MAX(0,H667-K667*F667),0)</f>
        <v/>
      </c>
      <c r="N667" s="3">
        <f>IF(C667="","",IF(B667="","Enter the boat number",IF(B667&gt;Settings!$B$6,"Boat number above the boat count",IF(SUMIFS($F$5:$F$1004,$B$5:$B$1004,B667,$C$5:$C$1004,C667)&gt;1.0001,"Shares for this step add up to over 100%",IF(I667="","Waiting for sign-off",IF(AND(Settings!$B$10="Yes",I667=E667),"Needs a different member to sign off","OK"))))))</f>
        <v/>
      </c>
    </row>
    <row r="668">
      <c r="A668" s="9" t="n"/>
      <c r="B668" s="6" t="n"/>
      <c r="C668" s="6" t="n"/>
      <c r="D668" s="3">
        <f>IF(C668="","",IFERROR(INDEX(Steps!$C$5:$C$62,MATCH(C668,Steps!$A$5:$A$62,0)),""))</f>
        <v/>
      </c>
      <c r="E668" s="6" t="n"/>
      <c r="F668" s="8" t="n"/>
      <c r="G668" s="6" t="n"/>
      <c r="H668" s="7" t="n"/>
      <c r="I668" s="6" t="n"/>
      <c r="J668" s="9" t="n"/>
      <c r="K668" s="11">
        <f>IF(C668="","",N(IFERROR(INDEX(Steps!$E$5:$E$62,MATCH(C668,Steps!$A$5:$A$62,0)),"")))</f>
        <v/>
      </c>
      <c r="L668" s="11">
        <f>IF(AND(C668&lt;&gt;"",E668&lt;&gt;"",I668&lt;&gt;"",OR(Settings!$B$10="No",I668&lt;&gt;E668)),K668*F668,0)</f>
        <v/>
      </c>
      <c r="M668" s="11">
        <f>IF(AND(AND(C668&lt;&gt;"",E668&lt;&gt;"",I668&lt;&gt;"",OR(Settings!$B$10="No",I668&lt;&gt;E668)),G668="Paid a pro",Settings!$B$9="Yes"),MAX(0,H668-K668*F668),0)</f>
        <v/>
      </c>
      <c r="N668" s="3">
        <f>IF(C668="","",IF(B668="","Enter the boat number",IF(B668&gt;Settings!$B$6,"Boat number above the boat count",IF(SUMIFS($F$5:$F$1004,$B$5:$B$1004,B668,$C$5:$C$1004,C668)&gt;1.0001,"Shares for this step add up to over 100%",IF(I668="","Waiting for sign-off",IF(AND(Settings!$B$10="Yes",I668=E668),"Needs a different member to sign off","OK"))))))</f>
        <v/>
      </c>
    </row>
    <row r="669">
      <c r="A669" s="9" t="n"/>
      <c r="B669" s="6" t="n"/>
      <c r="C669" s="6" t="n"/>
      <c r="D669" s="3">
        <f>IF(C669="","",IFERROR(INDEX(Steps!$C$5:$C$62,MATCH(C669,Steps!$A$5:$A$62,0)),""))</f>
        <v/>
      </c>
      <c r="E669" s="6" t="n"/>
      <c r="F669" s="8" t="n"/>
      <c r="G669" s="6" t="n"/>
      <c r="H669" s="7" t="n"/>
      <c r="I669" s="6" t="n"/>
      <c r="J669" s="9" t="n"/>
      <c r="K669" s="11">
        <f>IF(C669="","",N(IFERROR(INDEX(Steps!$E$5:$E$62,MATCH(C669,Steps!$A$5:$A$62,0)),"")))</f>
        <v/>
      </c>
      <c r="L669" s="11">
        <f>IF(AND(C669&lt;&gt;"",E669&lt;&gt;"",I669&lt;&gt;"",OR(Settings!$B$10="No",I669&lt;&gt;E669)),K669*F669,0)</f>
        <v/>
      </c>
      <c r="M669" s="11">
        <f>IF(AND(AND(C669&lt;&gt;"",E669&lt;&gt;"",I669&lt;&gt;"",OR(Settings!$B$10="No",I669&lt;&gt;E669)),G669="Paid a pro",Settings!$B$9="Yes"),MAX(0,H669-K669*F669),0)</f>
        <v/>
      </c>
      <c r="N669" s="3">
        <f>IF(C669="","",IF(B669="","Enter the boat number",IF(B669&gt;Settings!$B$6,"Boat number above the boat count",IF(SUMIFS($F$5:$F$1004,$B$5:$B$1004,B669,$C$5:$C$1004,C669)&gt;1.0001,"Shares for this step add up to over 100%",IF(I669="","Waiting for sign-off",IF(AND(Settings!$B$10="Yes",I669=E669),"Needs a different member to sign off","OK"))))))</f>
        <v/>
      </c>
    </row>
    <row r="670">
      <c r="A670" s="9" t="n"/>
      <c r="B670" s="6" t="n"/>
      <c r="C670" s="6" t="n"/>
      <c r="D670" s="3">
        <f>IF(C670="","",IFERROR(INDEX(Steps!$C$5:$C$62,MATCH(C670,Steps!$A$5:$A$62,0)),""))</f>
        <v/>
      </c>
      <c r="E670" s="6" t="n"/>
      <c r="F670" s="8" t="n"/>
      <c r="G670" s="6" t="n"/>
      <c r="H670" s="7" t="n"/>
      <c r="I670" s="6" t="n"/>
      <c r="J670" s="9" t="n"/>
      <c r="K670" s="11">
        <f>IF(C670="","",N(IFERROR(INDEX(Steps!$E$5:$E$62,MATCH(C670,Steps!$A$5:$A$62,0)),"")))</f>
        <v/>
      </c>
      <c r="L670" s="11">
        <f>IF(AND(C670&lt;&gt;"",E670&lt;&gt;"",I670&lt;&gt;"",OR(Settings!$B$10="No",I670&lt;&gt;E670)),K670*F670,0)</f>
        <v/>
      </c>
      <c r="M670" s="11">
        <f>IF(AND(AND(C670&lt;&gt;"",E670&lt;&gt;"",I670&lt;&gt;"",OR(Settings!$B$10="No",I670&lt;&gt;E670)),G670="Paid a pro",Settings!$B$9="Yes"),MAX(0,H670-K670*F670),0)</f>
        <v/>
      </c>
      <c r="N670" s="3">
        <f>IF(C670="","",IF(B670="","Enter the boat number",IF(B670&gt;Settings!$B$6,"Boat number above the boat count",IF(SUMIFS($F$5:$F$1004,$B$5:$B$1004,B670,$C$5:$C$1004,C670)&gt;1.0001,"Shares for this step add up to over 100%",IF(I670="","Waiting for sign-off",IF(AND(Settings!$B$10="Yes",I670=E670),"Needs a different member to sign off","OK"))))))</f>
        <v/>
      </c>
    </row>
    <row r="671">
      <c r="A671" s="9" t="n"/>
      <c r="B671" s="6" t="n"/>
      <c r="C671" s="6" t="n"/>
      <c r="D671" s="3">
        <f>IF(C671="","",IFERROR(INDEX(Steps!$C$5:$C$62,MATCH(C671,Steps!$A$5:$A$62,0)),""))</f>
        <v/>
      </c>
      <c r="E671" s="6" t="n"/>
      <c r="F671" s="8" t="n"/>
      <c r="G671" s="6" t="n"/>
      <c r="H671" s="7" t="n"/>
      <c r="I671" s="6" t="n"/>
      <c r="J671" s="9" t="n"/>
      <c r="K671" s="11">
        <f>IF(C671="","",N(IFERROR(INDEX(Steps!$E$5:$E$62,MATCH(C671,Steps!$A$5:$A$62,0)),"")))</f>
        <v/>
      </c>
      <c r="L671" s="11">
        <f>IF(AND(C671&lt;&gt;"",E671&lt;&gt;"",I671&lt;&gt;"",OR(Settings!$B$10="No",I671&lt;&gt;E671)),K671*F671,0)</f>
        <v/>
      </c>
      <c r="M671" s="11">
        <f>IF(AND(AND(C671&lt;&gt;"",E671&lt;&gt;"",I671&lt;&gt;"",OR(Settings!$B$10="No",I671&lt;&gt;E671)),G671="Paid a pro",Settings!$B$9="Yes"),MAX(0,H671-K671*F671),0)</f>
        <v/>
      </c>
      <c r="N671" s="3">
        <f>IF(C671="","",IF(B671="","Enter the boat number",IF(B671&gt;Settings!$B$6,"Boat number above the boat count",IF(SUMIFS($F$5:$F$1004,$B$5:$B$1004,B671,$C$5:$C$1004,C671)&gt;1.0001,"Shares for this step add up to over 100%",IF(I671="","Waiting for sign-off",IF(AND(Settings!$B$10="Yes",I671=E671),"Needs a different member to sign off","OK"))))))</f>
        <v/>
      </c>
    </row>
    <row r="672">
      <c r="A672" s="9" t="n"/>
      <c r="B672" s="6" t="n"/>
      <c r="C672" s="6" t="n"/>
      <c r="D672" s="3">
        <f>IF(C672="","",IFERROR(INDEX(Steps!$C$5:$C$62,MATCH(C672,Steps!$A$5:$A$62,0)),""))</f>
        <v/>
      </c>
      <c r="E672" s="6" t="n"/>
      <c r="F672" s="8" t="n"/>
      <c r="G672" s="6" t="n"/>
      <c r="H672" s="7" t="n"/>
      <c r="I672" s="6" t="n"/>
      <c r="J672" s="9" t="n"/>
      <c r="K672" s="11">
        <f>IF(C672="","",N(IFERROR(INDEX(Steps!$E$5:$E$62,MATCH(C672,Steps!$A$5:$A$62,0)),"")))</f>
        <v/>
      </c>
      <c r="L672" s="11">
        <f>IF(AND(C672&lt;&gt;"",E672&lt;&gt;"",I672&lt;&gt;"",OR(Settings!$B$10="No",I672&lt;&gt;E672)),K672*F672,0)</f>
        <v/>
      </c>
      <c r="M672" s="11">
        <f>IF(AND(AND(C672&lt;&gt;"",E672&lt;&gt;"",I672&lt;&gt;"",OR(Settings!$B$10="No",I672&lt;&gt;E672)),G672="Paid a pro",Settings!$B$9="Yes"),MAX(0,H672-K672*F672),0)</f>
        <v/>
      </c>
      <c r="N672" s="3">
        <f>IF(C672="","",IF(B672="","Enter the boat number",IF(B672&gt;Settings!$B$6,"Boat number above the boat count",IF(SUMIFS($F$5:$F$1004,$B$5:$B$1004,B672,$C$5:$C$1004,C672)&gt;1.0001,"Shares for this step add up to over 100%",IF(I672="","Waiting for sign-off",IF(AND(Settings!$B$10="Yes",I672=E672),"Needs a different member to sign off","OK"))))))</f>
        <v/>
      </c>
    </row>
    <row r="673">
      <c r="A673" s="9" t="n"/>
      <c r="B673" s="6" t="n"/>
      <c r="C673" s="6" t="n"/>
      <c r="D673" s="3">
        <f>IF(C673="","",IFERROR(INDEX(Steps!$C$5:$C$62,MATCH(C673,Steps!$A$5:$A$62,0)),""))</f>
        <v/>
      </c>
      <c r="E673" s="6" t="n"/>
      <c r="F673" s="8" t="n"/>
      <c r="G673" s="6" t="n"/>
      <c r="H673" s="7" t="n"/>
      <c r="I673" s="6" t="n"/>
      <c r="J673" s="9" t="n"/>
      <c r="K673" s="11">
        <f>IF(C673="","",N(IFERROR(INDEX(Steps!$E$5:$E$62,MATCH(C673,Steps!$A$5:$A$62,0)),"")))</f>
        <v/>
      </c>
      <c r="L673" s="11">
        <f>IF(AND(C673&lt;&gt;"",E673&lt;&gt;"",I673&lt;&gt;"",OR(Settings!$B$10="No",I673&lt;&gt;E673)),K673*F673,0)</f>
        <v/>
      </c>
      <c r="M673" s="11">
        <f>IF(AND(AND(C673&lt;&gt;"",E673&lt;&gt;"",I673&lt;&gt;"",OR(Settings!$B$10="No",I673&lt;&gt;E673)),G673="Paid a pro",Settings!$B$9="Yes"),MAX(0,H673-K673*F673),0)</f>
        <v/>
      </c>
      <c r="N673" s="3">
        <f>IF(C673="","",IF(B673="","Enter the boat number",IF(B673&gt;Settings!$B$6,"Boat number above the boat count",IF(SUMIFS($F$5:$F$1004,$B$5:$B$1004,B673,$C$5:$C$1004,C673)&gt;1.0001,"Shares for this step add up to over 100%",IF(I673="","Waiting for sign-off",IF(AND(Settings!$B$10="Yes",I673=E673),"Needs a different member to sign off","OK"))))))</f>
        <v/>
      </c>
    </row>
    <row r="674">
      <c r="A674" s="9" t="n"/>
      <c r="B674" s="6" t="n"/>
      <c r="C674" s="6" t="n"/>
      <c r="D674" s="3">
        <f>IF(C674="","",IFERROR(INDEX(Steps!$C$5:$C$62,MATCH(C674,Steps!$A$5:$A$62,0)),""))</f>
        <v/>
      </c>
      <c r="E674" s="6" t="n"/>
      <c r="F674" s="8" t="n"/>
      <c r="G674" s="6" t="n"/>
      <c r="H674" s="7" t="n"/>
      <c r="I674" s="6" t="n"/>
      <c r="J674" s="9" t="n"/>
      <c r="K674" s="11">
        <f>IF(C674="","",N(IFERROR(INDEX(Steps!$E$5:$E$62,MATCH(C674,Steps!$A$5:$A$62,0)),"")))</f>
        <v/>
      </c>
      <c r="L674" s="11">
        <f>IF(AND(C674&lt;&gt;"",E674&lt;&gt;"",I674&lt;&gt;"",OR(Settings!$B$10="No",I674&lt;&gt;E674)),K674*F674,0)</f>
        <v/>
      </c>
      <c r="M674" s="11">
        <f>IF(AND(AND(C674&lt;&gt;"",E674&lt;&gt;"",I674&lt;&gt;"",OR(Settings!$B$10="No",I674&lt;&gt;E674)),G674="Paid a pro",Settings!$B$9="Yes"),MAX(0,H674-K674*F674),0)</f>
        <v/>
      </c>
      <c r="N674" s="3">
        <f>IF(C674="","",IF(B674="","Enter the boat number",IF(B674&gt;Settings!$B$6,"Boat number above the boat count",IF(SUMIFS($F$5:$F$1004,$B$5:$B$1004,B674,$C$5:$C$1004,C674)&gt;1.0001,"Shares for this step add up to over 100%",IF(I674="","Waiting for sign-off",IF(AND(Settings!$B$10="Yes",I674=E674),"Needs a different member to sign off","OK"))))))</f>
        <v/>
      </c>
    </row>
    <row r="675">
      <c r="A675" s="9" t="n"/>
      <c r="B675" s="6" t="n"/>
      <c r="C675" s="6" t="n"/>
      <c r="D675" s="3">
        <f>IF(C675="","",IFERROR(INDEX(Steps!$C$5:$C$62,MATCH(C675,Steps!$A$5:$A$62,0)),""))</f>
        <v/>
      </c>
      <c r="E675" s="6" t="n"/>
      <c r="F675" s="8" t="n"/>
      <c r="G675" s="6" t="n"/>
      <c r="H675" s="7" t="n"/>
      <c r="I675" s="6" t="n"/>
      <c r="J675" s="9" t="n"/>
      <c r="K675" s="11">
        <f>IF(C675="","",N(IFERROR(INDEX(Steps!$E$5:$E$62,MATCH(C675,Steps!$A$5:$A$62,0)),"")))</f>
        <v/>
      </c>
      <c r="L675" s="11">
        <f>IF(AND(C675&lt;&gt;"",E675&lt;&gt;"",I675&lt;&gt;"",OR(Settings!$B$10="No",I675&lt;&gt;E675)),K675*F675,0)</f>
        <v/>
      </c>
      <c r="M675" s="11">
        <f>IF(AND(AND(C675&lt;&gt;"",E675&lt;&gt;"",I675&lt;&gt;"",OR(Settings!$B$10="No",I675&lt;&gt;E675)),G675="Paid a pro",Settings!$B$9="Yes"),MAX(0,H675-K675*F675),0)</f>
        <v/>
      </c>
      <c r="N675" s="3">
        <f>IF(C675="","",IF(B675="","Enter the boat number",IF(B675&gt;Settings!$B$6,"Boat number above the boat count",IF(SUMIFS($F$5:$F$1004,$B$5:$B$1004,B675,$C$5:$C$1004,C675)&gt;1.0001,"Shares for this step add up to over 100%",IF(I675="","Waiting for sign-off",IF(AND(Settings!$B$10="Yes",I675=E675),"Needs a different member to sign off","OK"))))))</f>
        <v/>
      </c>
    </row>
    <row r="676">
      <c r="A676" s="9" t="n"/>
      <c r="B676" s="6" t="n"/>
      <c r="C676" s="6" t="n"/>
      <c r="D676" s="3">
        <f>IF(C676="","",IFERROR(INDEX(Steps!$C$5:$C$62,MATCH(C676,Steps!$A$5:$A$62,0)),""))</f>
        <v/>
      </c>
      <c r="E676" s="6" t="n"/>
      <c r="F676" s="8" t="n"/>
      <c r="G676" s="6" t="n"/>
      <c r="H676" s="7" t="n"/>
      <c r="I676" s="6" t="n"/>
      <c r="J676" s="9" t="n"/>
      <c r="K676" s="11">
        <f>IF(C676="","",N(IFERROR(INDEX(Steps!$E$5:$E$62,MATCH(C676,Steps!$A$5:$A$62,0)),"")))</f>
        <v/>
      </c>
      <c r="L676" s="11">
        <f>IF(AND(C676&lt;&gt;"",E676&lt;&gt;"",I676&lt;&gt;"",OR(Settings!$B$10="No",I676&lt;&gt;E676)),K676*F676,0)</f>
        <v/>
      </c>
      <c r="M676" s="11">
        <f>IF(AND(AND(C676&lt;&gt;"",E676&lt;&gt;"",I676&lt;&gt;"",OR(Settings!$B$10="No",I676&lt;&gt;E676)),G676="Paid a pro",Settings!$B$9="Yes"),MAX(0,H676-K676*F676),0)</f>
        <v/>
      </c>
      <c r="N676" s="3">
        <f>IF(C676="","",IF(B676="","Enter the boat number",IF(B676&gt;Settings!$B$6,"Boat number above the boat count",IF(SUMIFS($F$5:$F$1004,$B$5:$B$1004,B676,$C$5:$C$1004,C676)&gt;1.0001,"Shares for this step add up to over 100%",IF(I676="","Waiting for sign-off",IF(AND(Settings!$B$10="Yes",I676=E676),"Needs a different member to sign off","OK"))))))</f>
        <v/>
      </c>
    </row>
    <row r="677">
      <c r="A677" s="9" t="n"/>
      <c r="B677" s="6" t="n"/>
      <c r="C677" s="6" t="n"/>
      <c r="D677" s="3">
        <f>IF(C677="","",IFERROR(INDEX(Steps!$C$5:$C$62,MATCH(C677,Steps!$A$5:$A$62,0)),""))</f>
        <v/>
      </c>
      <c r="E677" s="6" t="n"/>
      <c r="F677" s="8" t="n"/>
      <c r="G677" s="6" t="n"/>
      <c r="H677" s="7" t="n"/>
      <c r="I677" s="6" t="n"/>
      <c r="J677" s="9" t="n"/>
      <c r="K677" s="11">
        <f>IF(C677="","",N(IFERROR(INDEX(Steps!$E$5:$E$62,MATCH(C677,Steps!$A$5:$A$62,0)),"")))</f>
        <v/>
      </c>
      <c r="L677" s="11">
        <f>IF(AND(C677&lt;&gt;"",E677&lt;&gt;"",I677&lt;&gt;"",OR(Settings!$B$10="No",I677&lt;&gt;E677)),K677*F677,0)</f>
        <v/>
      </c>
      <c r="M677" s="11">
        <f>IF(AND(AND(C677&lt;&gt;"",E677&lt;&gt;"",I677&lt;&gt;"",OR(Settings!$B$10="No",I677&lt;&gt;E677)),G677="Paid a pro",Settings!$B$9="Yes"),MAX(0,H677-K677*F677),0)</f>
        <v/>
      </c>
      <c r="N677" s="3">
        <f>IF(C677="","",IF(B677="","Enter the boat number",IF(B677&gt;Settings!$B$6,"Boat number above the boat count",IF(SUMIFS($F$5:$F$1004,$B$5:$B$1004,B677,$C$5:$C$1004,C677)&gt;1.0001,"Shares for this step add up to over 100%",IF(I677="","Waiting for sign-off",IF(AND(Settings!$B$10="Yes",I677=E677),"Needs a different member to sign off","OK"))))))</f>
        <v/>
      </c>
    </row>
    <row r="678">
      <c r="A678" s="9" t="n"/>
      <c r="B678" s="6" t="n"/>
      <c r="C678" s="6" t="n"/>
      <c r="D678" s="3">
        <f>IF(C678="","",IFERROR(INDEX(Steps!$C$5:$C$62,MATCH(C678,Steps!$A$5:$A$62,0)),""))</f>
        <v/>
      </c>
      <c r="E678" s="6" t="n"/>
      <c r="F678" s="8" t="n"/>
      <c r="G678" s="6" t="n"/>
      <c r="H678" s="7" t="n"/>
      <c r="I678" s="6" t="n"/>
      <c r="J678" s="9" t="n"/>
      <c r="K678" s="11">
        <f>IF(C678="","",N(IFERROR(INDEX(Steps!$E$5:$E$62,MATCH(C678,Steps!$A$5:$A$62,0)),"")))</f>
        <v/>
      </c>
      <c r="L678" s="11">
        <f>IF(AND(C678&lt;&gt;"",E678&lt;&gt;"",I678&lt;&gt;"",OR(Settings!$B$10="No",I678&lt;&gt;E678)),K678*F678,0)</f>
        <v/>
      </c>
      <c r="M678" s="11">
        <f>IF(AND(AND(C678&lt;&gt;"",E678&lt;&gt;"",I678&lt;&gt;"",OR(Settings!$B$10="No",I678&lt;&gt;E678)),G678="Paid a pro",Settings!$B$9="Yes"),MAX(0,H678-K678*F678),0)</f>
        <v/>
      </c>
      <c r="N678" s="3">
        <f>IF(C678="","",IF(B678="","Enter the boat number",IF(B678&gt;Settings!$B$6,"Boat number above the boat count",IF(SUMIFS($F$5:$F$1004,$B$5:$B$1004,B678,$C$5:$C$1004,C678)&gt;1.0001,"Shares for this step add up to over 100%",IF(I678="","Waiting for sign-off",IF(AND(Settings!$B$10="Yes",I678=E678),"Needs a different member to sign off","OK"))))))</f>
        <v/>
      </c>
    </row>
    <row r="679">
      <c r="A679" s="9" t="n"/>
      <c r="B679" s="6" t="n"/>
      <c r="C679" s="6" t="n"/>
      <c r="D679" s="3">
        <f>IF(C679="","",IFERROR(INDEX(Steps!$C$5:$C$62,MATCH(C679,Steps!$A$5:$A$62,0)),""))</f>
        <v/>
      </c>
      <c r="E679" s="6" t="n"/>
      <c r="F679" s="8" t="n"/>
      <c r="G679" s="6" t="n"/>
      <c r="H679" s="7" t="n"/>
      <c r="I679" s="6" t="n"/>
      <c r="J679" s="9" t="n"/>
      <c r="K679" s="11">
        <f>IF(C679="","",N(IFERROR(INDEX(Steps!$E$5:$E$62,MATCH(C679,Steps!$A$5:$A$62,0)),"")))</f>
        <v/>
      </c>
      <c r="L679" s="11">
        <f>IF(AND(C679&lt;&gt;"",E679&lt;&gt;"",I679&lt;&gt;"",OR(Settings!$B$10="No",I679&lt;&gt;E679)),K679*F679,0)</f>
        <v/>
      </c>
      <c r="M679" s="11">
        <f>IF(AND(AND(C679&lt;&gt;"",E679&lt;&gt;"",I679&lt;&gt;"",OR(Settings!$B$10="No",I679&lt;&gt;E679)),G679="Paid a pro",Settings!$B$9="Yes"),MAX(0,H679-K679*F679),0)</f>
        <v/>
      </c>
      <c r="N679" s="3">
        <f>IF(C679="","",IF(B679="","Enter the boat number",IF(B679&gt;Settings!$B$6,"Boat number above the boat count",IF(SUMIFS($F$5:$F$1004,$B$5:$B$1004,B679,$C$5:$C$1004,C679)&gt;1.0001,"Shares for this step add up to over 100%",IF(I679="","Waiting for sign-off",IF(AND(Settings!$B$10="Yes",I679=E679),"Needs a different member to sign off","OK"))))))</f>
        <v/>
      </c>
    </row>
    <row r="680">
      <c r="A680" s="9" t="n"/>
      <c r="B680" s="6" t="n"/>
      <c r="C680" s="6" t="n"/>
      <c r="D680" s="3">
        <f>IF(C680="","",IFERROR(INDEX(Steps!$C$5:$C$62,MATCH(C680,Steps!$A$5:$A$62,0)),""))</f>
        <v/>
      </c>
      <c r="E680" s="6" t="n"/>
      <c r="F680" s="8" t="n"/>
      <c r="G680" s="6" t="n"/>
      <c r="H680" s="7" t="n"/>
      <c r="I680" s="6" t="n"/>
      <c r="J680" s="9" t="n"/>
      <c r="K680" s="11">
        <f>IF(C680="","",N(IFERROR(INDEX(Steps!$E$5:$E$62,MATCH(C680,Steps!$A$5:$A$62,0)),"")))</f>
        <v/>
      </c>
      <c r="L680" s="11">
        <f>IF(AND(C680&lt;&gt;"",E680&lt;&gt;"",I680&lt;&gt;"",OR(Settings!$B$10="No",I680&lt;&gt;E680)),K680*F680,0)</f>
        <v/>
      </c>
      <c r="M680" s="11">
        <f>IF(AND(AND(C680&lt;&gt;"",E680&lt;&gt;"",I680&lt;&gt;"",OR(Settings!$B$10="No",I680&lt;&gt;E680)),G680="Paid a pro",Settings!$B$9="Yes"),MAX(0,H680-K680*F680),0)</f>
        <v/>
      </c>
      <c r="N680" s="3">
        <f>IF(C680="","",IF(B680="","Enter the boat number",IF(B680&gt;Settings!$B$6,"Boat number above the boat count",IF(SUMIFS($F$5:$F$1004,$B$5:$B$1004,B680,$C$5:$C$1004,C680)&gt;1.0001,"Shares for this step add up to over 100%",IF(I680="","Waiting for sign-off",IF(AND(Settings!$B$10="Yes",I680=E680),"Needs a different member to sign off","OK"))))))</f>
        <v/>
      </c>
    </row>
    <row r="681">
      <c r="A681" s="9" t="n"/>
      <c r="B681" s="6" t="n"/>
      <c r="C681" s="6" t="n"/>
      <c r="D681" s="3">
        <f>IF(C681="","",IFERROR(INDEX(Steps!$C$5:$C$62,MATCH(C681,Steps!$A$5:$A$62,0)),""))</f>
        <v/>
      </c>
      <c r="E681" s="6" t="n"/>
      <c r="F681" s="8" t="n"/>
      <c r="G681" s="6" t="n"/>
      <c r="H681" s="7" t="n"/>
      <c r="I681" s="6" t="n"/>
      <c r="J681" s="9" t="n"/>
      <c r="K681" s="11">
        <f>IF(C681="","",N(IFERROR(INDEX(Steps!$E$5:$E$62,MATCH(C681,Steps!$A$5:$A$62,0)),"")))</f>
        <v/>
      </c>
      <c r="L681" s="11">
        <f>IF(AND(C681&lt;&gt;"",E681&lt;&gt;"",I681&lt;&gt;"",OR(Settings!$B$10="No",I681&lt;&gt;E681)),K681*F681,0)</f>
        <v/>
      </c>
      <c r="M681" s="11">
        <f>IF(AND(AND(C681&lt;&gt;"",E681&lt;&gt;"",I681&lt;&gt;"",OR(Settings!$B$10="No",I681&lt;&gt;E681)),G681="Paid a pro",Settings!$B$9="Yes"),MAX(0,H681-K681*F681),0)</f>
        <v/>
      </c>
      <c r="N681" s="3">
        <f>IF(C681="","",IF(B681="","Enter the boat number",IF(B681&gt;Settings!$B$6,"Boat number above the boat count",IF(SUMIFS($F$5:$F$1004,$B$5:$B$1004,B681,$C$5:$C$1004,C681)&gt;1.0001,"Shares for this step add up to over 100%",IF(I681="","Waiting for sign-off",IF(AND(Settings!$B$10="Yes",I681=E681),"Needs a different member to sign off","OK"))))))</f>
        <v/>
      </c>
    </row>
    <row r="682">
      <c r="A682" s="9" t="n"/>
      <c r="B682" s="6" t="n"/>
      <c r="C682" s="6" t="n"/>
      <c r="D682" s="3">
        <f>IF(C682="","",IFERROR(INDEX(Steps!$C$5:$C$62,MATCH(C682,Steps!$A$5:$A$62,0)),""))</f>
        <v/>
      </c>
      <c r="E682" s="6" t="n"/>
      <c r="F682" s="8" t="n"/>
      <c r="G682" s="6" t="n"/>
      <c r="H682" s="7" t="n"/>
      <c r="I682" s="6" t="n"/>
      <c r="J682" s="9" t="n"/>
      <c r="K682" s="11">
        <f>IF(C682="","",N(IFERROR(INDEX(Steps!$E$5:$E$62,MATCH(C682,Steps!$A$5:$A$62,0)),"")))</f>
        <v/>
      </c>
      <c r="L682" s="11">
        <f>IF(AND(C682&lt;&gt;"",E682&lt;&gt;"",I682&lt;&gt;"",OR(Settings!$B$10="No",I682&lt;&gt;E682)),K682*F682,0)</f>
        <v/>
      </c>
      <c r="M682" s="11">
        <f>IF(AND(AND(C682&lt;&gt;"",E682&lt;&gt;"",I682&lt;&gt;"",OR(Settings!$B$10="No",I682&lt;&gt;E682)),G682="Paid a pro",Settings!$B$9="Yes"),MAX(0,H682-K682*F682),0)</f>
        <v/>
      </c>
      <c r="N682" s="3">
        <f>IF(C682="","",IF(B682="","Enter the boat number",IF(B682&gt;Settings!$B$6,"Boat number above the boat count",IF(SUMIFS($F$5:$F$1004,$B$5:$B$1004,B682,$C$5:$C$1004,C682)&gt;1.0001,"Shares for this step add up to over 100%",IF(I682="","Waiting for sign-off",IF(AND(Settings!$B$10="Yes",I682=E682),"Needs a different member to sign off","OK"))))))</f>
        <v/>
      </c>
    </row>
    <row r="683">
      <c r="A683" s="9" t="n"/>
      <c r="B683" s="6" t="n"/>
      <c r="C683" s="6" t="n"/>
      <c r="D683" s="3">
        <f>IF(C683="","",IFERROR(INDEX(Steps!$C$5:$C$62,MATCH(C683,Steps!$A$5:$A$62,0)),""))</f>
        <v/>
      </c>
      <c r="E683" s="6" t="n"/>
      <c r="F683" s="8" t="n"/>
      <c r="G683" s="6" t="n"/>
      <c r="H683" s="7" t="n"/>
      <c r="I683" s="6" t="n"/>
      <c r="J683" s="9" t="n"/>
      <c r="K683" s="11">
        <f>IF(C683="","",N(IFERROR(INDEX(Steps!$E$5:$E$62,MATCH(C683,Steps!$A$5:$A$62,0)),"")))</f>
        <v/>
      </c>
      <c r="L683" s="11">
        <f>IF(AND(C683&lt;&gt;"",E683&lt;&gt;"",I683&lt;&gt;"",OR(Settings!$B$10="No",I683&lt;&gt;E683)),K683*F683,0)</f>
        <v/>
      </c>
      <c r="M683" s="11">
        <f>IF(AND(AND(C683&lt;&gt;"",E683&lt;&gt;"",I683&lt;&gt;"",OR(Settings!$B$10="No",I683&lt;&gt;E683)),G683="Paid a pro",Settings!$B$9="Yes"),MAX(0,H683-K683*F683),0)</f>
        <v/>
      </c>
      <c r="N683" s="3">
        <f>IF(C683="","",IF(B683="","Enter the boat number",IF(B683&gt;Settings!$B$6,"Boat number above the boat count",IF(SUMIFS($F$5:$F$1004,$B$5:$B$1004,B683,$C$5:$C$1004,C683)&gt;1.0001,"Shares for this step add up to over 100%",IF(I683="","Waiting for sign-off",IF(AND(Settings!$B$10="Yes",I683=E683),"Needs a different member to sign off","OK"))))))</f>
        <v/>
      </c>
    </row>
    <row r="684">
      <c r="A684" s="9" t="n"/>
      <c r="B684" s="6" t="n"/>
      <c r="C684" s="6" t="n"/>
      <c r="D684" s="3">
        <f>IF(C684="","",IFERROR(INDEX(Steps!$C$5:$C$62,MATCH(C684,Steps!$A$5:$A$62,0)),""))</f>
        <v/>
      </c>
      <c r="E684" s="6" t="n"/>
      <c r="F684" s="8" t="n"/>
      <c r="G684" s="6" t="n"/>
      <c r="H684" s="7" t="n"/>
      <c r="I684" s="6" t="n"/>
      <c r="J684" s="9" t="n"/>
      <c r="K684" s="11">
        <f>IF(C684="","",N(IFERROR(INDEX(Steps!$E$5:$E$62,MATCH(C684,Steps!$A$5:$A$62,0)),"")))</f>
        <v/>
      </c>
      <c r="L684" s="11">
        <f>IF(AND(C684&lt;&gt;"",E684&lt;&gt;"",I684&lt;&gt;"",OR(Settings!$B$10="No",I684&lt;&gt;E684)),K684*F684,0)</f>
        <v/>
      </c>
      <c r="M684" s="11">
        <f>IF(AND(AND(C684&lt;&gt;"",E684&lt;&gt;"",I684&lt;&gt;"",OR(Settings!$B$10="No",I684&lt;&gt;E684)),G684="Paid a pro",Settings!$B$9="Yes"),MAX(0,H684-K684*F684),0)</f>
        <v/>
      </c>
      <c r="N684" s="3">
        <f>IF(C684="","",IF(B684="","Enter the boat number",IF(B684&gt;Settings!$B$6,"Boat number above the boat count",IF(SUMIFS($F$5:$F$1004,$B$5:$B$1004,B684,$C$5:$C$1004,C684)&gt;1.0001,"Shares for this step add up to over 100%",IF(I684="","Waiting for sign-off",IF(AND(Settings!$B$10="Yes",I684=E684),"Needs a different member to sign off","OK"))))))</f>
        <v/>
      </c>
    </row>
    <row r="685">
      <c r="A685" s="9" t="n"/>
      <c r="B685" s="6" t="n"/>
      <c r="C685" s="6" t="n"/>
      <c r="D685" s="3">
        <f>IF(C685="","",IFERROR(INDEX(Steps!$C$5:$C$62,MATCH(C685,Steps!$A$5:$A$62,0)),""))</f>
        <v/>
      </c>
      <c r="E685" s="6" t="n"/>
      <c r="F685" s="8" t="n"/>
      <c r="G685" s="6" t="n"/>
      <c r="H685" s="7" t="n"/>
      <c r="I685" s="6" t="n"/>
      <c r="J685" s="9" t="n"/>
      <c r="K685" s="11">
        <f>IF(C685="","",N(IFERROR(INDEX(Steps!$E$5:$E$62,MATCH(C685,Steps!$A$5:$A$62,0)),"")))</f>
        <v/>
      </c>
      <c r="L685" s="11">
        <f>IF(AND(C685&lt;&gt;"",E685&lt;&gt;"",I685&lt;&gt;"",OR(Settings!$B$10="No",I685&lt;&gt;E685)),K685*F685,0)</f>
        <v/>
      </c>
      <c r="M685" s="11">
        <f>IF(AND(AND(C685&lt;&gt;"",E685&lt;&gt;"",I685&lt;&gt;"",OR(Settings!$B$10="No",I685&lt;&gt;E685)),G685="Paid a pro",Settings!$B$9="Yes"),MAX(0,H685-K685*F685),0)</f>
        <v/>
      </c>
      <c r="N685" s="3">
        <f>IF(C685="","",IF(B685="","Enter the boat number",IF(B685&gt;Settings!$B$6,"Boat number above the boat count",IF(SUMIFS($F$5:$F$1004,$B$5:$B$1004,B685,$C$5:$C$1004,C685)&gt;1.0001,"Shares for this step add up to over 100%",IF(I685="","Waiting for sign-off",IF(AND(Settings!$B$10="Yes",I685=E685),"Needs a different member to sign off","OK"))))))</f>
        <v/>
      </c>
    </row>
    <row r="686">
      <c r="A686" s="9" t="n"/>
      <c r="B686" s="6" t="n"/>
      <c r="C686" s="6" t="n"/>
      <c r="D686" s="3">
        <f>IF(C686="","",IFERROR(INDEX(Steps!$C$5:$C$62,MATCH(C686,Steps!$A$5:$A$62,0)),""))</f>
        <v/>
      </c>
      <c r="E686" s="6" t="n"/>
      <c r="F686" s="8" t="n"/>
      <c r="G686" s="6" t="n"/>
      <c r="H686" s="7" t="n"/>
      <c r="I686" s="6" t="n"/>
      <c r="J686" s="9" t="n"/>
      <c r="K686" s="11">
        <f>IF(C686="","",N(IFERROR(INDEX(Steps!$E$5:$E$62,MATCH(C686,Steps!$A$5:$A$62,0)),"")))</f>
        <v/>
      </c>
      <c r="L686" s="11">
        <f>IF(AND(C686&lt;&gt;"",E686&lt;&gt;"",I686&lt;&gt;"",OR(Settings!$B$10="No",I686&lt;&gt;E686)),K686*F686,0)</f>
        <v/>
      </c>
      <c r="M686" s="11">
        <f>IF(AND(AND(C686&lt;&gt;"",E686&lt;&gt;"",I686&lt;&gt;"",OR(Settings!$B$10="No",I686&lt;&gt;E686)),G686="Paid a pro",Settings!$B$9="Yes"),MAX(0,H686-K686*F686),0)</f>
        <v/>
      </c>
      <c r="N686" s="3">
        <f>IF(C686="","",IF(B686="","Enter the boat number",IF(B686&gt;Settings!$B$6,"Boat number above the boat count",IF(SUMIFS($F$5:$F$1004,$B$5:$B$1004,B686,$C$5:$C$1004,C686)&gt;1.0001,"Shares for this step add up to over 100%",IF(I686="","Waiting for sign-off",IF(AND(Settings!$B$10="Yes",I686=E686),"Needs a different member to sign off","OK"))))))</f>
        <v/>
      </c>
    </row>
    <row r="687">
      <c r="A687" s="9" t="n"/>
      <c r="B687" s="6" t="n"/>
      <c r="C687" s="6" t="n"/>
      <c r="D687" s="3">
        <f>IF(C687="","",IFERROR(INDEX(Steps!$C$5:$C$62,MATCH(C687,Steps!$A$5:$A$62,0)),""))</f>
        <v/>
      </c>
      <c r="E687" s="6" t="n"/>
      <c r="F687" s="8" t="n"/>
      <c r="G687" s="6" t="n"/>
      <c r="H687" s="7" t="n"/>
      <c r="I687" s="6" t="n"/>
      <c r="J687" s="9" t="n"/>
      <c r="K687" s="11">
        <f>IF(C687="","",N(IFERROR(INDEX(Steps!$E$5:$E$62,MATCH(C687,Steps!$A$5:$A$62,0)),"")))</f>
        <v/>
      </c>
      <c r="L687" s="11">
        <f>IF(AND(C687&lt;&gt;"",E687&lt;&gt;"",I687&lt;&gt;"",OR(Settings!$B$10="No",I687&lt;&gt;E687)),K687*F687,0)</f>
        <v/>
      </c>
      <c r="M687" s="11">
        <f>IF(AND(AND(C687&lt;&gt;"",E687&lt;&gt;"",I687&lt;&gt;"",OR(Settings!$B$10="No",I687&lt;&gt;E687)),G687="Paid a pro",Settings!$B$9="Yes"),MAX(0,H687-K687*F687),0)</f>
        <v/>
      </c>
      <c r="N687" s="3">
        <f>IF(C687="","",IF(B687="","Enter the boat number",IF(B687&gt;Settings!$B$6,"Boat number above the boat count",IF(SUMIFS($F$5:$F$1004,$B$5:$B$1004,B687,$C$5:$C$1004,C687)&gt;1.0001,"Shares for this step add up to over 100%",IF(I687="","Waiting for sign-off",IF(AND(Settings!$B$10="Yes",I687=E687),"Needs a different member to sign off","OK"))))))</f>
        <v/>
      </c>
    </row>
    <row r="688">
      <c r="A688" s="9" t="n"/>
      <c r="B688" s="6" t="n"/>
      <c r="C688" s="6" t="n"/>
      <c r="D688" s="3">
        <f>IF(C688="","",IFERROR(INDEX(Steps!$C$5:$C$62,MATCH(C688,Steps!$A$5:$A$62,0)),""))</f>
        <v/>
      </c>
      <c r="E688" s="6" t="n"/>
      <c r="F688" s="8" t="n"/>
      <c r="G688" s="6" t="n"/>
      <c r="H688" s="7" t="n"/>
      <c r="I688" s="6" t="n"/>
      <c r="J688" s="9" t="n"/>
      <c r="K688" s="11">
        <f>IF(C688="","",N(IFERROR(INDEX(Steps!$E$5:$E$62,MATCH(C688,Steps!$A$5:$A$62,0)),"")))</f>
        <v/>
      </c>
      <c r="L688" s="11">
        <f>IF(AND(C688&lt;&gt;"",E688&lt;&gt;"",I688&lt;&gt;"",OR(Settings!$B$10="No",I688&lt;&gt;E688)),K688*F688,0)</f>
        <v/>
      </c>
      <c r="M688" s="11">
        <f>IF(AND(AND(C688&lt;&gt;"",E688&lt;&gt;"",I688&lt;&gt;"",OR(Settings!$B$10="No",I688&lt;&gt;E688)),G688="Paid a pro",Settings!$B$9="Yes"),MAX(0,H688-K688*F688),0)</f>
        <v/>
      </c>
      <c r="N688" s="3">
        <f>IF(C688="","",IF(B688="","Enter the boat number",IF(B688&gt;Settings!$B$6,"Boat number above the boat count",IF(SUMIFS($F$5:$F$1004,$B$5:$B$1004,B688,$C$5:$C$1004,C688)&gt;1.0001,"Shares for this step add up to over 100%",IF(I688="","Waiting for sign-off",IF(AND(Settings!$B$10="Yes",I688=E688),"Needs a different member to sign off","OK"))))))</f>
        <v/>
      </c>
    </row>
    <row r="689">
      <c r="A689" s="9" t="n"/>
      <c r="B689" s="6" t="n"/>
      <c r="C689" s="6" t="n"/>
      <c r="D689" s="3">
        <f>IF(C689="","",IFERROR(INDEX(Steps!$C$5:$C$62,MATCH(C689,Steps!$A$5:$A$62,0)),""))</f>
        <v/>
      </c>
      <c r="E689" s="6" t="n"/>
      <c r="F689" s="8" t="n"/>
      <c r="G689" s="6" t="n"/>
      <c r="H689" s="7" t="n"/>
      <c r="I689" s="6" t="n"/>
      <c r="J689" s="9" t="n"/>
      <c r="K689" s="11">
        <f>IF(C689="","",N(IFERROR(INDEX(Steps!$E$5:$E$62,MATCH(C689,Steps!$A$5:$A$62,0)),"")))</f>
        <v/>
      </c>
      <c r="L689" s="11">
        <f>IF(AND(C689&lt;&gt;"",E689&lt;&gt;"",I689&lt;&gt;"",OR(Settings!$B$10="No",I689&lt;&gt;E689)),K689*F689,0)</f>
        <v/>
      </c>
      <c r="M689" s="11">
        <f>IF(AND(AND(C689&lt;&gt;"",E689&lt;&gt;"",I689&lt;&gt;"",OR(Settings!$B$10="No",I689&lt;&gt;E689)),G689="Paid a pro",Settings!$B$9="Yes"),MAX(0,H689-K689*F689),0)</f>
        <v/>
      </c>
      <c r="N689" s="3">
        <f>IF(C689="","",IF(B689="","Enter the boat number",IF(B689&gt;Settings!$B$6,"Boat number above the boat count",IF(SUMIFS($F$5:$F$1004,$B$5:$B$1004,B689,$C$5:$C$1004,C689)&gt;1.0001,"Shares for this step add up to over 100%",IF(I689="","Waiting for sign-off",IF(AND(Settings!$B$10="Yes",I689=E689),"Needs a different member to sign off","OK"))))))</f>
        <v/>
      </c>
    </row>
    <row r="690">
      <c r="A690" s="9" t="n"/>
      <c r="B690" s="6" t="n"/>
      <c r="C690" s="6" t="n"/>
      <c r="D690" s="3">
        <f>IF(C690="","",IFERROR(INDEX(Steps!$C$5:$C$62,MATCH(C690,Steps!$A$5:$A$62,0)),""))</f>
        <v/>
      </c>
      <c r="E690" s="6" t="n"/>
      <c r="F690" s="8" t="n"/>
      <c r="G690" s="6" t="n"/>
      <c r="H690" s="7" t="n"/>
      <c r="I690" s="6" t="n"/>
      <c r="J690" s="9" t="n"/>
      <c r="K690" s="11">
        <f>IF(C690="","",N(IFERROR(INDEX(Steps!$E$5:$E$62,MATCH(C690,Steps!$A$5:$A$62,0)),"")))</f>
        <v/>
      </c>
      <c r="L690" s="11">
        <f>IF(AND(C690&lt;&gt;"",E690&lt;&gt;"",I690&lt;&gt;"",OR(Settings!$B$10="No",I690&lt;&gt;E690)),K690*F690,0)</f>
        <v/>
      </c>
      <c r="M690" s="11">
        <f>IF(AND(AND(C690&lt;&gt;"",E690&lt;&gt;"",I690&lt;&gt;"",OR(Settings!$B$10="No",I690&lt;&gt;E690)),G690="Paid a pro",Settings!$B$9="Yes"),MAX(0,H690-K690*F690),0)</f>
        <v/>
      </c>
      <c r="N690" s="3">
        <f>IF(C690="","",IF(B690="","Enter the boat number",IF(B690&gt;Settings!$B$6,"Boat number above the boat count",IF(SUMIFS($F$5:$F$1004,$B$5:$B$1004,B690,$C$5:$C$1004,C690)&gt;1.0001,"Shares for this step add up to over 100%",IF(I690="","Waiting for sign-off",IF(AND(Settings!$B$10="Yes",I690=E690),"Needs a different member to sign off","OK"))))))</f>
        <v/>
      </c>
    </row>
    <row r="691">
      <c r="A691" s="9" t="n"/>
      <c r="B691" s="6" t="n"/>
      <c r="C691" s="6" t="n"/>
      <c r="D691" s="3">
        <f>IF(C691="","",IFERROR(INDEX(Steps!$C$5:$C$62,MATCH(C691,Steps!$A$5:$A$62,0)),""))</f>
        <v/>
      </c>
      <c r="E691" s="6" t="n"/>
      <c r="F691" s="8" t="n"/>
      <c r="G691" s="6" t="n"/>
      <c r="H691" s="7" t="n"/>
      <c r="I691" s="6" t="n"/>
      <c r="J691" s="9" t="n"/>
      <c r="K691" s="11">
        <f>IF(C691="","",N(IFERROR(INDEX(Steps!$E$5:$E$62,MATCH(C691,Steps!$A$5:$A$62,0)),"")))</f>
        <v/>
      </c>
      <c r="L691" s="11">
        <f>IF(AND(C691&lt;&gt;"",E691&lt;&gt;"",I691&lt;&gt;"",OR(Settings!$B$10="No",I691&lt;&gt;E691)),K691*F691,0)</f>
        <v/>
      </c>
      <c r="M691" s="11">
        <f>IF(AND(AND(C691&lt;&gt;"",E691&lt;&gt;"",I691&lt;&gt;"",OR(Settings!$B$10="No",I691&lt;&gt;E691)),G691="Paid a pro",Settings!$B$9="Yes"),MAX(0,H691-K691*F691),0)</f>
        <v/>
      </c>
      <c r="N691" s="3">
        <f>IF(C691="","",IF(B691="","Enter the boat number",IF(B691&gt;Settings!$B$6,"Boat number above the boat count",IF(SUMIFS($F$5:$F$1004,$B$5:$B$1004,B691,$C$5:$C$1004,C691)&gt;1.0001,"Shares for this step add up to over 100%",IF(I691="","Waiting for sign-off",IF(AND(Settings!$B$10="Yes",I691=E691),"Needs a different member to sign off","OK"))))))</f>
        <v/>
      </c>
    </row>
    <row r="692">
      <c r="A692" s="9" t="n"/>
      <c r="B692" s="6" t="n"/>
      <c r="C692" s="6" t="n"/>
      <c r="D692" s="3">
        <f>IF(C692="","",IFERROR(INDEX(Steps!$C$5:$C$62,MATCH(C692,Steps!$A$5:$A$62,0)),""))</f>
        <v/>
      </c>
      <c r="E692" s="6" t="n"/>
      <c r="F692" s="8" t="n"/>
      <c r="G692" s="6" t="n"/>
      <c r="H692" s="7" t="n"/>
      <c r="I692" s="6" t="n"/>
      <c r="J692" s="9" t="n"/>
      <c r="K692" s="11">
        <f>IF(C692="","",N(IFERROR(INDEX(Steps!$E$5:$E$62,MATCH(C692,Steps!$A$5:$A$62,0)),"")))</f>
        <v/>
      </c>
      <c r="L692" s="11">
        <f>IF(AND(C692&lt;&gt;"",E692&lt;&gt;"",I692&lt;&gt;"",OR(Settings!$B$10="No",I692&lt;&gt;E692)),K692*F692,0)</f>
        <v/>
      </c>
      <c r="M692" s="11">
        <f>IF(AND(AND(C692&lt;&gt;"",E692&lt;&gt;"",I692&lt;&gt;"",OR(Settings!$B$10="No",I692&lt;&gt;E692)),G692="Paid a pro",Settings!$B$9="Yes"),MAX(0,H692-K692*F692),0)</f>
        <v/>
      </c>
      <c r="N692" s="3">
        <f>IF(C692="","",IF(B692="","Enter the boat number",IF(B692&gt;Settings!$B$6,"Boat number above the boat count",IF(SUMIFS($F$5:$F$1004,$B$5:$B$1004,B692,$C$5:$C$1004,C692)&gt;1.0001,"Shares for this step add up to over 100%",IF(I692="","Waiting for sign-off",IF(AND(Settings!$B$10="Yes",I692=E692),"Needs a different member to sign off","OK"))))))</f>
        <v/>
      </c>
    </row>
    <row r="693">
      <c r="A693" s="9" t="n"/>
      <c r="B693" s="6" t="n"/>
      <c r="C693" s="6" t="n"/>
      <c r="D693" s="3">
        <f>IF(C693="","",IFERROR(INDEX(Steps!$C$5:$C$62,MATCH(C693,Steps!$A$5:$A$62,0)),""))</f>
        <v/>
      </c>
      <c r="E693" s="6" t="n"/>
      <c r="F693" s="8" t="n"/>
      <c r="G693" s="6" t="n"/>
      <c r="H693" s="7" t="n"/>
      <c r="I693" s="6" t="n"/>
      <c r="J693" s="9" t="n"/>
      <c r="K693" s="11">
        <f>IF(C693="","",N(IFERROR(INDEX(Steps!$E$5:$E$62,MATCH(C693,Steps!$A$5:$A$62,0)),"")))</f>
        <v/>
      </c>
      <c r="L693" s="11">
        <f>IF(AND(C693&lt;&gt;"",E693&lt;&gt;"",I693&lt;&gt;"",OR(Settings!$B$10="No",I693&lt;&gt;E693)),K693*F693,0)</f>
        <v/>
      </c>
      <c r="M693" s="11">
        <f>IF(AND(AND(C693&lt;&gt;"",E693&lt;&gt;"",I693&lt;&gt;"",OR(Settings!$B$10="No",I693&lt;&gt;E693)),G693="Paid a pro",Settings!$B$9="Yes"),MAX(0,H693-K693*F693),0)</f>
        <v/>
      </c>
      <c r="N693" s="3">
        <f>IF(C693="","",IF(B693="","Enter the boat number",IF(B693&gt;Settings!$B$6,"Boat number above the boat count",IF(SUMIFS($F$5:$F$1004,$B$5:$B$1004,B693,$C$5:$C$1004,C693)&gt;1.0001,"Shares for this step add up to over 100%",IF(I693="","Waiting for sign-off",IF(AND(Settings!$B$10="Yes",I693=E693),"Needs a different member to sign off","OK"))))))</f>
        <v/>
      </c>
    </row>
    <row r="694">
      <c r="A694" s="9" t="n"/>
      <c r="B694" s="6" t="n"/>
      <c r="C694" s="6" t="n"/>
      <c r="D694" s="3">
        <f>IF(C694="","",IFERROR(INDEX(Steps!$C$5:$C$62,MATCH(C694,Steps!$A$5:$A$62,0)),""))</f>
        <v/>
      </c>
      <c r="E694" s="6" t="n"/>
      <c r="F694" s="8" t="n"/>
      <c r="G694" s="6" t="n"/>
      <c r="H694" s="7" t="n"/>
      <c r="I694" s="6" t="n"/>
      <c r="J694" s="9" t="n"/>
      <c r="K694" s="11">
        <f>IF(C694="","",N(IFERROR(INDEX(Steps!$E$5:$E$62,MATCH(C694,Steps!$A$5:$A$62,0)),"")))</f>
        <v/>
      </c>
      <c r="L694" s="11">
        <f>IF(AND(C694&lt;&gt;"",E694&lt;&gt;"",I694&lt;&gt;"",OR(Settings!$B$10="No",I694&lt;&gt;E694)),K694*F694,0)</f>
        <v/>
      </c>
      <c r="M694" s="11">
        <f>IF(AND(AND(C694&lt;&gt;"",E694&lt;&gt;"",I694&lt;&gt;"",OR(Settings!$B$10="No",I694&lt;&gt;E694)),G694="Paid a pro",Settings!$B$9="Yes"),MAX(0,H694-K694*F694),0)</f>
        <v/>
      </c>
      <c r="N694" s="3">
        <f>IF(C694="","",IF(B694="","Enter the boat number",IF(B694&gt;Settings!$B$6,"Boat number above the boat count",IF(SUMIFS($F$5:$F$1004,$B$5:$B$1004,B694,$C$5:$C$1004,C694)&gt;1.0001,"Shares for this step add up to over 100%",IF(I694="","Waiting for sign-off",IF(AND(Settings!$B$10="Yes",I694=E694),"Needs a different member to sign off","OK"))))))</f>
        <v/>
      </c>
    </row>
    <row r="695">
      <c r="A695" s="9" t="n"/>
      <c r="B695" s="6" t="n"/>
      <c r="C695" s="6" t="n"/>
      <c r="D695" s="3">
        <f>IF(C695="","",IFERROR(INDEX(Steps!$C$5:$C$62,MATCH(C695,Steps!$A$5:$A$62,0)),""))</f>
        <v/>
      </c>
      <c r="E695" s="6" t="n"/>
      <c r="F695" s="8" t="n"/>
      <c r="G695" s="6" t="n"/>
      <c r="H695" s="7" t="n"/>
      <c r="I695" s="6" t="n"/>
      <c r="J695" s="9" t="n"/>
      <c r="K695" s="11">
        <f>IF(C695="","",N(IFERROR(INDEX(Steps!$E$5:$E$62,MATCH(C695,Steps!$A$5:$A$62,0)),"")))</f>
        <v/>
      </c>
      <c r="L695" s="11">
        <f>IF(AND(C695&lt;&gt;"",E695&lt;&gt;"",I695&lt;&gt;"",OR(Settings!$B$10="No",I695&lt;&gt;E695)),K695*F695,0)</f>
        <v/>
      </c>
      <c r="M695" s="11">
        <f>IF(AND(AND(C695&lt;&gt;"",E695&lt;&gt;"",I695&lt;&gt;"",OR(Settings!$B$10="No",I695&lt;&gt;E695)),G695="Paid a pro",Settings!$B$9="Yes"),MAX(0,H695-K695*F695),0)</f>
        <v/>
      </c>
      <c r="N695" s="3">
        <f>IF(C695="","",IF(B695="","Enter the boat number",IF(B695&gt;Settings!$B$6,"Boat number above the boat count",IF(SUMIFS($F$5:$F$1004,$B$5:$B$1004,B695,$C$5:$C$1004,C695)&gt;1.0001,"Shares for this step add up to over 100%",IF(I695="","Waiting for sign-off",IF(AND(Settings!$B$10="Yes",I695=E695),"Needs a different member to sign off","OK"))))))</f>
        <v/>
      </c>
    </row>
    <row r="696">
      <c r="A696" s="9" t="n"/>
      <c r="B696" s="6" t="n"/>
      <c r="C696" s="6" t="n"/>
      <c r="D696" s="3">
        <f>IF(C696="","",IFERROR(INDEX(Steps!$C$5:$C$62,MATCH(C696,Steps!$A$5:$A$62,0)),""))</f>
        <v/>
      </c>
      <c r="E696" s="6" t="n"/>
      <c r="F696" s="8" t="n"/>
      <c r="G696" s="6" t="n"/>
      <c r="H696" s="7" t="n"/>
      <c r="I696" s="6" t="n"/>
      <c r="J696" s="9" t="n"/>
      <c r="K696" s="11">
        <f>IF(C696="","",N(IFERROR(INDEX(Steps!$E$5:$E$62,MATCH(C696,Steps!$A$5:$A$62,0)),"")))</f>
        <v/>
      </c>
      <c r="L696" s="11">
        <f>IF(AND(C696&lt;&gt;"",E696&lt;&gt;"",I696&lt;&gt;"",OR(Settings!$B$10="No",I696&lt;&gt;E696)),K696*F696,0)</f>
        <v/>
      </c>
      <c r="M696" s="11">
        <f>IF(AND(AND(C696&lt;&gt;"",E696&lt;&gt;"",I696&lt;&gt;"",OR(Settings!$B$10="No",I696&lt;&gt;E696)),G696="Paid a pro",Settings!$B$9="Yes"),MAX(0,H696-K696*F696),0)</f>
        <v/>
      </c>
      <c r="N696" s="3">
        <f>IF(C696="","",IF(B696="","Enter the boat number",IF(B696&gt;Settings!$B$6,"Boat number above the boat count",IF(SUMIFS($F$5:$F$1004,$B$5:$B$1004,B696,$C$5:$C$1004,C696)&gt;1.0001,"Shares for this step add up to over 100%",IF(I696="","Waiting for sign-off",IF(AND(Settings!$B$10="Yes",I696=E696),"Needs a different member to sign off","OK"))))))</f>
        <v/>
      </c>
    </row>
    <row r="697">
      <c r="A697" s="9" t="n"/>
      <c r="B697" s="6" t="n"/>
      <c r="C697" s="6" t="n"/>
      <c r="D697" s="3">
        <f>IF(C697="","",IFERROR(INDEX(Steps!$C$5:$C$62,MATCH(C697,Steps!$A$5:$A$62,0)),""))</f>
        <v/>
      </c>
      <c r="E697" s="6" t="n"/>
      <c r="F697" s="8" t="n"/>
      <c r="G697" s="6" t="n"/>
      <c r="H697" s="7" t="n"/>
      <c r="I697" s="6" t="n"/>
      <c r="J697" s="9" t="n"/>
      <c r="K697" s="11">
        <f>IF(C697="","",N(IFERROR(INDEX(Steps!$E$5:$E$62,MATCH(C697,Steps!$A$5:$A$62,0)),"")))</f>
        <v/>
      </c>
      <c r="L697" s="11">
        <f>IF(AND(C697&lt;&gt;"",E697&lt;&gt;"",I697&lt;&gt;"",OR(Settings!$B$10="No",I697&lt;&gt;E697)),K697*F697,0)</f>
        <v/>
      </c>
      <c r="M697" s="11">
        <f>IF(AND(AND(C697&lt;&gt;"",E697&lt;&gt;"",I697&lt;&gt;"",OR(Settings!$B$10="No",I697&lt;&gt;E697)),G697="Paid a pro",Settings!$B$9="Yes"),MAX(0,H697-K697*F697),0)</f>
        <v/>
      </c>
      <c r="N697" s="3">
        <f>IF(C697="","",IF(B697="","Enter the boat number",IF(B697&gt;Settings!$B$6,"Boat number above the boat count",IF(SUMIFS($F$5:$F$1004,$B$5:$B$1004,B697,$C$5:$C$1004,C697)&gt;1.0001,"Shares for this step add up to over 100%",IF(I697="","Waiting for sign-off",IF(AND(Settings!$B$10="Yes",I697=E697),"Needs a different member to sign off","OK"))))))</f>
        <v/>
      </c>
    </row>
    <row r="698">
      <c r="A698" s="9" t="n"/>
      <c r="B698" s="6" t="n"/>
      <c r="C698" s="6" t="n"/>
      <c r="D698" s="3">
        <f>IF(C698="","",IFERROR(INDEX(Steps!$C$5:$C$62,MATCH(C698,Steps!$A$5:$A$62,0)),""))</f>
        <v/>
      </c>
      <c r="E698" s="6" t="n"/>
      <c r="F698" s="8" t="n"/>
      <c r="G698" s="6" t="n"/>
      <c r="H698" s="7" t="n"/>
      <c r="I698" s="6" t="n"/>
      <c r="J698" s="9" t="n"/>
      <c r="K698" s="11">
        <f>IF(C698="","",N(IFERROR(INDEX(Steps!$E$5:$E$62,MATCH(C698,Steps!$A$5:$A$62,0)),"")))</f>
        <v/>
      </c>
      <c r="L698" s="11">
        <f>IF(AND(C698&lt;&gt;"",E698&lt;&gt;"",I698&lt;&gt;"",OR(Settings!$B$10="No",I698&lt;&gt;E698)),K698*F698,0)</f>
        <v/>
      </c>
      <c r="M698" s="11">
        <f>IF(AND(AND(C698&lt;&gt;"",E698&lt;&gt;"",I698&lt;&gt;"",OR(Settings!$B$10="No",I698&lt;&gt;E698)),G698="Paid a pro",Settings!$B$9="Yes"),MAX(0,H698-K698*F698),0)</f>
        <v/>
      </c>
      <c r="N698" s="3">
        <f>IF(C698="","",IF(B698="","Enter the boat number",IF(B698&gt;Settings!$B$6,"Boat number above the boat count",IF(SUMIFS($F$5:$F$1004,$B$5:$B$1004,B698,$C$5:$C$1004,C698)&gt;1.0001,"Shares for this step add up to over 100%",IF(I698="","Waiting for sign-off",IF(AND(Settings!$B$10="Yes",I698=E698),"Needs a different member to sign off","OK"))))))</f>
        <v/>
      </c>
    </row>
    <row r="699">
      <c r="A699" s="9" t="n"/>
      <c r="B699" s="6" t="n"/>
      <c r="C699" s="6" t="n"/>
      <c r="D699" s="3">
        <f>IF(C699="","",IFERROR(INDEX(Steps!$C$5:$C$62,MATCH(C699,Steps!$A$5:$A$62,0)),""))</f>
        <v/>
      </c>
      <c r="E699" s="6" t="n"/>
      <c r="F699" s="8" t="n"/>
      <c r="G699" s="6" t="n"/>
      <c r="H699" s="7" t="n"/>
      <c r="I699" s="6" t="n"/>
      <c r="J699" s="9" t="n"/>
      <c r="K699" s="11">
        <f>IF(C699="","",N(IFERROR(INDEX(Steps!$E$5:$E$62,MATCH(C699,Steps!$A$5:$A$62,0)),"")))</f>
        <v/>
      </c>
      <c r="L699" s="11">
        <f>IF(AND(C699&lt;&gt;"",E699&lt;&gt;"",I699&lt;&gt;"",OR(Settings!$B$10="No",I699&lt;&gt;E699)),K699*F699,0)</f>
        <v/>
      </c>
      <c r="M699" s="11">
        <f>IF(AND(AND(C699&lt;&gt;"",E699&lt;&gt;"",I699&lt;&gt;"",OR(Settings!$B$10="No",I699&lt;&gt;E699)),G699="Paid a pro",Settings!$B$9="Yes"),MAX(0,H699-K699*F699),0)</f>
        <v/>
      </c>
      <c r="N699" s="3">
        <f>IF(C699="","",IF(B699="","Enter the boat number",IF(B699&gt;Settings!$B$6,"Boat number above the boat count",IF(SUMIFS($F$5:$F$1004,$B$5:$B$1004,B699,$C$5:$C$1004,C699)&gt;1.0001,"Shares for this step add up to over 100%",IF(I699="","Waiting for sign-off",IF(AND(Settings!$B$10="Yes",I699=E699),"Needs a different member to sign off","OK"))))))</f>
        <v/>
      </c>
    </row>
    <row r="700">
      <c r="A700" s="9" t="n"/>
      <c r="B700" s="6" t="n"/>
      <c r="C700" s="6" t="n"/>
      <c r="D700" s="3">
        <f>IF(C700="","",IFERROR(INDEX(Steps!$C$5:$C$62,MATCH(C700,Steps!$A$5:$A$62,0)),""))</f>
        <v/>
      </c>
      <c r="E700" s="6" t="n"/>
      <c r="F700" s="8" t="n"/>
      <c r="G700" s="6" t="n"/>
      <c r="H700" s="7" t="n"/>
      <c r="I700" s="6" t="n"/>
      <c r="J700" s="9" t="n"/>
      <c r="K700" s="11">
        <f>IF(C700="","",N(IFERROR(INDEX(Steps!$E$5:$E$62,MATCH(C700,Steps!$A$5:$A$62,0)),"")))</f>
        <v/>
      </c>
      <c r="L700" s="11">
        <f>IF(AND(C700&lt;&gt;"",E700&lt;&gt;"",I700&lt;&gt;"",OR(Settings!$B$10="No",I700&lt;&gt;E700)),K700*F700,0)</f>
        <v/>
      </c>
      <c r="M700" s="11">
        <f>IF(AND(AND(C700&lt;&gt;"",E700&lt;&gt;"",I700&lt;&gt;"",OR(Settings!$B$10="No",I700&lt;&gt;E700)),G700="Paid a pro",Settings!$B$9="Yes"),MAX(0,H700-K700*F700),0)</f>
        <v/>
      </c>
      <c r="N700" s="3">
        <f>IF(C700="","",IF(B700="","Enter the boat number",IF(B700&gt;Settings!$B$6,"Boat number above the boat count",IF(SUMIFS($F$5:$F$1004,$B$5:$B$1004,B700,$C$5:$C$1004,C700)&gt;1.0001,"Shares for this step add up to over 100%",IF(I700="","Waiting for sign-off",IF(AND(Settings!$B$10="Yes",I700=E700),"Needs a different member to sign off","OK"))))))</f>
        <v/>
      </c>
    </row>
    <row r="701">
      <c r="A701" s="9" t="n"/>
      <c r="B701" s="6" t="n"/>
      <c r="C701" s="6" t="n"/>
      <c r="D701" s="3">
        <f>IF(C701="","",IFERROR(INDEX(Steps!$C$5:$C$62,MATCH(C701,Steps!$A$5:$A$62,0)),""))</f>
        <v/>
      </c>
      <c r="E701" s="6" t="n"/>
      <c r="F701" s="8" t="n"/>
      <c r="G701" s="6" t="n"/>
      <c r="H701" s="7" t="n"/>
      <c r="I701" s="6" t="n"/>
      <c r="J701" s="9" t="n"/>
      <c r="K701" s="11">
        <f>IF(C701="","",N(IFERROR(INDEX(Steps!$E$5:$E$62,MATCH(C701,Steps!$A$5:$A$62,0)),"")))</f>
        <v/>
      </c>
      <c r="L701" s="11">
        <f>IF(AND(C701&lt;&gt;"",E701&lt;&gt;"",I701&lt;&gt;"",OR(Settings!$B$10="No",I701&lt;&gt;E701)),K701*F701,0)</f>
        <v/>
      </c>
      <c r="M701" s="11">
        <f>IF(AND(AND(C701&lt;&gt;"",E701&lt;&gt;"",I701&lt;&gt;"",OR(Settings!$B$10="No",I701&lt;&gt;E701)),G701="Paid a pro",Settings!$B$9="Yes"),MAX(0,H701-K701*F701),0)</f>
        <v/>
      </c>
      <c r="N701" s="3">
        <f>IF(C701="","",IF(B701="","Enter the boat number",IF(B701&gt;Settings!$B$6,"Boat number above the boat count",IF(SUMIFS($F$5:$F$1004,$B$5:$B$1004,B701,$C$5:$C$1004,C701)&gt;1.0001,"Shares for this step add up to over 100%",IF(I701="","Waiting for sign-off",IF(AND(Settings!$B$10="Yes",I701=E701),"Needs a different member to sign off","OK"))))))</f>
        <v/>
      </c>
    </row>
    <row r="702">
      <c r="A702" s="9" t="n"/>
      <c r="B702" s="6" t="n"/>
      <c r="C702" s="6" t="n"/>
      <c r="D702" s="3">
        <f>IF(C702="","",IFERROR(INDEX(Steps!$C$5:$C$62,MATCH(C702,Steps!$A$5:$A$62,0)),""))</f>
        <v/>
      </c>
      <c r="E702" s="6" t="n"/>
      <c r="F702" s="8" t="n"/>
      <c r="G702" s="6" t="n"/>
      <c r="H702" s="7" t="n"/>
      <c r="I702" s="6" t="n"/>
      <c r="J702" s="9" t="n"/>
      <c r="K702" s="11">
        <f>IF(C702="","",N(IFERROR(INDEX(Steps!$E$5:$E$62,MATCH(C702,Steps!$A$5:$A$62,0)),"")))</f>
        <v/>
      </c>
      <c r="L702" s="11">
        <f>IF(AND(C702&lt;&gt;"",E702&lt;&gt;"",I702&lt;&gt;"",OR(Settings!$B$10="No",I702&lt;&gt;E702)),K702*F702,0)</f>
        <v/>
      </c>
      <c r="M702" s="11">
        <f>IF(AND(AND(C702&lt;&gt;"",E702&lt;&gt;"",I702&lt;&gt;"",OR(Settings!$B$10="No",I702&lt;&gt;E702)),G702="Paid a pro",Settings!$B$9="Yes"),MAX(0,H702-K702*F702),0)</f>
        <v/>
      </c>
      <c r="N702" s="3">
        <f>IF(C702="","",IF(B702="","Enter the boat number",IF(B702&gt;Settings!$B$6,"Boat number above the boat count",IF(SUMIFS($F$5:$F$1004,$B$5:$B$1004,B702,$C$5:$C$1004,C702)&gt;1.0001,"Shares for this step add up to over 100%",IF(I702="","Waiting for sign-off",IF(AND(Settings!$B$10="Yes",I702=E702),"Needs a different member to sign off","OK"))))))</f>
        <v/>
      </c>
    </row>
    <row r="703">
      <c r="A703" s="9" t="n"/>
      <c r="B703" s="6" t="n"/>
      <c r="C703" s="6" t="n"/>
      <c r="D703" s="3">
        <f>IF(C703="","",IFERROR(INDEX(Steps!$C$5:$C$62,MATCH(C703,Steps!$A$5:$A$62,0)),""))</f>
        <v/>
      </c>
      <c r="E703" s="6" t="n"/>
      <c r="F703" s="8" t="n"/>
      <c r="G703" s="6" t="n"/>
      <c r="H703" s="7" t="n"/>
      <c r="I703" s="6" t="n"/>
      <c r="J703" s="9" t="n"/>
      <c r="K703" s="11">
        <f>IF(C703="","",N(IFERROR(INDEX(Steps!$E$5:$E$62,MATCH(C703,Steps!$A$5:$A$62,0)),"")))</f>
        <v/>
      </c>
      <c r="L703" s="11">
        <f>IF(AND(C703&lt;&gt;"",E703&lt;&gt;"",I703&lt;&gt;"",OR(Settings!$B$10="No",I703&lt;&gt;E703)),K703*F703,0)</f>
        <v/>
      </c>
      <c r="M703" s="11">
        <f>IF(AND(AND(C703&lt;&gt;"",E703&lt;&gt;"",I703&lt;&gt;"",OR(Settings!$B$10="No",I703&lt;&gt;E703)),G703="Paid a pro",Settings!$B$9="Yes"),MAX(0,H703-K703*F703),0)</f>
        <v/>
      </c>
      <c r="N703" s="3">
        <f>IF(C703="","",IF(B703="","Enter the boat number",IF(B703&gt;Settings!$B$6,"Boat number above the boat count",IF(SUMIFS($F$5:$F$1004,$B$5:$B$1004,B703,$C$5:$C$1004,C703)&gt;1.0001,"Shares for this step add up to over 100%",IF(I703="","Waiting for sign-off",IF(AND(Settings!$B$10="Yes",I703=E703),"Needs a different member to sign off","OK"))))))</f>
        <v/>
      </c>
    </row>
    <row r="704">
      <c r="A704" s="9" t="n"/>
      <c r="B704" s="6" t="n"/>
      <c r="C704" s="6" t="n"/>
      <c r="D704" s="3">
        <f>IF(C704="","",IFERROR(INDEX(Steps!$C$5:$C$62,MATCH(C704,Steps!$A$5:$A$62,0)),""))</f>
        <v/>
      </c>
      <c r="E704" s="6" t="n"/>
      <c r="F704" s="8" t="n"/>
      <c r="G704" s="6" t="n"/>
      <c r="H704" s="7" t="n"/>
      <c r="I704" s="6" t="n"/>
      <c r="J704" s="9" t="n"/>
      <c r="K704" s="11">
        <f>IF(C704="","",N(IFERROR(INDEX(Steps!$E$5:$E$62,MATCH(C704,Steps!$A$5:$A$62,0)),"")))</f>
        <v/>
      </c>
      <c r="L704" s="11">
        <f>IF(AND(C704&lt;&gt;"",E704&lt;&gt;"",I704&lt;&gt;"",OR(Settings!$B$10="No",I704&lt;&gt;E704)),K704*F704,0)</f>
        <v/>
      </c>
      <c r="M704" s="11">
        <f>IF(AND(AND(C704&lt;&gt;"",E704&lt;&gt;"",I704&lt;&gt;"",OR(Settings!$B$10="No",I704&lt;&gt;E704)),G704="Paid a pro",Settings!$B$9="Yes"),MAX(0,H704-K704*F704),0)</f>
        <v/>
      </c>
      <c r="N704" s="3">
        <f>IF(C704="","",IF(B704="","Enter the boat number",IF(B704&gt;Settings!$B$6,"Boat number above the boat count",IF(SUMIFS($F$5:$F$1004,$B$5:$B$1004,B704,$C$5:$C$1004,C704)&gt;1.0001,"Shares for this step add up to over 100%",IF(I704="","Waiting for sign-off",IF(AND(Settings!$B$10="Yes",I704=E704),"Needs a different member to sign off","OK"))))))</f>
        <v/>
      </c>
    </row>
    <row r="705">
      <c r="A705" s="9" t="n"/>
      <c r="B705" s="6" t="n"/>
      <c r="C705" s="6" t="n"/>
      <c r="D705" s="3">
        <f>IF(C705="","",IFERROR(INDEX(Steps!$C$5:$C$62,MATCH(C705,Steps!$A$5:$A$62,0)),""))</f>
        <v/>
      </c>
      <c r="E705" s="6" t="n"/>
      <c r="F705" s="8" t="n"/>
      <c r="G705" s="6" t="n"/>
      <c r="H705" s="7" t="n"/>
      <c r="I705" s="6" t="n"/>
      <c r="J705" s="9" t="n"/>
      <c r="K705" s="11">
        <f>IF(C705="","",N(IFERROR(INDEX(Steps!$E$5:$E$62,MATCH(C705,Steps!$A$5:$A$62,0)),"")))</f>
        <v/>
      </c>
      <c r="L705" s="11">
        <f>IF(AND(C705&lt;&gt;"",E705&lt;&gt;"",I705&lt;&gt;"",OR(Settings!$B$10="No",I705&lt;&gt;E705)),K705*F705,0)</f>
        <v/>
      </c>
      <c r="M705" s="11">
        <f>IF(AND(AND(C705&lt;&gt;"",E705&lt;&gt;"",I705&lt;&gt;"",OR(Settings!$B$10="No",I705&lt;&gt;E705)),G705="Paid a pro",Settings!$B$9="Yes"),MAX(0,H705-K705*F705),0)</f>
        <v/>
      </c>
      <c r="N705" s="3">
        <f>IF(C705="","",IF(B705="","Enter the boat number",IF(B705&gt;Settings!$B$6,"Boat number above the boat count",IF(SUMIFS($F$5:$F$1004,$B$5:$B$1004,B705,$C$5:$C$1004,C705)&gt;1.0001,"Shares for this step add up to over 100%",IF(I705="","Waiting for sign-off",IF(AND(Settings!$B$10="Yes",I705=E705),"Needs a different member to sign off","OK"))))))</f>
        <v/>
      </c>
    </row>
    <row r="706">
      <c r="A706" s="9" t="n"/>
      <c r="B706" s="6" t="n"/>
      <c r="C706" s="6" t="n"/>
      <c r="D706" s="3">
        <f>IF(C706="","",IFERROR(INDEX(Steps!$C$5:$C$62,MATCH(C706,Steps!$A$5:$A$62,0)),""))</f>
        <v/>
      </c>
      <c r="E706" s="6" t="n"/>
      <c r="F706" s="8" t="n"/>
      <c r="G706" s="6" t="n"/>
      <c r="H706" s="7" t="n"/>
      <c r="I706" s="6" t="n"/>
      <c r="J706" s="9" t="n"/>
      <c r="K706" s="11">
        <f>IF(C706="","",N(IFERROR(INDEX(Steps!$E$5:$E$62,MATCH(C706,Steps!$A$5:$A$62,0)),"")))</f>
        <v/>
      </c>
      <c r="L706" s="11">
        <f>IF(AND(C706&lt;&gt;"",E706&lt;&gt;"",I706&lt;&gt;"",OR(Settings!$B$10="No",I706&lt;&gt;E706)),K706*F706,0)</f>
        <v/>
      </c>
      <c r="M706" s="11">
        <f>IF(AND(AND(C706&lt;&gt;"",E706&lt;&gt;"",I706&lt;&gt;"",OR(Settings!$B$10="No",I706&lt;&gt;E706)),G706="Paid a pro",Settings!$B$9="Yes"),MAX(0,H706-K706*F706),0)</f>
        <v/>
      </c>
      <c r="N706" s="3">
        <f>IF(C706="","",IF(B706="","Enter the boat number",IF(B706&gt;Settings!$B$6,"Boat number above the boat count",IF(SUMIFS($F$5:$F$1004,$B$5:$B$1004,B706,$C$5:$C$1004,C706)&gt;1.0001,"Shares for this step add up to over 100%",IF(I706="","Waiting for sign-off",IF(AND(Settings!$B$10="Yes",I706=E706),"Needs a different member to sign off","OK"))))))</f>
        <v/>
      </c>
    </row>
    <row r="707">
      <c r="A707" s="9" t="n"/>
      <c r="B707" s="6" t="n"/>
      <c r="C707" s="6" t="n"/>
      <c r="D707" s="3">
        <f>IF(C707="","",IFERROR(INDEX(Steps!$C$5:$C$62,MATCH(C707,Steps!$A$5:$A$62,0)),""))</f>
        <v/>
      </c>
      <c r="E707" s="6" t="n"/>
      <c r="F707" s="8" t="n"/>
      <c r="G707" s="6" t="n"/>
      <c r="H707" s="7" t="n"/>
      <c r="I707" s="6" t="n"/>
      <c r="J707" s="9" t="n"/>
      <c r="K707" s="11">
        <f>IF(C707="","",N(IFERROR(INDEX(Steps!$E$5:$E$62,MATCH(C707,Steps!$A$5:$A$62,0)),"")))</f>
        <v/>
      </c>
      <c r="L707" s="11">
        <f>IF(AND(C707&lt;&gt;"",E707&lt;&gt;"",I707&lt;&gt;"",OR(Settings!$B$10="No",I707&lt;&gt;E707)),K707*F707,0)</f>
        <v/>
      </c>
      <c r="M707" s="11">
        <f>IF(AND(AND(C707&lt;&gt;"",E707&lt;&gt;"",I707&lt;&gt;"",OR(Settings!$B$10="No",I707&lt;&gt;E707)),G707="Paid a pro",Settings!$B$9="Yes"),MAX(0,H707-K707*F707),0)</f>
        <v/>
      </c>
      <c r="N707" s="3">
        <f>IF(C707="","",IF(B707="","Enter the boat number",IF(B707&gt;Settings!$B$6,"Boat number above the boat count",IF(SUMIFS($F$5:$F$1004,$B$5:$B$1004,B707,$C$5:$C$1004,C707)&gt;1.0001,"Shares for this step add up to over 100%",IF(I707="","Waiting for sign-off",IF(AND(Settings!$B$10="Yes",I707=E707),"Needs a different member to sign off","OK"))))))</f>
        <v/>
      </c>
    </row>
    <row r="708">
      <c r="A708" s="9" t="n"/>
      <c r="B708" s="6" t="n"/>
      <c r="C708" s="6" t="n"/>
      <c r="D708" s="3">
        <f>IF(C708="","",IFERROR(INDEX(Steps!$C$5:$C$62,MATCH(C708,Steps!$A$5:$A$62,0)),""))</f>
        <v/>
      </c>
      <c r="E708" s="6" t="n"/>
      <c r="F708" s="8" t="n"/>
      <c r="G708" s="6" t="n"/>
      <c r="H708" s="7" t="n"/>
      <c r="I708" s="6" t="n"/>
      <c r="J708" s="9" t="n"/>
      <c r="K708" s="11">
        <f>IF(C708="","",N(IFERROR(INDEX(Steps!$E$5:$E$62,MATCH(C708,Steps!$A$5:$A$62,0)),"")))</f>
        <v/>
      </c>
      <c r="L708" s="11">
        <f>IF(AND(C708&lt;&gt;"",E708&lt;&gt;"",I708&lt;&gt;"",OR(Settings!$B$10="No",I708&lt;&gt;E708)),K708*F708,0)</f>
        <v/>
      </c>
      <c r="M708" s="11">
        <f>IF(AND(AND(C708&lt;&gt;"",E708&lt;&gt;"",I708&lt;&gt;"",OR(Settings!$B$10="No",I708&lt;&gt;E708)),G708="Paid a pro",Settings!$B$9="Yes"),MAX(0,H708-K708*F708),0)</f>
        <v/>
      </c>
      <c r="N708" s="3">
        <f>IF(C708="","",IF(B708="","Enter the boat number",IF(B708&gt;Settings!$B$6,"Boat number above the boat count",IF(SUMIFS($F$5:$F$1004,$B$5:$B$1004,B708,$C$5:$C$1004,C708)&gt;1.0001,"Shares for this step add up to over 100%",IF(I708="","Waiting for sign-off",IF(AND(Settings!$B$10="Yes",I708=E708),"Needs a different member to sign off","OK"))))))</f>
        <v/>
      </c>
    </row>
    <row r="709">
      <c r="A709" s="9" t="n"/>
      <c r="B709" s="6" t="n"/>
      <c r="C709" s="6" t="n"/>
      <c r="D709" s="3">
        <f>IF(C709="","",IFERROR(INDEX(Steps!$C$5:$C$62,MATCH(C709,Steps!$A$5:$A$62,0)),""))</f>
        <v/>
      </c>
      <c r="E709" s="6" t="n"/>
      <c r="F709" s="8" t="n"/>
      <c r="G709" s="6" t="n"/>
      <c r="H709" s="7" t="n"/>
      <c r="I709" s="6" t="n"/>
      <c r="J709" s="9" t="n"/>
      <c r="K709" s="11">
        <f>IF(C709="","",N(IFERROR(INDEX(Steps!$E$5:$E$62,MATCH(C709,Steps!$A$5:$A$62,0)),"")))</f>
        <v/>
      </c>
      <c r="L709" s="11">
        <f>IF(AND(C709&lt;&gt;"",E709&lt;&gt;"",I709&lt;&gt;"",OR(Settings!$B$10="No",I709&lt;&gt;E709)),K709*F709,0)</f>
        <v/>
      </c>
      <c r="M709" s="11">
        <f>IF(AND(AND(C709&lt;&gt;"",E709&lt;&gt;"",I709&lt;&gt;"",OR(Settings!$B$10="No",I709&lt;&gt;E709)),G709="Paid a pro",Settings!$B$9="Yes"),MAX(0,H709-K709*F709),0)</f>
        <v/>
      </c>
      <c r="N709" s="3">
        <f>IF(C709="","",IF(B709="","Enter the boat number",IF(B709&gt;Settings!$B$6,"Boat number above the boat count",IF(SUMIFS($F$5:$F$1004,$B$5:$B$1004,B709,$C$5:$C$1004,C709)&gt;1.0001,"Shares for this step add up to over 100%",IF(I709="","Waiting for sign-off",IF(AND(Settings!$B$10="Yes",I709=E709),"Needs a different member to sign off","OK"))))))</f>
        <v/>
      </c>
    </row>
    <row r="710">
      <c r="A710" s="9" t="n"/>
      <c r="B710" s="6" t="n"/>
      <c r="C710" s="6" t="n"/>
      <c r="D710" s="3">
        <f>IF(C710="","",IFERROR(INDEX(Steps!$C$5:$C$62,MATCH(C710,Steps!$A$5:$A$62,0)),""))</f>
        <v/>
      </c>
      <c r="E710" s="6" t="n"/>
      <c r="F710" s="8" t="n"/>
      <c r="G710" s="6" t="n"/>
      <c r="H710" s="7" t="n"/>
      <c r="I710" s="6" t="n"/>
      <c r="J710" s="9" t="n"/>
      <c r="K710" s="11">
        <f>IF(C710="","",N(IFERROR(INDEX(Steps!$E$5:$E$62,MATCH(C710,Steps!$A$5:$A$62,0)),"")))</f>
        <v/>
      </c>
      <c r="L710" s="11">
        <f>IF(AND(C710&lt;&gt;"",E710&lt;&gt;"",I710&lt;&gt;"",OR(Settings!$B$10="No",I710&lt;&gt;E710)),K710*F710,0)</f>
        <v/>
      </c>
      <c r="M710" s="11">
        <f>IF(AND(AND(C710&lt;&gt;"",E710&lt;&gt;"",I710&lt;&gt;"",OR(Settings!$B$10="No",I710&lt;&gt;E710)),G710="Paid a pro",Settings!$B$9="Yes"),MAX(0,H710-K710*F710),0)</f>
        <v/>
      </c>
      <c r="N710" s="3">
        <f>IF(C710="","",IF(B710="","Enter the boat number",IF(B710&gt;Settings!$B$6,"Boat number above the boat count",IF(SUMIFS($F$5:$F$1004,$B$5:$B$1004,B710,$C$5:$C$1004,C710)&gt;1.0001,"Shares for this step add up to over 100%",IF(I710="","Waiting for sign-off",IF(AND(Settings!$B$10="Yes",I710=E710),"Needs a different member to sign off","OK"))))))</f>
        <v/>
      </c>
    </row>
    <row r="711">
      <c r="A711" s="9" t="n"/>
      <c r="B711" s="6" t="n"/>
      <c r="C711" s="6" t="n"/>
      <c r="D711" s="3">
        <f>IF(C711="","",IFERROR(INDEX(Steps!$C$5:$C$62,MATCH(C711,Steps!$A$5:$A$62,0)),""))</f>
        <v/>
      </c>
      <c r="E711" s="6" t="n"/>
      <c r="F711" s="8" t="n"/>
      <c r="G711" s="6" t="n"/>
      <c r="H711" s="7" t="n"/>
      <c r="I711" s="6" t="n"/>
      <c r="J711" s="9" t="n"/>
      <c r="K711" s="11">
        <f>IF(C711="","",N(IFERROR(INDEX(Steps!$E$5:$E$62,MATCH(C711,Steps!$A$5:$A$62,0)),"")))</f>
        <v/>
      </c>
      <c r="L711" s="11">
        <f>IF(AND(C711&lt;&gt;"",E711&lt;&gt;"",I711&lt;&gt;"",OR(Settings!$B$10="No",I711&lt;&gt;E711)),K711*F711,0)</f>
        <v/>
      </c>
      <c r="M711" s="11">
        <f>IF(AND(AND(C711&lt;&gt;"",E711&lt;&gt;"",I711&lt;&gt;"",OR(Settings!$B$10="No",I711&lt;&gt;E711)),G711="Paid a pro",Settings!$B$9="Yes"),MAX(0,H711-K711*F711),0)</f>
        <v/>
      </c>
      <c r="N711" s="3">
        <f>IF(C711="","",IF(B711="","Enter the boat number",IF(B711&gt;Settings!$B$6,"Boat number above the boat count",IF(SUMIFS($F$5:$F$1004,$B$5:$B$1004,B711,$C$5:$C$1004,C711)&gt;1.0001,"Shares for this step add up to over 100%",IF(I711="","Waiting for sign-off",IF(AND(Settings!$B$10="Yes",I711=E711),"Needs a different member to sign off","OK"))))))</f>
        <v/>
      </c>
    </row>
    <row r="712">
      <c r="A712" s="9" t="n"/>
      <c r="B712" s="6" t="n"/>
      <c r="C712" s="6" t="n"/>
      <c r="D712" s="3">
        <f>IF(C712="","",IFERROR(INDEX(Steps!$C$5:$C$62,MATCH(C712,Steps!$A$5:$A$62,0)),""))</f>
        <v/>
      </c>
      <c r="E712" s="6" t="n"/>
      <c r="F712" s="8" t="n"/>
      <c r="G712" s="6" t="n"/>
      <c r="H712" s="7" t="n"/>
      <c r="I712" s="6" t="n"/>
      <c r="J712" s="9" t="n"/>
      <c r="K712" s="11">
        <f>IF(C712="","",N(IFERROR(INDEX(Steps!$E$5:$E$62,MATCH(C712,Steps!$A$5:$A$62,0)),"")))</f>
        <v/>
      </c>
      <c r="L712" s="11">
        <f>IF(AND(C712&lt;&gt;"",E712&lt;&gt;"",I712&lt;&gt;"",OR(Settings!$B$10="No",I712&lt;&gt;E712)),K712*F712,0)</f>
        <v/>
      </c>
      <c r="M712" s="11">
        <f>IF(AND(AND(C712&lt;&gt;"",E712&lt;&gt;"",I712&lt;&gt;"",OR(Settings!$B$10="No",I712&lt;&gt;E712)),G712="Paid a pro",Settings!$B$9="Yes"),MAX(0,H712-K712*F712),0)</f>
        <v/>
      </c>
      <c r="N712" s="3">
        <f>IF(C712="","",IF(B712="","Enter the boat number",IF(B712&gt;Settings!$B$6,"Boat number above the boat count",IF(SUMIFS($F$5:$F$1004,$B$5:$B$1004,B712,$C$5:$C$1004,C712)&gt;1.0001,"Shares for this step add up to over 100%",IF(I712="","Waiting for sign-off",IF(AND(Settings!$B$10="Yes",I712=E712),"Needs a different member to sign off","OK"))))))</f>
        <v/>
      </c>
    </row>
    <row r="713">
      <c r="A713" s="9" t="n"/>
      <c r="B713" s="6" t="n"/>
      <c r="C713" s="6" t="n"/>
      <c r="D713" s="3">
        <f>IF(C713="","",IFERROR(INDEX(Steps!$C$5:$C$62,MATCH(C713,Steps!$A$5:$A$62,0)),""))</f>
        <v/>
      </c>
      <c r="E713" s="6" t="n"/>
      <c r="F713" s="8" t="n"/>
      <c r="G713" s="6" t="n"/>
      <c r="H713" s="7" t="n"/>
      <c r="I713" s="6" t="n"/>
      <c r="J713" s="9" t="n"/>
      <c r="K713" s="11">
        <f>IF(C713="","",N(IFERROR(INDEX(Steps!$E$5:$E$62,MATCH(C713,Steps!$A$5:$A$62,0)),"")))</f>
        <v/>
      </c>
      <c r="L713" s="11">
        <f>IF(AND(C713&lt;&gt;"",E713&lt;&gt;"",I713&lt;&gt;"",OR(Settings!$B$10="No",I713&lt;&gt;E713)),K713*F713,0)</f>
        <v/>
      </c>
      <c r="M713" s="11">
        <f>IF(AND(AND(C713&lt;&gt;"",E713&lt;&gt;"",I713&lt;&gt;"",OR(Settings!$B$10="No",I713&lt;&gt;E713)),G713="Paid a pro",Settings!$B$9="Yes"),MAX(0,H713-K713*F713),0)</f>
        <v/>
      </c>
      <c r="N713" s="3">
        <f>IF(C713="","",IF(B713="","Enter the boat number",IF(B713&gt;Settings!$B$6,"Boat number above the boat count",IF(SUMIFS($F$5:$F$1004,$B$5:$B$1004,B713,$C$5:$C$1004,C713)&gt;1.0001,"Shares for this step add up to over 100%",IF(I713="","Waiting for sign-off",IF(AND(Settings!$B$10="Yes",I713=E713),"Needs a different member to sign off","OK"))))))</f>
        <v/>
      </c>
    </row>
    <row r="714">
      <c r="A714" s="9" t="n"/>
      <c r="B714" s="6" t="n"/>
      <c r="C714" s="6" t="n"/>
      <c r="D714" s="3">
        <f>IF(C714="","",IFERROR(INDEX(Steps!$C$5:$C$62,MATCH(C714,Steps!$A$5:$A$62,0)),""))</f>
        <v/>
      </c>
      <c r="E714" s="6" t="n"/>
      <c r="F714" s="8" t="n"/>
      <c r="G714" s="6" t="n"/>
      <c r="H714" s="7" t="n"/>
      <c r="I714" s="6" t="n"/>
      <c r="J714" s="9" t="n"/>
      <c r="K714" s="11">
        <f>IF(C714="","",N(IFERROR(INDEX(Steps!$E$5:$E$62,MATCH(C714,Steps!$A$5:$A$62,0)),"")))</f>
        <v/>
      </c>
      <c r="L714" s="11">
        <f>IF(AND(C714&lt;&gt;"",E714&lt;&gt;"",I714&lt;&gt;"",OR(Settings!$B$10="No",I714&lt;&gt;E714)),K714*F714,0)</f>
        <v/>
      </c>
      <c r="M714" s="11">
        <f>IF(AND(AND(C714&lt;&gt;"",E714&lt;&gt;"",I714&lt;&gt;"",OR(Settings!$B$10="No",I714&lt;&gt;E714)),G714="Paid a pro",Settings!$B$9="Yes"),MAX(0,H714-K714*F714),0)</f>
        <v/>
      </c>
      <c r="N714" s="3">
        <f>IF(C714="","",IF(B714="","Enter the boat number",IF(B714&gt;Settings!$B$6,"Boat number above the boat count",IF(SUMIFS($F$5:$F$1004,$B$5:$B$1004,B714,$C$5:$C$1004,C714)&gt;1.0001,"Shares for this step add up to over 100%",IF(I714="","Waiting for sign-off",IF(AND(Settings!$B$10="Yes",I714=E714),"Needs a different member to sign off","OK"))))))</f>
        <v/>
      </c>
    </row>
    <row r="715">
      <c r="A715" s="9" t="n"/>
      <c r="B715" s="6" t="n"/>
      <c r="C715" s="6" t="n"/>
      <c r="D715" s="3">
        <f>IF(C715="","",IFERROR(INDEX(Steps!$C$5:$C$62,MATCH(C715,Steps!$A$5:$A$62,0)),""))</f>
        <v/>
      </c>
      <c r="E715" s="6" t="n"/>
      <c r="F715" s="8" t="n"/>
      <c r="G715" s="6" t="n"/>
      <c r="H715" s="7" t="n"/>
      <c r="I715" s="6" t="n"/>
      <c r="J715" s="9" t="n"/>
      <c r="K715" s="11">
        <f>IF(C715="","",N(IFERROR(INDEX(Steps!$E$5:$E$62,MATCH(C715,Steps!$A$5:$A$62,0)),"")))</f>
        <v/>
      </c>
      <c r="L715" s="11">
        <f>IF(AND(C715&lt;&gt;"",E715&lt;&gt;"",I715&lt;&gt;"",OR(Settings!$B$10="No",I715&lt;&gt;E715)),K715*F715,0)</f>
        <v/>
      </c>
      <c r="M715" s="11">
        <f>IF(AND(AND(C715&lt;&gt;"",E715&lt;&gt;"",I715&lt;&gt;"",OR(Settings!$B$10="No",I715&lt;&gt;E715)),G715="Paid a pro",Settings!$B$9="Yes"),MAX(0,H715-K715*F715),0)</f>
        <v/>
      </c>
      <c r="N715" s="3">
        <f>IF(C715="","",IF(B715="","Enter the boat number",IF(B715&gt;Settings!$B$6,"Boat number above the boat count",IF(SUMIFS($F$5:$F$1004,$B$5:$B$1004,B715,$C$5:$C$1004,C715)&gt;1.0001,"Shares for this step add up to over 100%",IF(I715="","Waiting for sign-off",IF(AND(Settings!$B$10="Yes",I715=E715),"Needs a different member to sign off","OK"))))))</f>
        <v/>
      </c>
    </row>
    <row r="716">
      <c r="A716" s="9" t="n"/>
      <c r="B716" s="6" t="n"/>
      <c r="C716" s="6" t="n"/>
      <c r="D716" s="3">
        <f>IF(C716="","",IFERROR(INDEX(Steps!$C$5:$C$62,MATCH(C716,Steps!$A$5:$A$62,0)),""))</f>
        <v/>
      </c>
      <c r="E716" s="6" t="n"/>
      <c r="F716" s="8" t="n"/>
      <c r="G716" s="6" t="n"/>
      <c r="H716" s="7" t="n"/>
      <c r="I716" s="6" t="n"/>
      <c r="J716" s="9" t="n"/>
      <c r="K716" s="11">
        <f>IF(C716="","",N(IFERROR(INDEX(Steps!$E$5:$E$62,MATCH(C716,Steps!$A$5:$A$62,0)),"")))</f>
        <v/>
      </c>
      <c r="L716" s="11">
        <f>IF(AND(C716&lt;&gt;"",E716&lt;&gt;"",I716&lt;&gt;"",OR(Settings!$B$10="No",I716&lt;&gt;E716)),K716*F716,0)</f>
        <v/>
      </c>
      <c r="M716" s="11">
        <f>IF(AND(AND(C716&lt;&gt;"",E716&lt;&gt;"",I716&lt;&gt;"",OR(Settings!$B$10="No",I716&lt;&gt;E716)),G716="Paid a pro",Settings!$B$9="Yes"),MAX(0,H716-K716*F716),0)</f>
        <v/>
      </c>
      <c r="N716" s="3">
        <f>IF(C716="","",IF(B716="","Enter the boat number",IF(B716&gt;Settings!$B$6,"Boat number above the boat count",IF(SUMIFS($F$5:$F$1004,$B$5:$B$1004,B716,$C$5:$C$1004,C716)&gt;1.0001,"Shares for this step add up to over 100%",IF(I716="","Waiting for sign-off",IF(AND(Settings!$B$10="Yes",I716=E716),"Needs a different member to sign off","OK"))))))</f>
        <v/>
      </c>
    </row>
    <row r="717">
      <c r="A717" s="9" t="n"/>
      <c r="B717" s="6" t="n"/>
      <c r="C717" s="6" t="n"/>
      <c r="D717" s="3">
        <f>IF(C717="","",IFERROR(INDEX(Steps!$C$5:$C$62,MATCH(C717,Steps!$A$5:$A$62,0)),""))</f>
        <v/>
      </c>
      <c r="E717" s="6" t="n"/>
      <c r="F717" s="8" t="n"/>
      <c r="G717" s="6" t="n"/>
      <c r="H717" s="7" t="n"/>
      <c r="I717" s="6" t="n"/>
      <c r="J717" s="9" t="n"/>
      <c r="K717" s="11">
        <f>IF(C717="","",N(IFERROR(INDEX(Steps!$E$5:$E$62,MATCH(C717,Steps!$A$5:$A$62,0)),"")))</f>
        <v/>
      </c>
      <c r="L717" s="11">
        <f>IF(AND(C717&lt;&gt;"",E717&lt;&gt;"",I717&lt;&gt;"",OR(Settings!$B$10="No",I717&lt;&gt;E717)),K717*F717,0)</f>
        <v/>
      </c>
      <c r="M717" s="11">
        <f>IF(AND(AND(C717&lt;&gt;"",E717&lt;&gt;"",I717&lt;&gt;"",OR(Settings!$B$10="No",I717&lt;&gt;E717)),G717="Paid a pro",Settings!$B$9="Yes"),MAX(0,H717-K717*F717),0)</f>
        <v/>
      </c>
      <c r="N717" s="3">
        <f>IF(C717="","",IF(B717="","Enter the boat number",IF(B717&gt;Settings!$B$6,"Boat number above the boat count",IF(SUMIFS($F$5:$F$1004,$B$5:$B$1004,B717,$C$5:$C$1004,C717)&gt;1.0001,"Shares for this step add up to over 100%",IF(I717="","Waiting for sign-off",IF(AND(Settings!$B$10="Yes",I717=E717),"Needs a different member to sign off","OK"))))))</f>
        <v/>
      </c>
    </row>
    <row r="718">
      <c r="A718" s="9" t="n"/>
      <c r="B718" s="6" t="n"/>
      <c r="C718" s="6" t="n"/>
      <c r="D718" s="3">
        <f>IF(C718="","",IFERROR(INDEX(Steps!$C$5:$C$62,MATCH(C718,Steps!$A$5:$A$62,0)),""))</f>
        <v/>
      </c>
      <c r="E718" s="6" t="n"/>
      <c r="F718" s="8" t="n"/>
      <c r="G718" s="6" t="n"/>
      <c r="H718" s="7" t="n"/>
      <c r="I718" s="6" t="n"/>
      <c r="J718" s="9" t="n"/>
      <c r="K718" s="11">
        <f>IF(C718="","",N(IFERROR(INDEX(Steps!$E$5:$E$62,MATCH(C718,Steps!$A$5:$A$62,0)),"")))</f>
        <v/>
      </c>
      <c r="L718" s="11">
        <f>IF(AND(C718&lt;&gt;"",E718&lt;&gt;"",I718&lt;&gt;"",OR(Settings!$B$10="No",I718&lt;&gt;E718)),K718*F718,0)</f>
        <v/>
      </c>
      <c r="M718" s="11">
        <f>IF(AND(AND(C718&lt;&gt;"",E718&lt;&gt;"",I718&lt;&gt;"",OR(Settings!$B$10="No",I718&lt;&gt;E718)),G718="Paid a pro",Settings!$B$9="Yes"),MAX(0,H718-K718*F718),0)</f>
        <v/>
      </c>
      <c r="N718" s="3">
        <f>IF(C718="","",IF(B718="","Enter the boat number",IF(B718&gt;Settings!$B$6,"Boat number above the boat count",IF(SUMIFS($F$5:$F$1004,$B$5:$B$1004,B718,$C$5:$C$1004,C718)&gt;1.0001,"Shares for this step add up to over 100%",IF(I718="","Waiting for sign-off",IF(AND(Settings!$B$10="Yes",I718=E718),"Needs a different member to sign off","OK"))))))</f>
        <v/>
      </c>
    </row>
    <row r="719">
      <c r="A719" s="9" t="n"/>
      <c r="B719" s="6" t="n"/>
      <c r="C719" s="6" t="n"/>
      <c r="D719" s="3">
        <f>IF(C719="","",IFERROR(INDEX(Steps!$C$5:$C$62,MATCH(C719,Steps!$A$5:$A$62,0)),""))</f>
        <v/>
      </c>
      <c r="E719" s="6" t="n"/>
      <c r="F719" s="8" t="n"/>
      <c r="G719" s="6" t="n"/>
      <c r="H719" s="7" t="n"/>
      <c r="I719" s="6" t="n"/>
      <c r="J719" s="9" t="n"/>
      <c r="K719" s="11">
        <f>IF(C719="","",N(IFERROR(INDEX(Steps!$E$5:$E$62,MATCH(C719,Steps!$A$5:$A$62,0)),"")))</f>
        <v/>
      </c>
      <c r="L719" s="11">
        <f>IF(AND(C719&lt;&gt;"",E719&lt;&gt;"",I719&lt;&gt;"",OR(Settings!$B$10="No",I719&lt;&gt;E719)),K719*F719,0)</f>
        <v/>
      </c>
      <c r="M719" s="11">
        <f>IF(AND(AND(C719&lt;&gt;"",E719&lt;&gt;"",I719&lt;&gt;"",OR(Settings!$B$10="No",I719&lt;&gt;E719)),G719="Paid a pro",Settings!$B$9="Yes"),MAX(0,H719-K719*F719),0)</f>
        <v/>
      </c>
      <c r="N719" s="3">
        <f>IF(C719="","",IF(B719="","Enter the boat number",IF(B719&gt;Settings!$B$6,"Boat number above the boat count",IF(SUMIFS($F$5:$F$1004,$B$5:$B$1004,B719,$C$5:$C$1004,C719)&gt;1.0001,"Shares for this step add up to over 100%",IF(I719="","Waiting for sign-off",IF(AND(Settings!$B$10="Yes",I719=E719),"Needs a different member to sign off","OK"))))))</f>
        <v/>
      </c>
    </row>
    <row r="720">
      <c r="A720" s="9" t="n"/>
      <c r="B720" s="6" t="n"/>
      <c r="C720" s="6" t="n"/>
      <c r="D720" s="3">
        <f>IF(C720="","",IFERROR(INDEX(Steps!$C$5:$C$62,MATCH(C720,Steps!$A$5:$A$62,0)),""))</f>
        <v/>
      </c>
      <c r="E720" s="6" t="n"/>
      <c r="F720" s="8" t="n"/>
      <c r="G720" s="6" t="n"/>
      <c r="H720" s="7" t="n"/>
      <c r="I720" s="6" t="n"/>
      <c r="J720" s="9" t="n"/>
      <c r="K720" s="11">
        <f>IF(C720="","",N(IFERROR(INDEX(Steps!$E$5:$E$62,MATCH(C720,Steps!$A$5:$A$62,0)),"")))</f>
        <v/>
      </c>
      <c r="L720" s="11">
        <f>IF(AND(C720&lt;&gt;"",E720&lt;&gt;"",I720&lt;&gt;"",OR(Settings!$B$10="No",I720&lt;&gt;E720)),K720*F720,0)</f>
        <v/>
      </c>
      <c r="M720" s="11">
        <f>IF(AND(AND(C720&lt;&gt;"",E720&lt;&gt;"",I720&lt;&gt;"",OR(Settings!$B$10="No",I720&lt;&gt;E720)),G720="Paid a pro",Settings!$B$9="Yes"),MAX(0,H720-K720*F720),0)</f>
        <v/>
      </c>
      <c r="N720" s="3">
        <f>IF(C720="","",IF(B720="","Enter the boat number",IF(B720&gt;Settings!$B$6,"Boat number above the boat count",IF(SUMIFS($F$5:$F$1004,$B$5:$B$1004,B720,$C$5:$C$1004,C720)&gt;1.0001,"Shares for this step add up to over 100%",IF(I720="","Waiting for sign-off",IF(AND(Settings!$B$10="Yes",I720=E720),"Needs a different member to sign off","OK"))))))</f>
        <v/>
      </c>
    </row>
    <row r="721">
      <c r="A721" s="9" t="n"/>
      <c r="B721" s="6" t="n"/>
      <c r="C721" s="6" t="n"/>
      <c r="D721" s="3">
        <f>IF(C721="","",IFERROR(INDEX(Steps!$C$5:$C$62,MATCH(C721,Steps!$A$5:$A$62,0)),""))</f>
        <v/>
      </c>
      <c r="E721" s="6" t="n"/>
      <c r="F721" s="8" t="n"/>
      <c r="G721" s="6" t="n"/>
      <c r="H721" s="7" t="n"/>
      <c r="I721" s="6" t="n"/>
      <c r="J721" s="9" t="n"/>
      <c r="K721" s="11">
        <f>IF(C721="","",N(IFERROR(INDEX(Steps!$E$5:$E$62,MATCH(C721,Steps!$A$5:$A$62,0)),"")))</f>
        <v/>
      </c>
      <c r="L721" s="11">
        <f>IF(AND(C721&lt;&gt;"",E721&lt;&gt;"",I721&lt;&gt;"",OR(Settings!$B$10="No",I721&lt;&gt;E721)),K721*F721,0)</f>
        <v/>
      </c>
      <c r="M721" s="11">
        <f>IF(AND(AND(C721&lt;&gt;"",E721&lt;&gt;"",I721&lt;&gt;"",OR(Settings!$B$10="No",I721&lt;&gt;E721)),G721="Paid a pro",Settings!$B$9="Yes"),MAX(0,H721-K721*F721),0)</f>
        <v/>
      </c>
      <c r="N721" s="3">
        <f>IF(C721="","",IF(B721="","Enter the boat number",IF(B721&gt;Settings!$B$6,"Boat number above the boat count",IF(SUMIFS($F$5:$F$1004,$B$5:$B$1004,B721,$C$5:$C$1004,C721)&gt;1.0001,"Shares for this step add up to over 100%",IF(I721="","Waiting for sign-off",IF(AND(Settings!$B$10="Yes",I721=E721),"Needs a different member to sign off","OK"))))))</f>
        <v/>
      </c>
    </row>
    <row r="722">
      <c r="A722" s="9" t="n"/>
      <c r="B722" s="6" t="n"/>
      <c r="C722" s="6" t="n"/>
      <c r="D722" s="3">
        <f>IF(C722="","",IFERROR(INDEX(Steps!$C$5:$C$62,MATCH(C722,Steps!$A$5:$A$62,0)),""))</f>
        <v/>
      </c>
      <c r="E722" s="6" t="n"/>
      <c r="F722" s="8" t="n"/>
      <c r="G722" s="6" t="n"/>
      <c r="H722" s="7" t="n"/>
      <c r="I722" s="6" t="n"/>
      <c r="J722" s="9" t="n"/>
      <c r="K722" s="11">
        <f>IF(C722="","",N(IFERROR(INDEX(Steps!$E$5:$E$62,MATCH(C722,Steps!$A$5:$A$62,0)),"")))</f>
        <v/>
      </c>
      <c r="L722" s="11">
        <f>IF(AND(C722&lt;&gt;"",E722&lt;&gt;"",I722&lt;&gt;"",OR(Settings!$B$10="No",I722&lt;&gt;E722)),K722*F722,0)</f>
        <v/>
      </c>
      <c r="M722" s="11">
        <f>IF(AND(AND(C722&lt;&gt;"",E722&lt;&gt;"",I722&lt;&gt;"",OR(Settings!$B$10="No",I722&lt;&gt;E722)),G722="Paid a pro",Settings!$B$9="Yes"),MAX(0,H722-K722*F722),0)</f>
        <v/>
      </c>
      <c r="N722" s="3">
        <f>IF(C722="","",IF(B722="","Enter the boat number",IF(B722&gt;Settings!$B$6,"Boat number above the boat count",IF(SUMIFS($F$5:$F$1004,$B$5:$B$1004,B722,$C$5:$C$1004,C722)&gt;1.0001,"Shares for this step add up to over 100%",IF(I722="","Waiting for sign-off",IF(AND(Settings!$B$10="Yes",I722=E722),"Needs a different member to sign off","OK"))))))</f>
        <v/>
      </c>
    </row>
    <row r="723">
      <c r="A723" s="9" t="n"/>
      <c r="B723" s="6" t="n"/>
      <c r="C723" s="6" t="n"/>
      <c r="D723" s="3">
        <f>IF(C723="","",IFERROR(INDEX(Steps!$C$5:$C$62,MATCH(C723,Steps!$A$5:$A$62,0)),""))</f>
        <v/>
      </c>
      <c r="E723" s="6" t="n"/>
      <c r="F723" s="8" t="n"/>
      <c r="G723" s="6" t="n"/>
      <c r="H723" s="7" t="n"/>
      <c r="I723" s="6" t="n"/>
      <c r="J723" s="9" t="n"/>
      <c r="K723" s="11">
        <f>IF(C723="","",N(IFERROR(INDEX(Steps!$E$5:$E$62,MATCH(C723,Steps!$A$5:$A$62,0)),"")))</f>
        <v/>
      </c>
      <c r="L723" s="11">
        <f>IF(AND(C723&lt;&gt;"",E723&lt;&gt;"",I723&lt;&gt;"",OR(Settings!$B$10="No",I723&lt;&gt;E723)),K723*F723,0)</f>
        <v/>
      </c>
      <c r="M723" s="11">
        <f>IF(AND(AND(C723&lt;&gt;"",E723&lt;&gt;"",I723&lt;&gt;"",OR(Settings!$B$10="No",I723&lt;&gt;E723)),G723="Paid a pro",Settings!$B$9="Yes"),MAX(0,H723-K723*F723),0)</f>
        <v/>
      </c>
      <c r="N723" s="3">
        <f>IF(C723="","",IF(B723="","Enter the boat number",IF(B723&gt;Settings!$B$6,"Boat number above the boat count",IF(SUMIFS($F$5:$F$1004,$B$5:$B$1004,B723,$C$5:$C$1004,C723)&gt;1.0001,"Shares for this step add up to over 100%",IF(I723="","Waiting for sign-off",IF(AND(Settings!$B$10="Yes",I723=E723),"Needs a different member to sign off","OK"))))))</f>
        <v/>
      </c>
    </row>
    <row r="724">
      <c r="A724" s="9" t="n"/>
      <c r="B724" s="6" t="n"/>
      <c r="C724" s="6" t="n"/>
      <c r="D724" s="3">
        <f>IF(C724="","",IFERROR(INDEX(Steps!$C$5:$C$62,MATCH(C724,Steps!$A$5:$A$62,0)),""))</f>
        <v/>
      </c>
      <c r="E724" s="6" t="n"/>
      <c r="F724" s="8" t="n"/>
      <c r="G724" s="6" t="n"/>
      <c r="H724" s="7" t="n"/>
      <c r="I724" s="6" t="n"/>
      <c r="J724" s="9" t="n"/>
      <c r="K724" s="11">
        <f>IF(C724="","",N(IFERROR(INDEX(Steps!$E$5:$E$62,MATCH(C724,Steps!$A$5:$A$62,0)),"")))</f>
        <v/>
      </c>
      <c r="L724" s="11">
        <f>IF(AND(C724&lt;&gt;"",E724&lt;&gt;"",I724&lt;&gt;"",OR(Settings!$B$10="No",I724&lt;&gt;E724)),K724*F724,0)</f>
        <v/>
      </c>
      <c r="M724" s="11">
        <f>IF(AND(AND(C724&lt;&gt;"",E724&lt;&gt;"",I724&lt;&gt;"",OR(Settings!$B$10="No",I724&lt;&gt;E724)),G724="Paid a pro",Settings!$B$9="Yes"),MAX(0,H724-K724*F724),0)</f>
        <v/>
      </c>
      <c r="N724" s="3">
        <f>IF(C724="","",IF(B724="","Enter the boat number",IF(B724&gt;Settings!$B$6,"Boat number above the boat count",IF(SUMIFS($F$5:$F$1004,$B$5:$B$1004,B724,$C$5:$C$1004,C724)&gt;1.0001,"Shares for this step add up to over 100%",IF(I724="","Waiting for sign-off",IF(AND(Settings!$B$10="Yes",I724=E724),"Needs a different member to sign off","OK"))))))</f>
        <v/>
      </c>
    </row>
    <row r="725">
      <c r="A725" s="9" t="n"/>
      <c r="B725" s="6" t="n"/>
      <c r="C725" s="6" t="n"/>
      <c r="D725" s="3">
        <f>IF(C725="","",IFERROR(INDEX(Steps!$C$5:$C$62,MATCH(C725,Steps!$A$5:$A$62,0)),""))</f>
        <v/>
      </c>
      <c r="E725" s="6" t="n"/>
      <c r="F725" s="8" t="n"/>
      <c r="G725" s="6" t="n"/>
      <c r="H725" s="7" t="n"/>
      <c r="I725" s="6" t="n"/>
      <c r="J725" s="9" t="n"/>
      <c r="K725" s="11">
        <f>IF(C725="","",N(IFERROR(INDEX(Steps!$E$5:$E$62,MATCH(C725,Steps!$A$5:$A$62,0)),"")))</f>
        <v/>
      </c>
      <c r="L725" s="11">
        <f>IF(AND(C725&lt;&gt;"",E725&lt;&gt;"",I725&lt;&gt;"",OR(Settings!$B$10="No",I725&lt;&gt;E725)),K725*F725,0)</f>
        <v/>
      </c>
      <c r="M725" s="11">
        <f>IF(AND(AND(C725&lt;&gt;"",E725&lt;&gt;"",I725&lt;&gt;"",OR(Settings!$B$10="No",I725&lt;&gt;E725)),G725="Paid a pro",Settings!$B$9="Yes"),MAX(0,H725-K725*F725),0)</f>
        <v/>
      </c>
      <c r="N725" s="3">
        <f>IF(C725="","",IF(B725="","Enter the boat number",IF(B725&gt;Settings!$B$6,"Boat number above the boat count",IF(SUMIFS($F$5:$F$1004,$B$5:$B$1004,B725,$C$5:$C$1004,C725)&gt;1.0001,"Shares for this step add up to over 100%",IF(I725="","Waiting for sign-off",IF(AND(Settings!$B$10="Yes",I725=E725),"Needs a different member to sign off","OK"))))))</f>
        <v/>
      </c>
    </row>
    <row r="726">
      <c r="A726" s="9" t="n"/>
      <c r="B726" s="6" t="n"/>
      <c r="C726" s="6" t="n"/>
      <c r="D726" s="3">
        <f>IF(C726="","",IFERROR(INDEX(Steps!$C$5:$C$62,MATCH(C726,Steps!$A$5:$A$62,0)),""))</f>
        <v/>
      </c>
      <c r="E726" s="6" t="n"/>
      <c r="F726" s="8" t="n"/>
      <c r="G726" s="6" t="n"/>
      <c r="H726" s="7" t="n"/>
      <c r="I726" s="6" t="n"/>
      <c r="J726" s="9" t="n"/>
      <c r="K726" s="11">
        <f>IF(C726="","",N(IFERROR(INDEX(Steps!$E$5:$E$62,MATCH(C726,Steps!$A$5:$A$62,0)),"")))</f>
        <v/>
      </c>
      <c r="L726" s="11">
        <f>IF(AND(C726&lt;&gt;"",E726&lt;&gt;"",I726&lt;&gt;"",OR(Settings!$B$10="No",I726&lt;&gt;E726)),K726*F726,0)</f>
        <v/>
      </c>
      <c r="M726" s="11">
        <f>IF(AND(AND(C726&lt;&gt;"",E726&lt;&gt;"",I726&lt;&gt;"",OR(Settings!$B$10="No",I726&lt;&gt;E726)),G726="Paid a pro",Settings!$B$9="Yes"),MAX(0,H726-K726*F726),0)</f>
        <v/>
      </c>
      <c r="N726" s="3">
        <f>IF(C726="","",IF(B726="","Enter the boat number",IF(B726&gt;Settings!$B$6,"Boat number above the boat count",IF(SUMIFS($F$5:$F$1004,$B$5:$B$1004,B726,$C$5:$C$1004,C726)&gt;1.0001,"Shares for this step add up to over 100%",IF(I726="","Waiting for sign-off",IF(AND(Settings!$B$10="Yes",I726=E726),"Needs a different member to sign off","OK"))))))</f>
        <v/>
      </c>
    </row>
    <row r="727">
      <c r="A727" s="9" t="n"/>
      <c r="B727" s="6" t="n"/>
      <c r="C727" s="6" t="n"/>
      <c r="D727" s="3">
        <f>IF(C727="","",IFERROR(INDEX(Steps!$C$5:$C$62,MATCH(C727,Steps!$A$5:$A$62,0)),""))</f>
        <v/>
      </c>
      <c r="E727" s="6" t="n"/>
      <c r="F727" s="8" t="n"/>
      <c r="G727" s="6" t="n"/>
      <c r="H727" s="7" t="n"/>
      <c r="I727" s="6" t="n"/>
      <c r="J727" s="9" t="n"/>
      <c r="K727" s="11">
        <f>IF(C727="","",N(IFERROR(INDEX(Steps!$E$5:$E$62,MATCH(C727,Steps!$A$5:$A$62,0)),"")))</f>
        <v/>
      </c>
      <c r="L727" s="11">
        <f>IF(AND(C727&lt;&gt;"",E727&lt;&gt;"",I727&lt;&gt;"",OR(Settings!$B$10="No",I727&lt;&gt;E727)),K727*F727,0)</f>
        <v/>
      </c>
      <c r="M727" s="11">
        <f>IF(AND(AND(C727&lt;&gt;"",E727&lt;&gt;"",I727&lt;&gt;"",OR(Settings!$B$10="No",I727&lt;&gt;E727)),G727="Paid a pro",Settings!$B$9="Yes"),MAX(0,H727-K727*F727),0)</f>
        <v/>
      </c>
      <c r="N727" s="3">
        <f>IF(C727="","",IF(B727="","Enter the boat number",IF(B727&gt;Settings!$B$6,"Boat number above the boat count",IF(SUMIFS($F$5:$F$1004,$B$5:$B$1004,B727,$C$5:$C$1004,C727)&gt;1.0001,"Shares for this step add up to over 100%",IF(I727="","Waiting for sign-off",IF(AND(Settings!$B$10="Yes",I727=E727),"Needs a different member to sign off","OK"))))))</f>
        <v/>
      </c>
    </row>
    <row r="728">
      <c r="A728" s="9" t="n"/>
      <c r="B728" s="6" t="n"/>
      <c r="C728" s="6" t="n"/>
      <c r="D728" s="3">
        <f>IF(C728="","",IFERROR(INDEX(Steps!$C$5:$C$62,MATCH(C728,Steps!$A$5:$A$62,0)),""))</f>
        <v/>
      </c>
      <c r="E728" s="6" t="n"/>
      <c r="F728" s="8" t="n"/>
      <c r="G728" s="6" t="n"/>
      <c r="H728" s="7" t="n"/>
      <c r="I728" s="6" t="n"/>
      <c r="J728" s="9" t="n"/>
      <c r="K728" s="11">
        <f>IF(C728="","",N(IFERROR(INDEX(Steps!$E$5:$E$62,MATCH(C728,Steps!$A$5:$A$62,0)),"")))</f>
        <v/>
      </c>
      <c r="L728" s="11">
        <f>IF(AND(C728&lt;&gt;"",E728&lt;&gt;"",I728&lt;&gt;"",OR(Settings!$B$10="No",I728&lt;&gt;E728)),K728*F728,0)</f>
        <v/>
      </c>
      <c r="M728" s="11">
        <f>IF(AND(AND(C728&lt;&gt;"",E728&lt;&gt;"",I728&lt;&gt;"",OR(Settings!$B$10="No",I728&lt;&gt;E728)),G728="Paid a pro",Settings!$B$9="Yes"),MAX(0,H728-K728*F728),0)</f>
        <v/>
      </c>
      <c r="N728" s="3">
        <f>IF(C728="","",IF(B728="","Enter the boat number",IF(B728&gt;Settings!$B$6,"Boat number above the boat count",IF(SUMIFS($F$5:$F$1004,$B$5:$B$1004,B728,$C$5:$C$1004,C728)&gt;1.0001,"Shares for this step add up to over 100%",IF(I728="","Waiting for sign-off",IF(AND(Settings!$B$10="Yes",I728=E728),"Needs a different member to sign off","OK"))))))</f>
        <v/>
      </c>
    </row>
    <row r="729">
      <c r="A729" s="9" t="n"/>
      <c r="B729" s="6" t="n"/>
      <c r="C729" s="6" t="n"/>
      <c r="D729" s="3">
        <f>IF(C729="","",IFERROR(INDEX(Steps!$C$5:$C$62,MATCH(C729,Steps!$A$5:$A$62,0)),""))</f>
        <v/>
      </c>
      <c r="E729" s="6" t="n"/>
      <c r="F729" s="8" t="n"/>
      <c r="G729" s="6" t="n"/>
      <c r="H729" s="7" t="n"/>
      <c r="I729" s="6" t="n"/>
      <c r="J729" s="9" t="n"/>
      <c r="K729" s="11">
        <f>IF(C729="","",N(IFERROR(INDEX(Steps!$E$5:$E$62,MATCH(C729,Steps!$A$5:$A$62,0)),"")))</f>
        <v/>
      </c>
      <c r="L729" s="11">
        <f>IF(AND(C729&lt;&gt;"",E729&lt;&gt;"",I729&lt;&gt;"",OR(Settings!$B$10="No",I729&lt;&gt;E729)),K729*F729,0)</f>
        <v/>
      </c>
      <c r="M729" s="11">
        <f>IF(AND(AND(C729&lt;&gt;"",E729&lt;&gt;"",I729&lt;&gt;"",OR(Settings!$B$10="No",I729&lt;&gt;E729)),G729="Paid a pro",Settings!$B$9="Yes"),MAX(0,H729-K729*F729),0)</f>
        <v/>
      </c>
      <c r="N729" s="3">
        <f>IF(C729="","",IF(B729="","Enter the boat number",IF(B729&gt;Settings!$B$6,"Boat number above the boat count",IF(SUMIFS($F$5:$F$1004,$B$5:$B$1004,B729,$C$5:$C$1004,C729)&gt;1.0001,"Shares for this step add up to over 100%",IF(I729="","Waiting for sign-off",IF(AND(Settings!$B$10="Yes",I729=E729),"Needs a different member to sign off","OK"))))))</f>
        <v/>
      </c>
    </row>
    <row r="730">
      <c r="A730" s="9" t="n"/>
      <c r="B730" s="6" t="n"/>
      <c r="C730" s="6" t="n"/>
      <c r="D730" s="3">
        <f>IF(C730="","",IFERROR(INDEX(Steps!$C$5:$C$62,MATCH(C730,Steps!$A$5:$A$62,0)),""))</f>
        <v/>
      </c>
      <c r="E730" s="6" t="n"/>
      <c r="F730" s="8" t="n"/>
      <c r="G730" s="6" t="n"/>
      <c r="H730" s="7" t="n"/>
      <c r="I730" s="6" t="n"/>
      <c r="J730" s="9" t="n"/>
      <c r="K730" s="11">
        <f>IF(C730="","",N(IFERROR(INDEX(Steps!$E$5:$E$62,MATCH(C730,Steps!$A$5:$A$62,0)),"")))</f>
        <v/>
      </c>
      <c r="L730" s="11">
        <f>IF(AND(C730&lt;&gt;"",E730&lt;&gt;"",I730&lt;&gt;"",OR(Settings!$B$10="No",I730&lt;&gt;E730)),K730*F730,0)</f>
        <v/>
      </c>
      <c r="M730" s="11">
        <f>IF(AND(AND(C730&lt;&gt;"",E730&lt;&gt;"",I730&lt;&gt;"",OR(Settings!$B$10="No",I730&lt;&gt;E730)),G730="Paid a pro",Settings!$B$9="Yes"),MAX(0,H730-K730*F730),0)</f>
        <v/>
      </c>
      <c r="N730" s="3">
        <f>IF(C730="","",IF(B730="","Enter the boat number",IF(B730&gt;Settings!$B$6,"Boat number above the boat count",IF(SUMIFS($F$5:$F$1004,$B$5:$B$1004,B730,$C$5:$C$1004,C730)&gt;1.0001,"Shares for this step add up to over 100%",IF(I730="","Waiting for sign-off",IF(AND(Settings!$B$10="Yes",I730=E730),"Needs a different member to sign off","OK"))))))</f>
        <v/>
      </c>
    </row>
    <row r="731">
      <c r="A731" s="9" t="n"/>
      <c r="B731" s="6" t="n"/>
      <c r="C731" s="6" t="n"/>
      <c r="D731" s="3">
        <f>IF(C731="","",IFERROR(INDEX(Steps!$C$5:$C$62,MATCH(C731,Steps!$A$5:$A$62,0)),""))</f>
        <v/>
      </c>
      <c r="E731" s="6" t="n"/>
      <c r="F731" s="8" t="n"/>
      <c r="G731" s="6" t="n"/>
      <c r="H731" s="7" t="n"/>
      <c r="I731" s="6" t="n"/>
      <c r="J731" s="9" t="n"/>
      <c r="K731" s="11">
        <f>IF(C731="","",N(IFERROR(INDEX(Steps!$E$5:$E$62,MATCH(C731,Steps!$A$5:$A$62,0)),"")))</f>
        <v/>
      </c>
      <c r="L731" s="11">
        <f>IF(AND(C731&lt;&gt;"",E731&lt;&gt;"",I731&lt;&gt;"",OR(Settings!$B$10="No",I731&lt;&gt;E731)),K731*F731,0)</f>
        <v/>
      </c>
      <c r="M731" s="11">
        <f>IF(AND(AND(C731&lt;&gt;"",E731&lt;&gt;"",I731&lt;&gt;"",OR(Settings!$B$10="No",I731&lt;&gt;E731)),G731="Paid a pro",Settings!$B$9="Yes"),MAX(0,H731-K731*F731),0)</f>
        <v/>
      </c>
      <c r="N731" s="3">
        <f>IF(C731="","",IF(B731="","Enter the boat number",IF(B731&gt;Settings!$B$6,"Boat number above the boat count",IF(SUMIFS($F$5:$F$1004,$B$5:$B$1004,B731,$C$5:$C$1004,C731)&gt;1.0001,"Shares for this step add up to over 100%",IF(I731="","Waiting for sign-off",IF(AND(Settings!$B$10="Yes",I731=E731),"Needs a different member to sign off","OK"))))))</f>
        <v/>
      </c>
    </row>
    <row r="732">
      <c r="A732" s="9" t="n"/>
      <c r="B732" s="6" t="n"/>
      <c r="C732" s="6" t="n"/>
      <c r="D732" s="3">
        <f>IF(C732="","",IFERROR(INDEX(Steps!$C$5:$C$62,MATCH(C732,Steps!$A$5:$A$62,0)),""))</f>
        <v/>
      </c>
      <c r="E732" s="6" t="n"/>
      <c r="F732" s="8" t="n"/>
      <c r="G732" s="6" t="n"/>
      <c r="H732" s="7" t="n"/>
      <c r="I732" s="6" t="n"/>
      <c r="J732" s="9" t="n"/>
      <c r="K732" s="11">
        <f>IF(C732="","",N(IFERROR(INDEX(Steps!$E$5:$E$62,MATCH(C732,Steps!$A$5:$A$62,0)),"")))</f>
        <v/>
      </c>
      <c r="L732" s="11">
        <f>IF(AND(C732&lt;&gt;"",E732&lt;&gt;"",I732&lt;&gt;"",OR(Settings!$B$10="No",I732&lt;&gt;E732)),K732*F732,0)</f>
        <v/>
      </c>
      <c r="M732" s="11">
        <f>IF(AND(AND(C732&lt;&gt;"",E732&lt;&gt;"",I732&lt;&gt;"",OR(Settings!$B$10="No",I732&lt;&gt;E732)),G732="Paid a pro",Settings!$B$9="Yes"),MAX(0,H732-K732*F732),0)</f>
        <v/>
      </c>
      <c r="N732" s="3">
        <f>IF(C732="","",IF(B732="","Enter the boat number",IF(B732&gt;Settings!$B$6,"Boat number above the boat count",IF(SUMIFS($F$5:$F$1004,$B$5:$B$1004,B732,$C$5:$C$1004,C732)&gt;1.0001,"Shares for this step add up to over 100%",IF(I732="","Waiting for sign-off",IF(AND(Settings!$B$10="Yes",I732=E732),"Needs a different member to sign off","OK"))))))</f>
        <v/>
      </c>
    </row>
    <row r="733">
      <c r="A733" s="9" t="n"/>
      <c r="B733" s="6" t="n"/>
      <c r="C733" s="6" t="n"/>
      <c r="D733" s="3">
        <f>IF(C733="","",IFERROR(INDEX(Steps!$C$5:$C$62,MATCH(C733,Steps!$A$5:$A$62,0)),""))</f>
        <v/>
      </c>
      <c r="E733" s="6" t="n"/>
      <c r="F733" s="8" t="n"/>
      <c r="G733" s="6" t="n"/>
      <c r="H733" s="7" t="n"/>
      <c r="I733" s="6" t="n"/>
      <c r="J733" s="9" t="n"/>
      <c r="K733" s="11">
        <f>IF(C733="","",N(IFERROR(INDEX(Steps!$E$5:$E$62,MATCH(C733,Steps!$A$5:$A$62,0)),"")))</f>
        <v/>
      </c>
      <c r="L733" s="11">
        <f>IF(AND(C733&lt;&gt;"",E733&lt;&gt;"",I733&lt;&gt;"",OR(Settings!$B$10="No",I733&lt;&gt;E733)),K733*F733,0)</f>
        <v/>
      </c>
      <c r="M733" s="11">
        <f>IF(AND(AND(C733&lt;&gt;"",E733&lt;&gt;"",I733&lt;&gt;"",OR(Settings!$B$10="No",I733&lt;&gt;E733)),G733="Paid a pro",Settings!$B$9="Yes"),MAX(0,H733-K733*F733),0)</f>
        <v/>
      </c>
      <c r="N733" s="3">
        <f>IF(C733="","",IF(B733="","Enter the boat number",IF(B733&gt;Settings!$B$6,"Boat number above the boat count",IF(SUMIFS($F$5:$F$1004,$B$5:$B$1004,B733,$C$5:$C$1004,C733)&gt;1.0001,"Shares for this step add up to over 100%",IF(I733="","Waiting for sign-off",IF(AND(Settings!$B$10="Yes",I733=E733),"Needs a different member to sign off","OK"))))))</f>
        <v/>
      </c>
    </row>
    <row r="734">
      <c r="A734" s="9" t="n"/>
      <c r="B734" s="6" t="n"/>
      <c r="C734" s="6" t="n"/>
      <c r="D734" s="3">
        <f>IF(C734="","",IFERROR(INDEX(Steps!$C$5:$C$62,MATCH(C734,Steps!$A$5:$A$62,0)),""))</f>
        <v/>
      </c>
      <c r="E734" s="6" t="n"/>
      <c r="F734" s="8" t="n"/>
      <c r="G734" s="6" t="n"/>
      <c r="H734" s="7" t="n"/>
      <c r="I734" s="6" t="n"/>
      <c r="J734" s="9" t="n"/>
      <c r="K734" s="11">
        <f>IF(C734="","",N(IFERROR(INDEX(Steps!$E$5:$E$62,MATCH(C734,Steps!$A$5:$A$62,0)),"")))</f>
        <v/>
      </c>
      <c r="L734" s="11">
        <f>IF(AND(C734&lt;&gt;"",E734&lt;&gt;"",I734&lt;&gt;"",OR(Settings!$B$10="No",I734&lt;&gt;E734)),K734*F734,0)</f>
        <v/>
      </c>
      <c r="M734" s="11">
        <f>IF(AND(AND(C734&lt;&gt;"",E734&lt;&gt;"",I734&lt;&gt;"",OR(Settings!$B$10="No",I734&lt;&gt;E734)),G734="Paid a pro",Settings!$B$9="Yes"),MAX(0,H734-K734*F734),0)</f>
        <v/>
      </c>
      <c r="N734" s="3">
        <f>IF(C734="","",IF(B734="","Enter the boat number",IF(B734&gt;Settings!$B$6,"Boat number above the boat count",IF(SUMIFS($F$5:$F$1004,$B$5:$B$1004,B734,$C$5:$C$1004,C734)&gt;1.0001,"Shares for this step add up to over 100%",IF(I734="","Waiting for sign-off",IF(AND(Settings!$B$10="Yes",I734=E734),"Needs a different member to sign off","OK"))))))</f>
        <v/>
      </c>
    </row>
    <row r="735">
      <c r="A735" s="9" t="n"/>
      <c r="B735" s="6" t="n"/>
      <c r="C735" s="6" t="n"/>
      <c r="D735" s="3">
        <f>IF(C735="","",IFERROR(INDEX(Steps!$C$5:$C$62,MATCH(C735,Steps!$A$5:$A$62,0)),""))</f>
        <v/>
      </c>
      <c r="E735" s="6" t="n"/>
      <c r="F735" s="8" t="n"/>
      <c r="G735" s="6" t="n"/>
      <c r="H735" s="7" t="n"/>
      <c r="I735" s="6" t="n"/>
      <c r="J735" s="9" t="n"/>
      <c r="K735" s="11">
        <f>IF(C735="","",N(IFERROR(INDEX(Steps!$E$5:$E$62,MATCH(C735,Steps!$A$5:$A$62,0)),"")))</f>
        <v/>
      </c>
      <c r="L735" s="11">
        <f>IF(AND(C735&lt;&gt;"",E735&lt;&gt;"",I735&lt;&gt;"",OR(Settings!$B$10="No",I735&lt;&gt;E735)),K735*F735,0)</f>
        <v/>
      </c>
      <c r="M735" s="11">
        <f>IF(AND(AND(C735&lt;&gt;"",E735&lt;&gt;"",I735&lt;&gt;"",OR(Settings!$B$10="No",I735&lt;&gt;E735)),G735="Paid a pro",Settings!$B$9="Yes"),MAX(0,H735-K735*F735),0)</f>
        <v/>
      </c>
      <c r="N735" s="3">
        <f>IF(C735="","",IF(B735="","Enter the boat number",IF(B735&gt;Settings!$B$6,"Boat number above the boat count",IF(SUMIFS($F$5:$F$1004,$B$5:$B$1004,B735,$C$5:$C$1004,C735)&gt;1.0001,"Shares for this step add up to over 100%",IF(I735="","Waiting for sign-off",IF(AND(Settings!$B$10="Yes",I735=E735),"Needs a different member to sign off","OK"))))))</f>
        <v/>
      </c>
    </row>
    <row r="736">
      <c r="A736" s="9" t="n"/>
      <c r="B736" s="6" t="n"/>
      <c r="C736" s="6" t="n"/>
      <c r="D736" s="3">
        <f>IF(C736="","",IFERROR(INDEX(Steps!$C$5:$C$62,MATCH(C736,Steps!$A$5:$A$62,0)),""))</f>
        <v/>
      </c>
      <c r="E736" s="6" t="n"/>
      <c r="F736" s="8" t="n"/>
      <c r="G736" s="6" t="n"/>
      <c r="H736" s="7" t="n"/>
      <c r="I736" s="6" t="n"/>
      <c r="J736" s="9" t="n"/>
      <c r="K736" s="11">
        <f>IF(C736="","",N(IFERROR(INDEX(Steps!$E$5:$E$62,MATCH(C736,Steps!$A$5:$A$62,0)),"")))</f>
        <v/>
      </c>
      <c r="L736" s="11">
        <f>IF(AND(C736&lt;&gt;"",E736&lt;&gt;"",I736&lt;&gt;"",OR(Settings!$B$10="No",I736&lt;&gt;E736)),K736*F736,0)</f>
        <v/>
      </c>
      <c r="M736" s="11">
        <f>IF(AND(AND(C736&lt;&gt;"",E736&lt;&gt;"",I736&lt;&gt;"",OR(Settings!$B$10="No",I736&lt;&gt;E736)),G736="Paid a pro",Settings!$B$9="Yes"),MAX(0,H736-K736*F736),0)</f>
        <v/>
      </c>
      <c r="N736" s="3">
        <f>IF(C736="","",IF(B736="","Enter the boat number",IF(B736&gt;Settings!$B$6,"Boat number above the boat count",IF(SUMIFS($F$5:$F$1004,$B$5:$B$1004,B736,$C$5:$C$1004,C736)&gt;1.0001,"Shares for this step add up to over 100%",IF(I736="","Waiting for sign-off",IF(AND(Settings!$B$10="Yes",I736=E736),"Needs a different member to sign off","OK"))))))</f>
        <v/>
      </c>
    </row>
    <row r="737">
      <c r="A737" s="9" t="n"/>
      <c r="B737" s="6" t="n"/>
      <c r="C737" s="6" t="n"/>
      <c r="D737" s="3">
        <f>IF(C737="","",IFERROR(INDEX(Steps!$C$5:$C$62,MATCH(C737,Steps!$A$5:$A$62,0)),""))</f>
        <v/>
      </c>
      <c r="E737" s="6" t="n"/>
      <c r="F737" s="8" t="n"/>
      <c r="G737" s="6" t="n"/>
      <c r="H737" s="7" t="n"/>
      <c r="I737" s="6" t="n"/>
      <c r="J737" s="9" t="n"/>
      <c r="K737" s="11">
        <f>IF(C737="","",N(IFERROR(INDEX(Steps!$E$5:$E$62,MATCH(C737,Steps!$A$5:$A$62,0)),"")))</f>
        <v/>
      </c>
      <c r="L737" s="11">
        <f>IF(AND(C737&lt;&gt;"",E737&lt;&gt;"",I737&lt;&gt;"",OR(Settings!$B$10="No",I737&lt;&gt;E737)),K737*F737,0)</f>
        <v/>
      </c>
      <c r="M737" s="11">
        <f>IF(AND(AND(C737&lt;&gt;"",E737&lt;&gt;"",I737&lt;&gt;"",OR(Settings!$B$10="No",I737&lt;&gt;E737)),G737="Paid a pro",Settings!$B$9="Yes"),MAX(0,H737-K737*F737),0)</f>
        <v/>
      </c>
      <c r="N737" s="3">
        <f>IF(C737="","",IF(B737="","Enter the boat number",IF(B737&gt;Settings!$B$6,"Boat number above the boat count",IF(SUMIFS($F$5:$F$1004,$B$5:$B$1004,B737,$C$5:$C$1004,C737)&gt;1.0001,"Shares for this step add up to over 100%",IF(I737="","Waiting for sign-off",IF(AND(Settings!$B$10="Yes",I737=E737),"Needs a different member to sign off","OK"))))))</f>
        <v/>
      </c>
    </row>
    <row r="738">
      <c r="A738" s="9" t="n"/>
      <c r="B738" s="6" t="n"/>
      <c r="C738" s="6" t="n"/>
      <c r="D738" s="3">
        <f>IF(C738="","",IFERROR(INDEX(Steps!$C$5:$C$62,MATCH(C738,Steps!$A$5:$A$62,0)),""))</f>
        <v/>
      </c>
      <c r="E738" s="6" t="n"/>
      <c r="F738" s="8" t="n"/>
      <c r="G738" s="6" t="n"/>
      <c r="H738" s="7" t="n"/>
      <c r="I738" s="6" t="n"/>
      <c r="J738" s="9" t="n"/>
      <c r="K738" s="11">
        <f>IF(C738="","",N(IFERROR(INDEX(Steps!$E$5:$E$62,MATCH(C738,Steps!$A$5:$A$62,0)),"")))</f>
        <v/>
      </c>
      <c r="L738" s="11">
        <f>IF(AND(C738&lt;&gt;"",E738&lt;&gt;"",I738&lt;&gt;"",OR(Settings!$B$10="No",I738&lt;&gt;E738)),K738*F738,0)</f>
        <v/>
      </c>
      <c r="M738" s="11">
        <f>IF(AND(AND(C738&lt;&gt;"",E738&lt;&gt;"",I738&lt;&gt;"",OR(Settings!$B$10="No",I738&lt;&gt;E738)),G738="Paid a pro",Settings!$B$9="Yes"),MAX(0,H738-K738*F738),0)</f>
        <v/>
      </c>
      <c r="N738" s="3">
        <f>IF(C738="","",IF(B738="","Enter the boat number",IF(B738&gt;Settings!$B$6,"Boat number above the boat count",IF(SUMIFS($F$5:$F$1004,$B$5:$B$1004,B738,$C$5:$C$1004,C738)&gt;1.0001,"Shares for this step add up to over 100%",IF(I738="","Waiting for sign-off",IF(AND(Settings!$B$10="Yes",I738=E738),"Needs a different member to sign off","OK"))))))</f>
        <v/>
      </c>
    </row>
    <row r="739">
      <c r="A739" s="9" t="n"/>
      <c r="B739" s="6" t="n"/>
      <c r="C739" s="6" t="n"/>
      <c r="D739" s="3">
        <f>IF(C739="","",IFERROR(INDEX(Steps!$C$5:$C$62,MATCH(C739,Steps!$A$5:$A$62,0)),""))</f>
        <v/>
      </c>
      <c r="E739" s="6" t="n"/>
      <c r="F739" s="8" t="n"/>
      <c r="G739" s="6" t="n"/>
      <c r="H739" s="7" t="n"/>
      <c r="I739" s="6" t="n"/>
      <c r="J739" s="9" t="n"/>
      <c r="K739" s="11">
        <f>IF(C739="","",N(IFERROR(INDEX(Steps!$E$5:$E$62,MATCH(C739,Steps!$A$5:$A$62,0)),"")))</f>
        <v/>
      </c>
      <c r="L739" s="11">
        <f>IF(AND(C739&lt;&gt;"",E739&lt;&gt;"",I739&lt;&gt;"",OR(Settings!$B$10="No",I739&lt;&gt;E739)),K739*F739,0)</f>
        <v/>
      </c>
      <c r="M739" s="11">
        <f>IF(AND(AND(C739&lt;&gt;"",E739&lt;&gt;"",I739&lt;&gt;"",OR(Settings!$B$10="No",I739&lt;&gt;E739)),G739="Paid a pro",Settings!$B$9="Yes"),MAX(0,H739-K739*F739),0)</f>
        <v/>
      </c>
      <c r="N739" s="3">
        <f>IF(C739="","",IF(B739="","Enter the boat number",IF(B739&gt;Settings!$B$6,"Boat number above the boat count",IF(SUMIFS($F$5:$F$1004,$B$5:$B$1004,B739,$C$5:$C$1004,C739)&gt;1.0001,"Shares for this step add up to over 100%",IF(I739="","Waiting for sign-off",IF(AND(Settings!$B$10="Yes",I739=E739),"Needs a different member to sign off","OK"))))))</f>
        <v/>
      </c>
    </row>
    <row r="740">
      <c r="A740" s="9" t="n"/>
      <c r="B740" s="6" t="n"/>
      <c r="C740" s="6" t="n"/>
      <c r="D740" s="3">
        <f>IF(C740="","",IFERROR(INDEX(Steps!$C$5:$C$62,MATCH(C740,Steps!$A$5:$A$62,0)),""))</f>
        <v/>
      </c>
      <c r="E740" s="6" t="n"/>
      <c r="F740" s="8" t="n"/>
      <c r="G740" s="6" t="n"/>
      <c r="H740" s="7" t="n"/>
      <c r="I740" s="6" t="n"/>
      <c r="J740" s="9" t="n"/>
      <c r="K740" s="11">
        <f>IF(C740="","",N(IFERROR(INDEX(Steps!$E$5:$E$62,MATCH(C740,Steps!$A$5:$A$62,0)),"")))</f>
        <v/>
      </c>
      <c r="L740" s="11">
        <f>IF(AND(C740&lt;&gt;"",E740&lt;&gt;"",I740&lt;&gt;"",OR(Settings!$B$10="No",I740&lt;&gt;E740)),K740*F740,0)</f>
        <v/>
      </c>
      <c r="M740" s="11">
        <f>IF(AND(AND(C740&lt;&gt;"",E740&lt;&gt;"",I740&lt;&gt;"",OR(Settings!$B$10="No",I740&lt;&gt;E740)),G740="Paid a pro",Settings!$B$9="Yes"),MAX(0,H740-K740*F740),0)</f>
        <v/>
      </c>
      <c r="N740" s="3">
        <f>IF(C740="","",IF(B740="","Enter the boat number",IF(B740&gt;Settings!$B$6,"Boat number above the boat count",IF(SUMIFS($F$5:$F$1004,$B$5:$B$1004,B740,$C$5:$C$1004,C740)&gt;1.0001,"Shares for this step add up to over 100%",IF(I740="","Waiting for sign-off",IF(AND(Settings!$B$10="Yes",I740=E740),"Needs a different member to sign off","OK"))))))</f>
        <v/>
      </c>
    </row>
    <row r="741">
      <c r="A741" s="9" t="n"/>
      <c r="B741" s="6" t="n"/>
      <c r="C741" s="6" t="n"/>
      <c r="D741" s="3">
        <f>IF(C741="","",IFERROR(INDEX(Steps!$C$5:$C$62,MATCH(C741,Steps!$A$5:$A$62,0)),""))</f>
        <v/>
      </c>
      <c r="E741" s="6" t="n"/>
      <c r="F741" s="8" t="n"/>
      <c r="G741" s="6" t="n"/>
      <c r="H741" s="7" t="n"/>
      <c r="I741" s="6" t="n"/>
      <c r="J741" s="9" t="n"/>
      <c r="K741" s="11">
        <f>IF(C741="","",N(IFERROR(INDEX(Steps!$E$5:$E$62,MATCH(C741,Steps!$A$5:$A$62,0)),"")))</f>
        <v/>
      </c>
      <c r="L741" s="11">
        <f>IF(AND(C741&lt;&gt;"",E741&lt;&gt;"",I741&lt;&gt;"",OR(Settings!$B$10="No",I741&lt;&gt;E741)),K741*F741,0)</f>
        <v/>
      </c>
      <c r="M741" s="11">
        <f>IF(AND(AND(C741&lt;&gt;"",E741&lt;&gt;"",I741&lt;&gt;"",OR(Settings!$B$10="No",I741&lt;&gt;E741)),G741="Paid a pro",Settings!$B$9="Yes"),MAX(0,H741-K741*F741),0)</f>
        <v/>
      </c>
      <c r="N741" s="3">
        <f>IF(C741="","",IF(B741="","Enter the boat number",IF(B741&gt;Settings!$B$6,"Boat number above the boat count",IF(SUMIFS($F$5:$F$1004,$B$5:$B$1004,B741,$C$5:$C$1004,C741)&gt;1.0001,"Shares for this step add up to over 100%",IF(I741="","Waiting for sign-off",IF(AND(Settings!$B$10="Yes",I741=E741),"Needs a different member to sign off","OK"))))))</f>
        <v/>
      </c>
    </row>
    <row r="742">
      <c r="A742" s="9" t="n"/>
      <c r="B742" s="6" t="n"/>
      <c r="C742" s="6" t="n"/>
      <c r="D742" s="3">
        <f>IF(C742="","",IFERROR(INDEX(Steps!$C$5:$C$62,MATCH(C742,Steps!$A$5:$A$62,0)),""))</f>
        <v/>
      </c>
      <c r="E742" s="6" t="n"/>
      <c r="F742" s="8" t="n"/>
      <c r="G742" s="6" t="n"/>
      <c r="H742" s="7" t="n"/>
      <c r="I742" s="6" t="n"/>
      <c r="J742" s="9" t="n"/>
      <c r="K742" s="11">
        <f>IF(C742="","",N(IFERROR(INDEX(Steps!$E$5:$E$62,MATCH(C742,Steps!$A$5:$A$62,0)),"")))</f>
        <v/>
      </c>
      <c r="L742" s="11">
        <f>IF(AND(C742&lt;&gt;"",E742&lt;&gt;"",I742&lt;&gt;"",OR(Settings!$B$10="No",I742&lt;&gt;E742)),K742*F742,0)</f>
        <v/>
      </c>
      <c r="M742" s="11">
        <f>IF(AND(AND(C742&lt;&gt;"",E742&lt;&gt;"",I742&lt;&gt;"",OR(Settings!$B$10="No",I742&lt;&gt;E742)),G742="Paid a pro",Settings!$B$9="Yes"),MAX(0,H742-K742*F742),0)</f>
        <v/>
      </c>
      <c r="N742" s="3">
        <f>IF(C742="","",IF(B742="","Enter the boat number",IF(B742&gt;Settings!$B$6,"Boat number above the boat count",IF(SUMIFS($F$5:$F$1004,$B$5:$B$1004,B742,$C$5:$C$1004,C742)&gt;1.0001,"Shares for this step add up to over 100%",IF(I742="","Waiting for sign-off",IF(AND(Settings!$B$10="Yes",I742=E742),"Needs a different member to sign off","OK"))))))</f>
        <v/>
      </c>
    </row>
    <row r="743">
      <c r="A743" s="9" t="n"/>
      <c r="B743" s="6" t="n"/>
      <c r="C743" s="6" t="n"/>
      <c r="D743" s="3">
        <f>IF(C743="","",IFERROR(INDEX(Steps!$C$5:$C$62,MATCH(C743,Steps!$A$5:$A$62,0)),""))</f>
        <v/>
      </c>
      <c r="E743" s="6" t="n"/>
      <c r="F743" s="8" t="n"/>
      <c r="G743" s="6" t="n"/>
      <c r="H743" s="7" t="n"/>
      <c r="I743" s="6" t="n"/>
      <c r="J743" s="9" t="n"/>
      <c r="K743" s="11">
        <f>IF(C743="","",N(IFERROR(INDEX(Steps!$E$5:$E$62,MATCH(C743,Steps!$A$5:$A$62,0)),"")))</f>
        <v/>
      </c>
      <c r="L743" s="11">
        <f>IF(AND(C743&lt;&gt;"",E743&lt;&gt;"",I743&lt;&gt;"",OR(Settings!$B$10="No",I743&lt;&gt;E743)),K743*F743,0)</f>
        <v/>
      </c>
      <c r="M743" s="11">
        <f>IF(AND(AND(C743&lt;&gt;"",E743&lt;&gt;"",I743&lt;&gt;"",OR(Settings!$B$10="No",I743&lt;&gt;E743)),G743="Paid a pro",Settings!$B$9="Yes"),MAX(0,H743-K743*F743),0)</f>
        <v/>
      </c>
      <c r="N743" s="3">
        <f>IF(C743="","",IF(B743="","Enter the boat number",IF(B743&gt;Settings!$B$6,"Boat number above the boat count",IF(SUMIFS($F$5:$F$1004,$B$5:$B$1004,B743,$C$5:$C$1004,C743)&gt;1.0001,"Shares for this step add up to over 100%",IF(I743="","Waiting for sign-off",IF(AND(Settings!$B$10="Yes",I743=E743),"Needs a different member to sign off","OK"))))))</f>
        <v/>
      </c>
    </row>
    <row r="744">
      <c r="A744" s="9" t="n"/>
      <c r="B744" s="6" t="n"/>
      <c r="C744" s="6" t="n"/>
      <c r="D744" s="3">
        <f>IF(C744="","",IFERROR(INDEX(Steps!$C$5:$C$62,MATCH(C744,Steps!$A$5:$A$62,0)),""))</f>
        <v/>
      </c>
      <c r="E744" s="6" t="n"/>
      <c r="F744" s="8" t="n"/>
      <c r="G744" s="6" t="n"/>
      <c r="H744" s="7" t="n"/>
      <c r="I744" s="6" t="n"/>
      <c r="J744" s="9" t="n"/>
      <c r="K744" s="11">
        <f>IF(C744="","",N(IFERROR(INDEX(Steps!$E$5:$E$62,MATCH(C744,Steps!$A$5:$A$62,0)),"")))</f>
        <v/>
      </c>
      <c r="L744" s="11">
        <f>IF(AND(C744&lt;&gt;"",E744&lt;&gt;"",I744&lt;&gt;"",OR(Settings!$B$10="No",I744&lt;&gt;E744)),K744*F744,0)</f>
        <v/>
      </c>
      <c r="M744" s="11">
        <f>IF(AND(AND(C744&lt;&gt;"",E744&lt;&gt;"",I744&lt;&gt;"",OR(Settings!$B$10="No",I744&lt;&gt;E744)),G744="Paid a pro",Settings!$B$9="Yes"),MAX(0,H744-K744*F744),0)</f>
        <v/>
      </c>
      <c r="N744" s="3">
        <f>IF(C744="","",IF(B744="","Enter the boat number",IF(B744&gt;Settings!$B$6,"Boat number above the boat count",IF(SUMIFS($F$5:$F$1004,$B$5:$B$1004,B744,$C$5:$C$1004,C744)&gt;1.0001,"Shares for this step add up to over 100%",IF(I744="","Waiting for sign-off",IF(AND(Settings!$B$10="Yes",I744=E744),"Needs a different member to sign off","OK"))))))</f>
        <v/>
      </c>
    </row>
    <row r="745">
      <c r="A745" s="9" t="n"/>
      <c r="B745" s="6" t="n"/>
      <c r="C745" s="6" t="n"/>
      <c r="D745" s="3">
        <f>IF(C745="","",IFERROR(INDEX(Steps!$C$5:$C$62,MATCH(C745,Steps!$A$5:$A$62,0)),""))</f>
        <v/>
      </c>
      <c r="E745" s="6" t="n"/>
      <c r="F745" s="8" t="n"/>
      <c r="G745" s="6" t="n"/>
      <c r="H745" s="7" t="n"/>
      <c r="I745" s="6" t="n"/>
      <c r="J745" s="9" t="n"/>
      <c r="K745" s="11">
        <f>IF(C745="","",N(IFERROR(INDEX(Steps!$E$5:$E$62,MATCH(C745,Steps!$A$5:$A$62,0)),"")))</f>
        <v/>
      </c>
      <c r="L745" s="11">
        <f>IF(AND(C745&lt;&gt;"",E745&lt;&gt;"",I745&lt;&gt;"",OR(Settings!$B$10="No",I745&lt;&gt;E745)),K745*F745,0)</f>
        <v/>
      </c>
      <c r="M745" s="11">
        <f>IF(AND(AND(C745&lt;&gt;"",E745&lt;&gt;"",I745&lt;&gt;"",OR(Settings!$B$10="No",I745&lt;&gt;E745)),G745="Paid a pro",Settings!$B$9="Yes"),MAX(0,H745-K745*F745),0)</f>
        <v/>
      </c>
      <c r="N745" s="3">
        <f>IF(C745="","",IF(B745="","Enter the boat number",IF(B745&gt;Settings!$B$6,"Boat number above the boat count",IF(SUMIFS($F$5:$F$1004,$B$5:$B$1004,B745,$C$5:$C$1004,C745)&gt;1.0001,"Shares for this step add up to over 100%",IF(I745="","Waiting for sign-off",IF(AND(Settings!$B$10="Yes",I745=E745),"Needs a different member to sign off","OK"))))))</f>
        <v/>
      </c>
    </row>
    <row r="746">
      <c r="A746" s="9" t="n"/>
      <c r="B746" s="6" t="n"/>
      <c r="C746" s="6" t="n"/>
      <c r="D746" s="3">
        <f>IF(C746="","",IFERROR(INDEX(Steps!$C$5:$C$62,MATCH(C746,Steps!$A$5:$A$62,0)),""))</f>
        <v/>
      </c>
      <c r="E746" s="6" t="n"/>
      <c r="F746" s="8" t="n"/>
      <c r="G746" s="6" t="n"/>
      <c r="H746" s="7" t="n"/>
      <c r="I746" s="6" t="n"/>
      <c r="J746" s="9" t="n"/>
      <c r="K746" s="11">
        <f>IF(C746="","",N(IFERROR(INDEX(Steps!$E$5:$E$62,MATCH(C746,Steps!$A$5:$A$62,0)),"")))</f>
        <v/>
      </c>
      <c r="L746" s="11">
        <f>IF(AND(C746&lt;&gt;"",E746&lt;&gt;"",I746&lt;&gt;"",OR(Settings!$B$10="No",I746&lt;&gt;E746)),K746*F746,0)</f>
        <v/>
      </c>
      <c r="M746" s="11">
        <f>IF(AND(AND(C746&lt;&gt;"",E746&lt;&gt;"",I746&lt;&gt;"",OR(Settings!$B$10="No",I746&lt;&gt;E746)),G746="Paid a pro",Settings!$B$9="Yes"),MAX(0,H746-K746*F746),0)</f>
        <v/>
      </c>
      <c r="N746" s="3">
        <f>IF(C746="","",IF(B746="","Enter the boat number",IF(B746&gt;Settings!$B$6,"Boat number above the boat count",IF(SUMIFS($F$5:$F$1004,$B$5:$B$1004,B746,$C$5:$C$1004,C746)&gt;1.0001,"Shares for this step add up to over 100%",IF(I746="","Waiting for sign-off",IF(AND(Settings!$B$10="Yes",I746=E746),"Needs a different member to sign off","OK"))))))</f>
        <v/>
      </c>
    </row>
    <row r="747">
      <c r="A747" s="9" t="n"/>
      <c r="B747" s="6" t="n"/>
      <c r="C747" s="6" t="n"/>
      <c r="D747" s="3">
        <f>IF(C747="","",IFERROR(INDEX(Steps!$C$5:$C$62,MATCH(C747,Steps!$A$5:$A$62,0)),""))</f>
        <v/>
      </c>
      <c r="E747" s="6" t="n"/>
      <c r="F747" s="8" t="n"/>
      <c r="G747" s="6" t="n"/>
      <c r="H747" s="7" t="n"/>
      <c r="I747" s="6" t="n"/>
      <c r="J747" s="9" t="n"/>
      <c r="K747" s="11">
        <f>IF(C747="","",N(IFERROR(INDEX(Steps!$E$5:$E$62,MATCH(C747,Steps!$A$5:$A$62,0)),"")))</f>
        <v/>
      </c>
      <c r="L747" s="11">
        <f>IF(AND(C747&lt;&gt;"",E747&lt;&gt;"",I747&lt;&gt;"",OR(Settings!$B$10="No",I747&lt;&gt;E747)),K747*F747,0)</f>
        <v/>
      </c>
      <c r="M747" s="11">
        <f>IF(AND(AND(C747&lt;&gt;"",E747&lt;&gt;"",I747&lt;&gt;"",OR(Settings!$B$10="No",I747&lt;&gt;E747)),G747="Paid a pro",Settings!$B$9="Yes"),MAX(0,H747-K747*F747),0)</f>
        <v/>
      </c>
      <c r="N747" s="3">
        <f>IF(C747="","",IF(B747="","Enter the boat number",IF(B747&gt;Settings!$B$6,"Boat number above the boat count",IF(SUMIFS($F$5:$F$1004,$B$5:$B$1004,B747,$C$5:$C$1004,C747)&gt;1.0001,"Shares for this step add up to over 100%",IF(I747="","Waiting for sign-off",IF(AND(Settings!$B$10="Yes",I747=E747),"Needs a different member to sign off","OK"))))))</f>
        <v/>
      </c>
    </row>
    <row r="748">
      <c r="A748" s="9" t="n"/>
      <c r="B748" s="6" t="n"/>
      <c r="C748" s="6" t="n"/>
      <c r="D748" s="3">
        <f>IF(C748="","",IFERROR(INDEX(Steps!$C$5:$C$62,MATCH(C748,Steps!$A$5:$A$62,0)),""))</f>
        <v/>
      </c>
      <c r="E748" s="6" t="n"/>
      <c r="F748" s="8" t="n"/>
      <c r="G748" s="6" t="n"/>
      <c r="H748" s="7" t="n"/>
      <c r="I748" s="6" t="n"/>
      <c r="J748" s="9" t="n"/>
      <c r="K748" s="11">
        <f>IF(C748="","",N(IFERROR(INDEX(Steps!$E$5:$E$62,MATCH(C748,Steps!$A$5:$A$62,0)),"")))</f>
        <v/>
      </c>
      <c r="L748" s="11">
        <f>IF(AND(C748&lt;&gt;"",E748&lt;&gt;"",I748&lt;&gt;"",OR(Settings!$B$10="No",I748&lt;&gt;E748)),K748*F748,0)</f>
        <v/>
      </c>
      <c r="M748" s="11">
        <f>IF(AND(AND(C748&lt;&gt;"",E748&lt;&gt;"",I748&lt;&gt;"",OR(Settings!$B$10="No",I748&lt;&gt;E748)),G748="Paid a pro",Settings!$B$9="Yes"),MAX(0,H748-K748*F748),0)</f>
        <v/>
      </c>
      <c r="N748" s="3">
        <f>IF(C748="","",IF(B748="","Enter the boat number",IF(B748&gt;Settings!$B$6,"Boat number above the boat count",IF(SUMIFS($F$5:$F$1004,$B$5:$B$1004,B748,$C$5:$C$1004,C748)&gt;1.0001,"Shares for this step add up to over 100%",IF(I748="","Waiting for sign-off",IF(AND(Settings!$B$10="Yes",I748=E748),"Needs a different member to sign off","OK"))))))</f>
        <v/>
      </c>
    </row>
    <row r="749">
      <c r="A749" s="9" t="n"/>
      <c r="B749" s="6" t="n"/>
      <c r="C749" s="6" t="n"/>
      <c r="D749" s="3">
        <f>IF(C749="","",IFERROR(INDEX(Steps!$C$5:$C$62,MATCH(C749,Steps!$A$5:$A$62,0)),""))</f>
        <v/>
      </c>
      <c r="E749" s="6" t="n"/>
      <c r="F749" s="8" t="n"/>
      <c r="G749" s="6" t="n"/>
      <c r="H749" s="7" t="n"/>
      <c r="I749" s="6" t="n"/>
      <c r="J749" s="9" t="n"/>
      <c r="K749" s="11">
        <f>IF(C749="","",N(IFERROR(INDEX(Steps!$E$5:$E$62,MATCH(C749,Steps!$A$5:$A$62,0)),"")))</f>
        <v/>
      </c>
      <c r="L749" s="11">
        <f>IF(AND(C749&lt;&gt;"",E749&lt;&gt;"",I749&lt;&gt;"",OR(Settings!$B$10="No",I749&lt;&gt;E749)),K749*F749,0)</f>
        <v/>
      </c>
      <c r="M749" s="11">
        <f>IF(AND(AND(C749&lt;&gt;"",E749&lt;&gt;"",I749&lt;&gt;"",OR(Settings!$B$10="No",I749&lt;&gt;E749)),G749="Paid a pro",Settings!$B$9="Yes"),MAX(0,H749-K749*F749),0)</f>
        <v/>
      </c>
      <c r="N749" s="3">
        <f>IF(C749="","",IF(B749="","Enter the boat number",IF(B749&gt;Settings!$B$6,"Boat number above the boat count",IF(SUMIFS($F$5:$F$1004,$B$5:$B$1004,B749,$C$5:$C$1004,C749)&gt;1.0001,"Shares for this step add up to over 100%",IF(I749="","Waiting for sign-off",IF(AND(Settings!$B$10="Yes",I749=E749),"Needs a different member to sign off","OK"))))))</f>
        <v/>
      </c>
    </row>
    <row r="750">
      <c r="A750" s="9" t="n"/>
      <c r="B750" s="6" t="n"/>
      <c r="C750" s="6" t="n"/>
      <c r="D750" s="3">
        <f>IF(C750="","",IFERROR(INDEX(Steps!$C$5:$C$62,MATCH(C750,Steps!$A$5:$A$62,0)),""))</f>
        <v/>
      </c>
      <c r="E750" s="6" t="n"/>
      <c r="F750" s="8" t="n"/>
      <c r="G750" s="6" t="n"/>
      <c r="H750" s="7" t="n"/>
      <c r="I750" s="6" t="n"/>
      <c r="J750" s="9" t="n"/>
      <c r="K750" s="11">
        <f>IF(C750="","",N(IFERROR(INDEX(Steps!$E$5:$E$62,MATCH(C750,Steps!$A$5:$A$62,0)),"")))</f>
        <v/>
      </c>
      <c r="L750" s="11">
        <f>IF(AND(C750&lt;&gt;"",E750&lt;&gt;"",I750&lt;&gt;"",OR(Settings!$B$10="No",I750&lt;&gt;E750)),K750*F750,0)</f>
        <v/>
      </c>
      <c r="M750" s="11">
        <f>IF(AND(AND(C750&lt;&gt;"",E750&lt;&gt;"",I750&lt;&gt;"",OR(Settings!$B$10="No",I750&lt;&gt;E750)),G750="Paid a pro",Settings!$B$9="Yes"),MAX(0,H750-K750*F750),0)</f>
        <v/>
      </c>
      <c r="N750" s="3">
        <f>IF(C750="","",IF(B750="","Enter the boat number",IF(B750&gt;Settings!$B$6,"Boat number above the boat count",IF(SUMIFS($F$5:$F$1004,$B$5:$B$1004,B750,$C$5:$C$1004,C750)&gt;1.0001,"Shares for this step add up to over 100%",IF(I750="","Waiting for sign-off",IF(AND(Settings!$B$10="Yes",I750=E750),"Needs a different member to sign off","OK"))))))</f>
        <v/>
      </c>
    </row>
    <row r="751">
      <c r="A751" s="9" t="n"/>
      <c r="B751" s="6" t="n"/>
      <c r="C751" s="6" t="n"/>
      <c r="D751" s="3">
        <f>IF(C751="","",IFERROR(INDEX(Steps!$C$5:$C$62,MATCH(C751,Steps!$A$5:$A$62,0)),""))</f>
        <v/>
      </c>
      <c r="E751" s="6" t="n"/>
      <c r="F751" s="8" t="n"/>
      <c r="G751" s="6" t="n"/>
      <c r="H751" s="7" t="n"/>
      <c r="I751" s="6" t="n"/>
      <c r="J751" s="9" t="n"/>
      <c r="K751" s="11">
        <f>IF(C751="","",N(IFERROR(INDEX(Steps!$E$5:$E$62,MATCH(C751,Steps!$A$5:$A$62,0)),"")))</f>
        <v/>
      </c>
      <c r="L751" s="11">
        <f>IF(AND(C751&lt;&gt;"",E751&lt;&gt;"",I751&lt;&gt;"",OR(Settings!$B$10="No",I751&lt;&gt;E751)),K751*F751,0)</f>
        <v/>
      </c>
      <c r="M751" s="11">
        <f>IF(AND(AND(C751&lt;&gt;"",E751&lt;&gt;"",I751&lt;&gt;"",OR(Settings!$B$10="No",I751&lt;&gt;E751)),G751="Paid a pro",Settings!$B$9="Yes"),MAX(0,H751-K751*F751),0)</f>
        <v/>
      </c>
      <c r="N751" s="3">
        <f>IF(C751="","",IF(B751="","Enter the boat number",IF(B751&gt;Settings!$B$6,"Boat number above the boat count",IF(SUMIFS($F$5:$F$1004,$B$5:$B$1004,B751,$C$5:$C$1004,C751)&gt;1.0001,"Shares for this step add up to over 100%",IF(I751="","Waiting for sign-off",IF(AND(Settings!$B$10="Yes",I751=E751),"Needs a different member to sign off","OK"))))))</f>
        <v/>
      </c>
    </row>
    <row r="752">
      <c r="A752" s="9" t="n"/>
      <c r="B752" s="6" t="n"/>
      <c r="C752" s="6" t="n"/>
      <c r="D752" s="3">
        <f>IF(C752="","",IFERROR(INDEX(Steps!$C$5:$C$62,MATCH(C752,Steps!$A$5:$A$62,0)),""))</f>
        <v/>
      </c>
      <c r="E752" s="6" t="n"/>
      <c r="F752" s="8" t="n"/>
      <c r="G752" s="6" t="n"/>
      <c r="H752" s="7" t="n"/>
      <c r="I752" s="6" t="n"/>
      <c r="J752" s="9" t="n"/>
      <c r="K752" s="11">
        <f>IF(C752="","",N(IFERROR(INDEX(Steps!$E$5:$E$62,MATCH(C752,Steps!$A$5:$A$62,0)),"")))</f>
        <v/>
      </c>
      <c r="L752" s="11">
        <f>IF(AND(C752&lt;&gt;"",E752&lt;&gt;"",I752&lt;&gt;"",OR(Settings!$B$10="No",I752&lt;&gt;E752)),K752*F752,0)</f>
        <v/>
      </c>
      <c r="M752" s="11">
        <f>IF(AND(AND(C752&lt;&gt;"",E752&lt;&gt;"",I752&lt;&gt;"",OR(Settings!$B$10="No",I752&lt;&gt;E752)),G752="Paid a pro",Settings!$B$9="Yes"),MAX(0,H752-K752*F752),0)</f>
        <v/>
      </c>
      <c r="N752" s="3">
        <f>IF(C752="","",IF(B752="","Enter the boat number",IF(B752&gt;Settings!$B$6,"Boat number above the boat count",IF(SUMIFS($F$5:$F$1004,$B$5:$B$1004,B752,$C$5:$C$1004,C752)&gt;1.0001,"Shares for this step add up to over 100%",IF(I752="","Waiting for sign-off",IF(AND(Settings!$B$10="Yes",I752=E752),"Needs a different member to sign off","OK"))))))</f>
        <v/>
      </c>
    </row>
    <row r="753">
      <c r="A753" s="9" t="n"/>
      <c r="B753" s="6" t="n"/>
      <c r="C753" s="6" t="n"/>
      <c r="D753" s="3">
        <f>IF(C753="","",IFERROR(INDEX(Steps!$C$5:$C$62,MATCH(C753,Steps!$A$5:$A$62,0)),""))</f>
        <v/>
      </c>
      <c r="E753" s="6" t="n"/>
      <c r="F753" s="8" t="n"/>
      <c r="G753" s="6" t="n"/>
      <c r="H753" s="7" t="n"/>
      <c r="I753" s="6" t="n"/>
      <c r="J753" s="9" t="n"/>
      <c r="K753" s="11">
        <f>IF(C753="","",N(IFERROR(INDEX(Steps!$E$5:$E$62,MATCH(C753,Steps!$A$5:$A$62,0)),"")))</f>
        <v/>
      </c>
      <c r="L753" s="11">
        <f>IF(AND(C753&lt;&gt;"",E753&lt;&gt;"",I753&lt;&gt;"",OR(Settings!$B$10="No",I753&lt;&gt;E753)),K753*F753,0)</f>
        <v/>
      </c>
      <c r="M753" s="11">
        <f>IF(AND(AND(C753&lt;&gt;"",E753&lt;&gt;"",I753&lt;&gt;"",OR(Settings!$B$10="No",I753&lt;&gt;E753)),G753="Paid a pro",Settings!$B$9="Yes"),MAX(0,H753-K753*F753),0)</f>
        <v/>
      </c>
      <c r="N753" s="3">
        <f>IF(C753="","",IF(B753="","Enter the boat number",IF(B753&gt;Settings!$B$6,"Boat number above the boat count",IF(SUMIFS($F$5:$F$1004,$B$5:$B$1004,B753,$C$5:$C$1004,C753)&gt;1.0001,"Shares for this step add up to over 100%",IF(I753="","Waiting for sign-off",IF(AND(Settings!$B$10="Yes",I753=E753),"Needs a different member to sign off","OK"))))))</f>
        <v/>
      </c>
    </row>
    <row r="754">
      <c r="A754" s="9" t="n"/>
      <c r="B754" s="6" t="n"/>
      <c r="C754" s="6" t="n"/>
      <c r="D754" s="3">
        <f>IF(C754="","",IFERROR(INDEX(Steps!$C$5:$C$62,MATCH(C754,Steps!$A$5:$A$62,0)),""))</f>
        <v/>
      </c>
      <c r="E754" s="6" t="n"/>
      <c r="F754" s="8" t="n"/>
      <c r="G754" s="6" t="n"/>
      <c r="H754" s="7" t="n"/>
      <c r="I754" s="6" t="n"/>
      <c r="J754" s="9" t="n"/>
      <c r="K754" s="11">
        <f>IF(C754="","",N(IFERROR(INDEX(Steps!$E$5:$E$62,MATCH(C754,Steps!$A$5:$A$62,0)),"")))</f>
        <v/>
      </c>
      <c r="L754" s="11">
        <f>IF(AND(C754&lt;&gt;"",E754&lt;&gt;"",I754&lt;&gt;"",OR(Settings!$B$10="No",I754&lt;&gt;E754)),K754*F754,0)</f>
        <v/>
      </c>
      <c r="M754" s="11">
        <f>IF(AND(AND(C754&lt;&gt;"",E754&lt;&gt;"",I754&lt;&gt;"",OR(Settings!$B$10="No",I754&lt;&gt;E754)),G754="Paid a pro",Settings!$B$9="Yes"),MAX(0,H754-K754*F754),0)</f>
        <v/>
      </c>
      <c r="N754" s="3">
        <f>IF(C754="","",IF(B754="","Enter the boat number",IF(B754&gt;Settings!$B$6,"Boat number above the boat count",IF(SUMIFS($F$5:$F$1004,$B$5:$B$1004,B754,$C$5:$C$1004,C754)&gt;1.0001,"Shares for this step add up to over 100%",IF(I754="","Waiting for sign-off",IF(AND(Settings!$B$10="Yes",I754=E754),"Needs a different member to sign off","OK"))))))</f>
        <v/>
      </c>
    </row>
    <row r="755">
      <c r="A755" s="9" t="n"/>
      <c r="B755" s="6" t="n"/>
      <c r="C755" s="6" t="n"/>
      <c r="D755" s="3">
        <f>IF(C755="","",IFERROR(INDEX(Steps!$C$5:$C$62,MATCH(C755,Steps!$A$5:$A$62,0)),""))</f>
        <v/>
      </c>
      <c r="E755" s="6" t="n"/>
      <c r="F755" s="8" t="n"/>
      <c r="G755" s="6" t="n"/>
      <c r="H755" s="7" t="n"/>
      <c r="I755" s="6" t="n"/>
      <c r="J755" s="9" t="n"/>
      <c r="K755" s="11">
        <f>IF(C755="","",N(IFERROR(INDEX(Steps!$E$5:$E$62,MATCH(C755,Steps!$A$5:$A$62,0)),"")))</f>
        <v/>
      </c>
      <c r="L755" s="11">
        <f>IF(AND(C755&lt;&gt;"",E755&lt;&gt;"",I755&lt;&gt;"",OR(Settings!$B$10="No",I755&lt;&gt;E755)),K755*F755,0)</f>
        <v/>
      </c>
      <c r="M755" s="11">
        <f>IF(AND(AND(C755&lt;&gt;"",E755&lt;&gt;"",I755&lt;&gt;"",OR(Settings!$B$10="No",I755&lt;&gt;E755)),G755="Paid a pro",Settings!$B$9="Yes"),MAX(0,H755-K755*F755),0)</f>
        <v/>
      </c>
      <c r="N755" s="3">
        <f>IF(C755="","",IF(B755="","Enter the boat number",IF(B755&gt;Settings!$B$6,"Boat number above the boat count",IF(SUMIFS($F$5:$F$1004,$B$5:$B$1004,B755,$C$5:$C$1004,C755)&gt;1.0001,"Shares for this step add up to over 100%",IF(I755="","Waiting for sign-off",IF(AND(Settings!$B$10="Yes",I755=E755),"Needs a different member to sign off","OK"))))))</f>
        <v/>
      </c>
    </row>
    <row r="756">
      <c r="A756" s="9" t="n"/>
      <c r="B756" s="6" t="n"/>
      <c r="C756" s="6" t="n"/>
      <c r="D756" s="3">
        <f>IF(C756="","",IFERROR(INDEX(Steps!$C$5:$C$62,MATCH(C756,Steps!$A$5:$A$62,0)),""))</f>
        <v/>
      </c>
      <c r="E756" s="6" t="n"/>
      <c r="F756" s="8" t="n"/>
      <c r="G756" s="6" t="n"/>
      <c r="H756" s="7" t="n"/>
      <c r="I756" s="6" t="n"/>
      <c r="J756" s="9" t="n"/>
      <c r="K756" s="11">
        <f>IF(C756="","",N(IFERROR(INDEX(Steps!$E$5:$E$62,MATCH(C756,Steps!$A$5:$A$62,0)),"")))</f>
        <v/>
      </c>
      <c r="L756" s="11">
        <f>IF(AND(C756&lt;&gt;"",E756&lt;&gt;"",I756&lt;&gt;"",OR(Settings!$B$10="No",I756&lt;&gt;E756)),K756*F756,0)</f>
        <v/>
      </c>
      <c r="M756" s="11">
        <f>IF(AND(AND(C756&lt;&gt;"",E756&lt;&gt;"",I756&lt;&gt;"",OR(Settings!$B$10="No",I756&lt;&gt;E756)),G756="Paid a pro",Settings!$B$9="Yes"),MAX(0,H756-K756*F756),0)</f>
        <v/>
      </c>
      <c r="N756" s="3">
        <f>IF(C756="","",IF(B756="","Enter the boat number",IF(B756&gt;Settings!$B$6,"Boat number above the boat count",IF(SUMIFS($F$5:$F$1004,$B$5:$B$1004,B756,$C$5:$C$1004,C756)&gt;1.0001,"Shares for this step add up to over 100%",IF(I756="","Waiting for sign-off",IF(AND(Settings!$B$10="Yes",I756=E756),"Needs a different member to sign off","OK"))))))</f>
        <v/>
      </c>
    </row>
    <row r="757">
      <c r="A757" s="9" t="n"/>
      <c r="B757" s="6" t="n"/>
      <c r="C757" s="6" t="n"/>
      <c r="D757" s="3">
        <f>IF(C757="","",IFERROR(INDEX(Steps!$C$5:$C$62,MATCH(C757,Steps!$A$5:$A$62,0)),""))</f>
        <v/>
      </c>
      <c r="E757" s="6" t="n"/>
      <c r="F757" s="8" t="n"/>
      <c r="G757" s="6" t="n"/>
      <c r="H757" s="7" t="n"/>
      <c r="I757" s="6" t="n"/>
      <c r="J757" s="9" t="n"/>
      <c r="K757" s="11">
        <f>IF(C757="","",N(IFERROR(INDEX(Steps!$E$5:$E$62,MATCH(C757,Steps!$A$5:$A$62,0)),"")))</f>
        <v/>
      </c>
      <c r="L757" s="11">
        <f>IF(AND(C757&lt;&gt;"",E757&lt;&gt;"",I757&lt;&gt;"",OR(Settings!$B$10="No",I757&lt;&gt;E757)),K757*F757,0)</f>
        <v/>
      </c>
      <c r="M757" s="11">
        <f>IF(AND(AND(C757&lt;&gt;"",E757&lt;&gt;"",I757&lt;&gt;"",OR(Settings!$B$10="No",I757&lt;&gt;E757)),G757="Paid a pro",Settings!$B$9="Yes"),MAX(0,H757-K757*F757),0)</f>
        <v/>
      </c>
      <c r="N757" s="3">
        <f>IF(C757="","",IF(B757="","Enter the boat number",IF(B757&gt;Settings!$B$6,"Boat number above the boat count",IF(SUMIFS($F$5:$F$1004,$B$5:$B$1004,B757,$C$5:$C$1004,C757)&gt;1.0001,"Shares for this step add up to over 100%",IF(I757="","Waiting for sign-off",IF(AND(Settings!$B$10="Yes",I757=E757),"Needs a different member to sign off","OK"))))))</f>
        <v/>
      </c>
    </row>
    <row r="758">
      <c r="A758" s="9" t="n"/>
      <c r="B758" s="6" t="n"/>
      <c r="C758" s="6" t="n"/>
      <c r="D758" s="3">
        <f>IF(C758="","",IFERROR(INDEX(Steps!$C$5:$C$62,MATCH(C758,Steps!$A$5:$A$62,0)),""))</f>
        <v/>
      </c>
      <c r="E758" s="6" t="n"/>
      <c r="F758" s="8" t="n"/>
      <c r="G758" s="6" t="n"/>
      <c r="H758" s="7" t="n"/>
      <c r="I758" s="6" t="n"/>
      <c r="J758" s="9" t="n"/>
      <c r="K758" s="11">
        <f>IF(C758="","",N(IFERROR(INDEX(Steps!$E$5:$E$62,MATCH(C758,Steps!$A$5:$A$62,0)),"")))</f>
        <v/>
      </c>
      <c r="L758" s="11">
        <f>IF(AND(C758&lt;&gt;"",E758&lt;&gt;"",I758&lt;&gt;"",OR(Settings!$B$10="No",I758&lt;&gt;E758)),K758*F758,0)</f>
        <v/>
      </c>
      <c r="M758" s="11">
        <f>IF(AND(AND(C758&lt;&gt;"",E758&lt;&gt;"",I758&lt;&gt;"",OR(Settings!$B$10="No",I758&lt;&gt;E758)),G758="Paid a pro",Settings!$B$9="Yes"),MAX(0,H758-K758*F758),0)</f>
        <v/>
      </c>
      <c r="N758" s="3">
        <f>IF(C758="","",IF(B758="","Enter the boat number",IF(B758&gt;Settings!$B$6,"Boat number above the boat count",IF(SUMIFS($F$5:$F$1004,$B$5:$B$1004,B758,$C$5:$C$1004,C758)&gt;1.0001,"Shares for this step add up to over 100%",IF(I758="","Waiting for sign-off",IF(AND(Settings!$B$10="Yes",I758=E758),"Needs a different member to sign off","OK"))))))</f>
        <v/>
      </c>
    </row>
    <row r="759">
      <c r="A759" s="9" t="n"/>
      <c r="B759" s="6" t="n"/>
      <c r="C759" s="6" t="n"/>
      <c r="D759" s="3">
        <f>IF(C759="","",IFERROR(INDEX(Steps!$C$5:$C$62,MATCH(C759,Steps!$A$5:$A$62,0)),""))</f>
        <v/>
      </c>
      <c r="E759" s="6" t="n"/>
      <c r="F759" s="8" t="n"/>
      <c r="G759" s="6" t="n"/>
      <c r="H759" s="7" t="n"/>
      <c r="I759" s="6" t="n"/>
      <c r="J759" s="9" t="n"/>
      <c r="K759" s="11">
        <f>IF(C759="","",N(IFERROR(INDEX(Steps!$E$5:$E$62,MATCH(C759,Steps!$A$5:$A$62,0)),"")))</f>
        <v/>
      </c>
      <c r="L759" s="11">
        <f>IF(AND(C759&lt;&gt;"",E759&lt;&gt;"",I759&lt;&gt;"",OR(Settings!$B$10="No",I759&lt;&gt;E759)),K759*F759,0)</f>
        <v/>
      </c>
      <c r="M759" s="11">
        <f>IF(AND(AND(C759&lt;&gt;"",E759&lt;&gt;"",I759&lt;&gt;"",OR(Settings!$B$10="No",I759&lt;&gt;E759)),G759="Paid a pro",Settings!$B$9="Yes"),MAX(0,H759-K759*F759),0)</f>
        <v/>
      </c>
      <c r="N759" s="3">
        <f>IF(C759="","",IF(B759="","Enter the boat number",IF(B759&gt;Settings!$B$6,"Boat number above the boat count",IF(SUMIFS($F$5:$F$1004,$B$5:$B$1004,B759,$C$5:$C$1004,C759)&gt;1.0001,"Shares for this step add up to over 100%",IF(I759="","Waiting for sign-off",IF(AND(Settings!$B$10="Yes",I759=E759),"Needs a different member to sign off","OK"))))))</f>
        <v/>
      </c>
    </row>
    <row r="760">
      <c r="A760" s="9" t="n"/>
      <c r="B760" s="6" t="n"/>
      <c r="C760" s="6" t="n"/>
      <c r="D760" s="3">
        <f>IF(C760="","",IFERROR(INDEX(Steps!$C$5:$C$62,MATCH(C760,Steps!$A$5:$A$62,0)),""))</f>
        <v/>
      </c>
      <c r="E760" s="6" t="n"/>
      <c r="F760" s="8" t="n"/>
      <c r="G760" s="6" t="n"/>
      <c r="H760" s="7" t="n"/>
      <c r="I760" s="6" t="n"/>
      <c r="J760" s="9" t="n"/>
      <c r="K760" s="11">
        <f>IF(C760="","",N(IFERROR(INDEX(Steps!$E$5:$E$62,MATCH(C760,Steps!$A$5:$A$62,0)),"")))</f>
        <v/>
      </c>
      <c r="L760" s="11">
        <f>IF(AND(C760&lt;&gt;"",E760&lt;&gt;"",I760&lt;&gt;"",OR(Settings!$B$10="No",I760&lt;&gt;E760)),K760*F760,0)</f>
        <v/>
      </c>
      <c r="M760" s="11">
        <f>IF(AND(AND(C760&lt;&gt;"",E760&lt;&gt;"",I760&lt;&gt;"",OR(Settings!$B$10="No",I760&lt;&gt;E760)),G760="Paid a pro",Settings!$B$9="Yes"),MAX(0,H760-K760*F760),0)</f>
        <v/>
      </c>
      <c r="N760" s="3">
        <f>IF(C760="","",IF(B760="","Enter the boat number",IF(B760&gt;Settings!$B$6,"Boat number above the boat count",IF(SUMIFS($F$5:$F$1004,$B$5:$B$1004,B760,$C$5:$C$1004,C760)&gt;1.0001,"Shares for this step add up to over 100%",IF(I760="","Waiting for sign-off",IF(AND(Settings!$B$10="Yes",I760=E760),"Needs a different member to sign off","OK"))))))</f>
        <v/>
      </c>
    </row>
    <row r="761">
      <c r="A761" s="9" t="n"/>
      <c r="B761" s="6" t="n"/>
      <c r="C761" s="6" t="n"/>
      <c r="D761" s="3">
        <f>IF(C761="","",IFERROR(INDEX(Steps!$C$5:$C$62,MATCH(C761,Steps!$A$5:$A$62,0)),""))</f>
        <v/>
      </c>
      <c r="E761" s="6" t="n"/>
      <c r="F761" s="8" t="n"/>
      <c r="G761" s="6" t="n"/>
      <c r="H761" s="7" t="n"/>
      <c r="I761" s="6" t="n"/>
      <c r="J761" s="9" t="n"/>
      <c r="K761" s="11">
        <f>IF(C761="","",N(IFERROR(INDEX(Steps!$E$5:$E$62,MATCH(C761,Steps!$A$5:$A$62,0)),"")))</f>
        <v/>
      </c>
      <c r="L761" s="11">
        <f>IF(AND(C761&lt;&gt;"",E761&lt;&gt;"",I761&lt;&gt;"",OR(Settings!$B$10="No",I761&lt;&gt;E761)),K761*F761,0)</f>
        <v/>
      </c>
      <c r="M761" s="11">
        <f>IF(AND(AND(C761&lt;&gt;"",E761&lt;&gt;"",I761&lt;&gt;"",OR(Settings!$B$10="No",I761&lt;&gt;E761)),G761="Paid a pro",Settings!$B$9="Yes"),MAX(0,H761-K761*F761),0)</f>
        <v/>
      </c>
      <c r="N761" s="3">
        <f>IF(C761="","",IF(B761="","Enter the boat number",IF(B761&gt;Settings!$B$6,"Boat number above the boat count",IF(SUMIFS($F$5:$F$1004,$B$5:$B$1004,B761,$C$5:$C$1004,C761)&gt;1.0001,"Shares for this step add up to over 100%",IF(I761="","Waiting for sign-off",IF(AND(Settings!$B$10="Yes",I761=E761),"Needs a different member to sign off","OK"))))))</f>
        <v/>
      </c>
    </row>
    <row r="762">
      <c r="A762" s="9" t="n"/>
      <c r="B762" s="6" t="n"/>
      <c r="C762" s="6" t="n"/>
      <c r="D762" s="3">
        <f>IF(C762="","",IFERROR(INDEX(Steps!$C$5:$C$62,MATCH(C762,Steps!$A$5:$A$62,0)),""))</f>
        <v/>
      </c>
      <c r="E762" s="6" t="n"/>
      <c r="F762" s="8" t="n"/>
      <c r="G762" s="6" t="n"/>
      <c r="H762" s="7" t="n"/>
      <c r="I762" s="6" t="n"/>
      <c r="J762" s="9" t="n"/>
      <c r="K762" s="11">
        <f>IF(C762="","",N(IFERROR(INDEX(Steps!$E$5:$E$62,MATCH(C762,Steps!$A$5:$A$62,0)),"")))</f>
        <v/>
      </c>
      <c r="L762" s="11">
        <f>IF(AND(C762&lt;&gt;"",E762&lt;&gt;"",I762&lt;&gt;"",OR(Settings!$B$10="No",I762&lt;&gt;E762)),K762*F762,0)</f>
        <v/>
      </c>
      <c r="M762" s="11">
        <f>IF(AND(AND(C762&lt;&gt;"",E762&lt;&gt;"",I762&lt;&gt;"",OR(Settings!$B$10="No",I762&lt;&gt;E762)),G762="Paid a pro",Settings!$B$9="Yes"),MAX(0,H762-K762*F762),0)</f>
        <v/>
      </c>
      <c r="N762" s="3">
        <f>IF(C762="","",IF(B762="","Enter the boat number",IF(B762&gt;Settings!$B$6,"Boat number above the boat count",IF(SUMIFS($F$5:$F$1004,$B$5:$B$1004,B762,$C$5:$C$1004,C762)&gt;1.0001,"Shares for this step add up to over 100%",IF(I762="","Waiting for sign-off",IF(AND(Settings!$B$10="Yes",I762=E762),"Needs a different member to sign off","OK"))))))</f>
        <v/>
      </c>
    </row>
    <row r="763">
      <c r="A763" s="9" t="n"/>
      <c r="B763" s="6" t="n"/>
      <c r="C763" s="6" t="n"/>
      <c r="D763" s="3">
        <f>IF(C763="","",IFERROR(INDEX(Steps!$C$5:$C$62,MATCH(C763,Steps!$A$5:$A$62,0)),""))</f>
        <v/>
      </c>
      <c r="E763" s="6" t="n"/>
      <c r="F763" s="8" t="n"/>
      <c r="G763" s="6" t="n"/>
      <c r="H763" s="7" t="n"/>
      <c r="I763" s="6" t="n"/>
      <c r="J763" s="9" t="n"/>
      <c r="K763" s="11">
        <f>IF(C763="","",N(IFERROR(INDEX(Steps!$E$5:$E$62,MATCH(C763,Steps!$A$5:$A$62,0)),"")))</f>
        <v/>
      </c>
      <c r="L763" s="11">
        <f>IF(AND(C763&lt;&gt;"",E763&lt;&gt;"",I763&lt;&gt;"",OR(Settings!$B$10="No",I763&lt;&gt;E763)),K763*F763,0)</f>
        <v/>
      </c>
      <c r="M763" s="11">
        <f>IF(AND(AND(C763&lt;&gt;"",E763&lt;&gt;"",I763&lt;&gt;"",OR(Settings!$B$10="No",I763&lt;&gt;E763)),G763="Paid a pro",Settings!$B$9="Yes"),MAX(0,H763-K763*F763),0)</f>
        <v/>
      </c>
      <c r="N763" s="3">
        <f>IF(C763="","",IF(B763="","Enter the boat number",IF(B763&gt;Settings!$B$6,"Boat number above the boat count",IF(SUMIFS($F$5:$F$1004,$B$5:$B$1004,B763,$C$5:$C$1004,C763)&gt;1.0001,"Shares for this step add up to over 100%",IF(I763="","Waiting for sign-off",IF(AND(Settings!$B$10="Yes",I763=E763),"Needs a different member to sign off","OK"))))))</f>
        <v/>
      </c>
    </row>
    <row r="764">
      <c r="A764" s="9" t="n"/>
      <c r="B764" s="6" t="n"/>
      <c r="C764" s="6" t="n"/>
      <c r="D764" s="3">
        <f>IF(C764="","",IFERROR(INDEX(Steps!$C$5:$C$62,MATCH(C764,Steps!$A$5:$A$62,0)),""))</f>
        <v/>
      </c>
      <c r="E764" s="6" t="n"/>
      <c r="F764" s="8" t="n"/>
      <c r="G764" s="6" t="n"/>
      <c r="H764" s="7" t="n"/>
      <c r="I764" s="6" t="n"/>
      <c r="J764" s="9" t="n"/>
      <c r="K764" s="11">
        <f>IF(C764="","",N(IFERROR(INDEX(Steps!$E$5:$E$62,MATCH(C764,Steps!$A$5:$A$62,0)),"")))</f>
        <v/>
      </c>
      <c r="L764" s="11">
        <f>IF(AND(C764&lt;&gt;"",E764&lt;&gt;"",I764&lt;&gt;"",OR(Settings!$B$10="No",I764&lt;&gt;E764)),K764*F764,0)</f>
        <v/>
      </c>
      <c r="M764" s="11">
        <f>IF(AND(AND(C764&lt;&gt;"",E764&lt;&gt;"",I764&lt;&gt;"",OR(Settings!$B$10="No",I764&lt;&gt;E764)),G764="Paid a pro",Settings!$B$9="Yes"),MAX(0,H764-K764*F764),0)</f>
        <v/>
      </c>
      <c r="N764" s="3">
        <f>IF(C764="","",IF(B764="","Enter the boat number",IF(B764&gt;Settings!$B$6,"Boat number above the boat count",IF(SUMIFS($F$5:$F$1004,$B$5:$B$1004,B764,$C$5:$C$1004,C764)&gt;1.0001,"Shares for this step add up to over 100%",IF(I764="","Waiting for sign-off",IF(AND(Settings!$B$10="Yes",I764=E764),"Needs a different member to sign off","OK"))))))</f>
        <v/>
      </c>
    </row>
    <row r="765">
      <c r="A765" s="9" t="n"/>
      <c r="B765" s="6" t="n"/>
      <c r="C765" s="6" t="n"/>
      <c r="D765" s="3">
        <f>IF(C765="","",IFERROR(INDEX(Steps!$C$5:$C$62,MATCH(C765,Steps!$A$5:$A$62,0)),""))</f>
        <v/>
      </c>
      <c r="E765" s="6" t="n"/>
      <c r="F765" s="8" t="n"/>
      <c r="G765" s="6" t="n"/>
      <c r="H765" s="7" t="n"/>
      <c r="I765" s="6" t="n"/>
      <c r="J765" s="9" t="n"/>
      <c r="K765" s="11">
        <f>IF(C765="","",N(IFERROR(INDEX(Steps!$E$5:$E$62,MATCH(C765,Steps!$A$5:$A$62,0)),"")))</f>
        <v/>
      </c>
      <c r="L765" s="11">
        <f>IF(AND(C765&lt;&gt;"",E765&lt;&gt;"",I765&lt;&gt;"",OR(Settings!$B$10="No",I765&lt;&gt;E765)),K765*F765,0)</f>
        <v/>
      </c>
      <c r="M765" s="11">
        <f>IF(AND(AND(C765&lt;&gt;"",E765&lt;&gt;"",I765&lt;&gt;"",OR(Settings!$B$10="No",I765&lt;&gt;E765)),G765="Paid a pro",Settings!$B$9="Yes"),MAX(0,H765-K765*F765),0)</f>
        <v/>
      </c>
      <c r="N765" s="3">
        <f>IF(C765="","",IF(B765="","Enter the boat number",IF(B765&gt;Settings!$B$6,"Boat number above the boat count",IF(SUMIFS($F$5:$F$1004,$B$5:$B$1004,B765,$C$5:$C$1004,C765)&gt;1.0001,"Shares for this step add up to over 100%",IF(I765="","Waiting for sign-off",IF(AND(Settings!$B$10="Yes",I765=E765),"Needs a different member to sign off","OK"))))))</f>
        <v/>
      </c>
    </row>
    <row r="766">
      <c r="A766" s="9" t="n"/>
      <c r="B766" s="6" t="n"/>
      <c r="C766" s="6" t="n"/>
      <c r="D766" s="3">
        <f>IF(C766="","",IFERROR(INDEX(Steps!$C$5:$C$62,MATCH(C766,Steps!$A$5:$A$62,0)),""))</f>
        <v/>
      </c>
      <c r="E766" s="6" t="n"/>
      <c r="F766" s="8" t="n"/>
      <c r="G766" s="6" t="n"/>
      <c r="H766" s="7" t="n"/>
      <c r="I766" s="6" t="n"/>
      <c r="J766" s="9" t="n"/>
      <c r="K766" s="11">
        <f>IF(C766="","",N(IFERROR(INDEX(Steps!$E$5:$E$62,MATCH(C766,Steps!$A$5:$A$62,0)),"")))</f>
        <v/>
      </c>
      <c r="L766" s="11">
        <f>IF(AND(C766&lt;&gt;"",E766&lt;&gt;"",I766&lt;&gt;"",OR(Settings!$B$10="No",I766&lt;&gt;E766)),K766*F766,0)</f>
        <v/>
      </c>
      <c r="M766" s="11">
        <f>IF(AND(AND(C766&lt;&gt;"",E766&lt;&gt;"",I766&lt;&gt;"",OR(Settings!$B$10="No",I766&lt;&gt;E766)),G766="Paid a pro",Settings!$B$9="Yes"),MAX(0,H766-K766*F766),0)</f>
        <v/>
      </c>
      <c r="N766" s="3">
        <f>IF(C766="","",IF(B766="","Enter the boat number",IF(B766&gt;Settings!$B$6,"Boat number above the boat count",IF(SUMIFS($F$5:$F$1004,$B$5:$B$1004,B766,$C$5:$C$1004,C766)&gt;1.0001,"Shares for this step add up to over 100%",IF(I766="","Waiting for sign-off",IF(AND(Settings!$B$10="Yes",I766=E766),"Needs a different member to sign off","OK"))))))</f>
        <v/>
      </c>
    </row>
    <row r="767">
      <c r="A767" s="9" t="n"/>
      <c r="B767" s="6" t="n"/>
      <c r="C767" s="6" t="n"/>
      <c r="D767" s="3">
        <f>IF(C767="","",IFERROR(INDEX(Steps!$C$5:$C$62,MATCH(C767,Steps!$A$5:$A$62,0)),""))</f>
        <v/>
      </c>
      <c r="E767" s="6" t="n"/>
      <c r="F767" s="8" t="n"/>
      <c r="G767" s="6" t="n"/>
      <c r="H767" s="7" t="n"/>
      <c r="I767" s="6" t="n"/>
      <c r="J767" s="9" t="n"/>
      <c r="K767" s="11">
        <f>IF(C767="","",N(IFERROR(INDEX(Steps!$E$5:$E$62,MATCH(C767,Steps!$A$5:$A$62,0)),"")))</f>
        <v/>
      </c>
      <c r="L767" s="11">
        <f>IF(AND(C767&lt;&gt;"",E767&lt;&gt;"",I767&lt;&gt;"",OR(Settings!$B$10="No",I767&lt;&gt;E767)),K767*F767,0)</f>
        <v/>
      </c>
      <c r="M767" s="11">
        <f>IF(AND(AND(C767&lt;&gt;"",E767&lt;&gt;"",I767&lt;&gt;"",OR(Settings!$B$10="No",I767&lt;&gt;E767)),G767="Paid a pro",Settings!$B$9="Yes"),MAX(0,H767-K767*F767),0)</f>
        <v/>
      </c>
      <c r="N767" s="3">
        <f>IF(C767="","",IF(B767="","Enter the boat number",IF(B767&gt;Settings!$B$6,"Boat number above the boat count",IF(SUMIFS($F$5:$F$1004,$B$5:$B$1004,B767,$C$5:$C$1004,C767)&gt;1.0001,"Shares for this step add up to over 100%",IF(I767="","Waiting for sign-off",IF(AND(Settings!$B$10="Yes",I767=E767),"Needs a different member to sign off","OK"))))))</f>
        <v/>
      </c>
    </row>
    <row r="768">
      <c r="A768" s="9" t="n"/>
      <c r="B768" s="6" t="n"/>
      <c r="C768" s="6" t="n"/>
      <c r="D768" s="3">
        <f>IF(C768="","",IFERROR(INDEX(Steps!$C$5:$C$62,MATCH(C768,Steps!$A$5:$A$62,0)),""))</f>
        <v/>
      </c>
      <c r="E768" s="6" t="n"/>
      <c r="F768" s="8" t="n"/>
      <c r="G768" s="6" t="n"/>
      <c r="H768" s="7" t="n"/>
      <c r="I768" s="6" t="n"/>
      <c r="J768" s="9" t="n"/>
      <c r="K768" s="11">
        <f>IF(C768="","",N(IFERROR(INDEX(Steps!$E$5:$E$62,MATCH(C768,Steps!$A$5:$A$62,0)),"")))</f>
        <v/>
      </c>
      <c r="L768" s="11">
        <f>IF(AND(C768&lt;&gt;"",E768&lt;&gt;"",I768&lt;&gt;"",OR(Settings!$B$10="No",I768&lt;&gt;E768)),K768*F768,0)</f>
        <v/>
      </c>
      <c r="M768" s="11">
        <f>IF(AND(AND(C768&lt;&gt;"",E768&lt;&gt;"",I768&lt;&gt;"",OR(Settings!$B$10="No",I768&lt;&gt;E768)),G768="Paid a pro",Settings!$B$9="Yes"),MAX(0,H768-K768*F768),0)</f>
        <v/>
      </c>
      <c r="N768" s="3">
        <f>IF(C768="","",IF(B768="","Enter the boat number",IF(B768&gt;Settings!$B$6,"Boat number above the boat count",IF(SUMIFS($F$5:$F$1004,$B$5:$B$1004,B768,$C$5:$C$1004,C768)&gt;1.0001,"Shares for this step add up to over 100%",IF(I768="","Waiting for sign-off",IF(AND(Settings!$B$10="Yes",I768=E768),"Needs a different member to sign off","OK"))))))</f>
        <v/>
      </c>
    </row>
    <row r="769">
      <c r="A769" s="9" t="n"/>
      <c r="B769" s="6" t="n"/>
      <c r="C769" s="6" t="n"/>
      <c r="D769" s="3">
        <f>IF(C769="","",IFERROR(INDEX(Steps!$C$5:$C$62,MATCH(C769,Steps!$A$5:$A$62,0)),""))</f>
        <v/>
      </c>
      <c r="E769" s="6" t="n"/>
      <c r="F769" s="8" t="n"/>
      <c r="G769" s="6" t="n"/>
      <c r="H769" s="7" t="n"/>
      <c r="I769" s="6" t="n"/>
      <c r="J769" s="9" t="n"/>
      <c r="K769" s="11">
        <f>IF(C769="","",N(IFERROR(INDEX(Steps!$E$5:$E$62,MATCH(C769,Steps!$A$5:$A$62,0)),"")))</f>
        <v/>
      </c>
      <c r="L769" s="11">
        <f>IF(AND(C769&lt;&gt;"",E769&lt;&gt;"",I769&lt;&gt;"",OR(Settings!$B$10="No",I769&lt;&gt;E769)),K769*F769,0)</f>
        <v/>
      </c>
      <c r="M769" s="11">
        <f>IF(AND(AND(C769&lt;&gt;"",E769&lt;&gt;"",I769&lt;&gt;"",OR(Settings!$B$10="No",I769&lt;&gt;E769)),G769="Paid a pro",Settings!$B$9="Yes"),MAX(0,H769-K769*F769),0)</f>
        <v/>
      </c>
      <c r="N769" s="3">
        <f>IF(C769="","",IF(B769="","Enter the boat number",IF(B769&gt;Settings!$B$6,"Boat number above the boat count",IF(SUMIFS($F$5:$F$1004,$B$5:$B$1004,B769,$C$5:$C$1004,C769)&gt;1.0001,"Shares for this step add up to over 100%",IF(I769="","Waiting for sign-off",IF(AND(Settings!$B$10="Yes",I769=E769),"Needs a different member to sign off","OK"))))))</f>
        <v/>
      </c>
    </row>
    <row r="770">
      <c r="A770" s="9" t="n"/>
      <c r="B770" s="6" t="n"/>
      <c r="C770" s="6" t="n"/>
      <c r="D770" s="3">
        <f>IF(C770="","",IFERROR(INDEX(Steps!$C$5:$C$62,MATCH(C770,Steps!$A$5:$A$62,0)),""))</f>
        <v/>
      </c>
      <c r="E770" s="6" t="n"/>
      <c r="F770" s="8" t="n"/>
      <c r="G770" s="6" t="n"/>
      <c r="H770" s="7" t="n"/>
      <c r="I770" s="6" t="n"/>
      <c r="J770" s="9" t="n"/>
      <c r="K770" s="11">
        <f>IF(C770="","",N(IFERROR(INDEX(Steps!$E$5:$E$62,MATCH(C770,Steps!$A$5:$A$62,0)),"")))</f>
        <v/>
      </c>
      <c r="L770" s="11">
        <f>IF(AND(C770&lt;&gt;"",E770&lt;&gt;"",I770&lt;&gt;"",OR(Settings!$B$10="No",I770&lt;&gt;E770)),K770*F770,0)</f>
        <v/>
      </c>
      <c r="M770" s="11">
        <f>IF(AND(AND(C770&lt;&gt;"",E770&lt;&gt;"",I770&lt;&gt;"",OR(Settings!$B$10="No",I770&lt;&gt;E770)),G770="Paid a pro",Settings!$B$9="Yes"),MAX(0,H770-K770*F770),0)</f>
        <v/>
      </c>
      <c r="N770" s="3">
        <f>IF(C770="","",IF(B770="","Enter the boat number",IF(B770&gt;Settings!$B$6,"Boat number above the boat count",IF(SUMIFS($F$5:$F$1004,$B$5:$B$1004,B770,$C$5:$C$1004,C770)&gt;1.0001,"Shares for this step add up to over 100%",IF(I770="","Waiting for sign-off",IF(AND(Settings!$B$10="Yes",I770=E770),"Needs a different member to sign off","OK"))))))</f>
        <v/>
      </c>
    </row>
    <row r="771">
      <c r="A771" s="9" t="n"/>
      <c r="B771" s="6" t="n"/>
      <c r="C771" s="6" t="n"/>
      <c r="D771" s="3">
        <f>IF(C771="","",IFERROR(INDEX(Steps!$C$5:$C$62,MATCH(C771,Steps!$A$5:$A$62,0)),""))</f>
        <v/>
      </c>
      <c r="E771" s="6" t="n"/>
      <c r="F771" s="8" t="n"/>
      <c r="G771" s="6" t="n"/>
      <c r="H771" s="7" t="n"/>
      <c r="I771" s="6" t="n"/>
      <c r="J771" s="9" t="n"/>
      <c r="K771" s="11">
        <f>IF(C771="","",N(IFERROR(INDEX(Steps!$E$5:$E$62,MATCH(C771,Steps!$A$5:$A$62,0)),"")))</f>
        <v/>
      </c>
      <c r="L771" s="11">
        <f>IF(AND(C771&lt;&gt;"",E771&lt;&gt;"",I771&lt;&gt;"",OR(Settings!$B$10="No",I771&lt;&gt;E771)),K771*F771,0)</f>
        <v/>
      </c>
      <c r="M771" s="11">
        <f>IF(AND(AND(C771&lt;&gt;"",E771&lt;&gt;"",I771&lt;&gt;"",OR(Settings!$B$10="No",I771&lt;&gt;E771)),G771="Paid a pro",Settings!$B$9="Yes"),MAX(0,H771-K771*F771),0)</f>
        <v/>
      </c>
      <c r="N771" s="3">
        <f>IF(C771="","",IF(B771="","Enter the boat number",IF(B771&gt;Settings!$B$6,"Boat number above the boat count",IF(SUMIFS($F$5:$F$1004,$B$5:$B$1004,B771,$C$5:$C$1004,C771)&gt;1.0001,"Shares for this step add up to over 100%",IF(I771="","Waiting for sign-off",IF(AND(Settings!$B$10="Yes",I771=E771),"Needs a different member to sign off","OK"))))))</f>
        <v/>
      </c>
    </row>
    <row r="772">
      <c r="A772" s="9" t="n"/>
      <c r="B772" s="6" t="n"/>
      <c r="C772" s="6" t="n"/>
      <c r="D772" s="3">
        <f>IF(C772="","",IFERROR(INDEX(Steps!$C$5:$C$62,MATCH(C772,Steps!$A$5:$A$62,0)),""))</f>
        <v/>
      </c>
      <c r="E772" s="6" t="n"/>
      <c r="F772" s="8" t="n"/>
      <c r="G772" s="6" t="n"/>
      <c r="H772" s="7" t="n"/>
      <c r="I772" s="6" t="n"/>
      <c r="J772" s="9" t="n"/>
      <c r="K772" s="11">
        <f>IF(C772="","",N(IFERROR(INDEX(Steps!$E$5:$E$62,MATCH(C772,Steps!$A$5:$A$62,0)),"")))</f>
        <v/>
      </c>
      <c r="L772" s="11">
        <f>IF(AND(C772&lt;&gt;"",E772&lt;&gt;"",I772&lt;&gt;"",OR(Settings!$B$10="No",I772&lt;&gt;E772)),K772*F772,0)</f>
        <v/>
      </c>
      <c r="M772" s="11">
        <f>IF(AND(AND(C772&lt;&gt;"",E772&lt;&gt;"",I772&lt;&gt;"",OR(Settings!$B$10="No",I772&lt;&gt;E772)),G772="Paid a pro",Settings!$B$9="Yes"),MAX(0,H772-K772*F772),0)</f>
        <v/>
      </c>
      <c r="N772" s="3">
        <f>IF(C772="","",IF(B772="","Enter the boat number",IF(B772&gt;Settings!$B$6,"Boat number above the boat count",IF(SUMIFS($F$5:$F$1004,$B$5:$B$1004,B772,$C$5:$C$1004,C772)&gt;1.0001,"Shares for this step add up to over 100%",IF(I772="","Waiting for sign-off",IF(AND(Settings!$B$10="Yes",I772=E772),"Needs a different member to sign off","OK"))))))</f>
        <v/>
      </c>
    </row>
    <row r="773">
      <c r="A773" s="9" t="n"/>
      <c r="B773" s="6" t="n"/>
      <c r="C773" s="6" t="n"/>
      <c r="D773" s="3">
        <f>IF(C773="","",IFERROR(INDEX(Steps!$C$5:$C$62,MATCH(C773,Steps!$A$5:$A$62,0)),""))</f>
        <v/>
      </c>
      <c r="E773" s="6" t="n"/>
      <c r="F773" s="8" t="n"/>
      <c r="G773" s="6" t="n"/>
      <c r="H773" s="7" t="n"/>
      <c r="I773" s="6" t="n"/>
      <c r="J773" s="9" t="n"/>
      <c r="K773" s="11">
        <f>IF(C773="","",N(IFERROR(INDEX(Steps!$E$5:$E$62,MATCH(C773,Steps!$A$5:$A$62,0)),"")))</f>
        <v/>
      </c>
      <c r="L773" s="11">
        <f>IF(AND(C773&lt;&gt;"",E773&lt;&gt;"",I773&lt;&gt;"",OR(Settings!$B$10="No",I773&lt;&gt;E773)),K773*F773,0)</f>
        <v/>
      </c>
      <c r="M773" s="11">
        <f>IF(AND(AND(C773&lt;&gt;"",E773&lt;&gt;"",I773&lt;&gt;"",OR(Settings!$B$10="No",I773&lt;&gt;E773)),G773="Paid a pro",Settings!$B$9="Yes"),MAX(0,H773-K773*F773),0)</f>
        <v/>
      </c>
      <c r="N773" s="3">
        <f>IF(C773="","",IF(B773="","Enter the boat number",IF(B773&gt;Settings!$B$6,"Boat number above the boat count",IF(SUMIFS($F$5:$F$1004,$B$5:$B$1004,B773,$C$5:$C$1004,C773)&gt;1.0001,"Shares for this step add up to over 100%",IF(I773="","Waiting for sign-off",IF(AND(Settings!$B$10="Yes",I773=E773),"Needs a different member to sign off","OK"))))))</f>
        <v/>
      </c>
    </row>
    <row r="774">
      <c r="A774" s="9" t="n"/>
      <c r="B774" s="6" t="n"/>
      <c r="C774" s="6" t="n"/>
      <c r="D774" s="3">
        <f>IF(C774="","",IFERROR(INDEX(Steps!$C$5:$C$62,MATCH(C774,Steps!$A$5:$A$62,0)),""))</f>
        <v/>
      </c>
      <c r="E774" s="6" t="n"/>
      <c r="F774" s="8" t="n"/>
      <c r="G774" s="6" t="n"/>
      <c r="H774" s="7" t="n"/>
      <c r="I774" s="6" t="n"/>
      <c r="J774" s="9" t="n"/>
      <c r="K774" s="11">
        <f>IF(C774="","",N(IFERROR(INDEX(Steps!$E$5:$E$62,MATCH(C774,Steps!$A$5:$A$62,0)),"")))</f>
        <v/>
      </c>
      <c r="L774" s="11">
        <f>IF(AND(C774&lt;&gt;"",E774&lt;&gt;"",I774&lt;&gt;"",OR(Settings!$B$10="No",I774&lt;&gt;E774)),K774*F774,0)</f>
        <v/>
      </c>
      <c r="M774" s="11">
        <f>IF(AND(AND(C774&lt;&gt;"",E774&lt;&gt;"",I774&lt;&gt;"",OR(Settings!$B$10="No",I774&lt;&gt;E774)),G774="Paid a pro",Settings!$B$9="Yes"),MAX(0,H774-K774*F774),0)</f>
        <v/>
      </c>
      <c r="N774" s="3">
        <f>IF(C774="","",IF(B774="","Enter the boat number",IF(B774&gt;Settings!$B$6,"Boat number above the boat count",IF(SUMIFS($F$5:$F$1004,$B$5:$B$1004,B774,$C$5:$C$1004,C774)&gt;1.0001,"Shares for this step add up to over 100%",IF(I774="","Waiting for sign-off",IF(AND(Settings!$B$10="Yes",I774=E774),"Needs a different member to sign off","OK"))))))</f>
        <v/>
      </c>
    </row>
    <row r="775">
      <c r="A775" s="9" t="n"/>
      <c r="B775" s="6" t="n"/>
      <c r="C775" s="6" t="n"/>
      <c r="D775" s="3">
        <f>IF(C775="","",IFERROR(INDEX(Steps!$C$5:$C$62,MATCH(C775,Steps!$A$5:$A$62,0)),""))</f>
        <v/>
      </c>
      <c r="E775" s="6" t="n"/>
      <c r="F775" s="8" t="n"/>
      <c r="G775" s="6" t="n"/>
      <c r="H775" s="7" t="n"/>
      <c r="I775" s="6" t="n"/>
      <c r="J775" s="9" t="n"/>
      <c r="K775" s="11">
        <f>IF(C775="","",N(IFERROR(INDEX(Steps!$E$5:$E$62,MATCH(C775,Steps!$A$5:$A$62,0)),"")))</f>
        <v/>
      </c>
      <c r="L775" s="11">
        <f>IF(AND(C775&lt;&gt;"",E775&lt;&gt;"",I775&lt;&gt;"",OR(Settings!$B$10="No",I775&lt;&gt;E775)),K775*F775,0)</f>
        <v/>
      </c>
      <c r="M775" s="11">
        <f>IF(AND(AND(C775&lt;&gt;"",E775&lt;&gt;"",I775&lt;&gt;"",OR(Settings!$B$10="No",I775&lt;&gt;E775)),G775="Paid a pro",Settings!$B$9="Yes"),MAX(0,H775-K775*F775),0)</f>
        <v/>
      </c>
      <c r="N775" s="3">
        <f>IF(C775="","",IF(B775="","Enter the boat number",IF(B775&gt;Settings!$B$6,"Boat number above the boat count",IF(SUMIFS($F$5:$F$1004,$B$5:$B$1004,B775,$C$5:$C$1004,C775)&gt;1.0001,"Shares for this step add up to over 100%",IF(I775="","Waiting for sign-off",IF(AND(Settings!$B$10="Yes",I775=E775),"Needs a different member to sign off","OK"))))))</f>
        <v/>
      </c>
    </row>
    <row r="776">
      <c r="A776" s="9" t="n"/>
      <c r="B776" s="6" t="n"/>
      <c r="C776" s="6" t="n"/>
      <c r="D776" s="3">
        <f>IF(C776="","",IFERROR(INDEX(Steps!$C$5:$C$62,MATCH(C776,Steps!$A$5:$A$62,0)),""))</f>
        <v/>
      </c>
      <c r="E776" s="6" t="n"/>
      <c r="F776" s="8" t="n"/>
      <c r="G776" s="6" t="n"/>
      <c r="H776" s="7" t="n"/>
      <c r="I776" s="6" t="n"/>
      <c r="J776" s="9" t="n"/>
      <c r="K776" s="11">
        <f>IF(C776="","",N(IFERROR(INDEX(Steps!$E$5:$E$62,MATCH(C776,Steps!$A$5:$A$62,0)),"")))</f>
        <v/>
      </c>
      <c r="L776" s="11">
        <f>IF(AND(C776&lt;&gt;"",E776&lt;&gt;"",I776&lt;&gt;"",OR(Settings!$B$10="No",I776&lt;&gt;E776)),K776*F776,0)</f>
        <v/>
      </c>
      <c r="M776" s="11">
        <f>IF(AND(AND(C776&lt;&gt;"",E776&lt;&gt;"",I776&lt;&gt;"",OR(Settings!$B$10="No",I776&lt;&gt;E776)),G776="Paid a pro",Settings!$B$9="Yes"),MAX(0,H776-K776*F776),0)</f>
        <v/>
      </c>
      <c r="N776" s="3">
        <f>IF(C776="","",IF(B776="","Enter the boat number",IF(B776&gt;Settings!$B$6,"Boat number above the boat count",IF(SUMIFS($F$5:$F$1004,$B$5:$B$1004,B776,$C$5:$C$1004,C776)&gt;1.0001,"Shares for this step add up to over 100%",IF(I776="","Waiting for sign-off",IF(AND(Settings!$B$10="Yes",I776=E776),"Needs a different member to sign off","OK"))))))</f>
        <v/>
      </c>
    </row>
    <row r="777">
      <c r="A777" s="9" t="n"/>
      <c r="B777" s="6" t="n"/>
      <c r="C777" s="6" t="n"/>
      <c r="D777" s="3">
        <f>IF(C777="","",IFERROR(INDEX(Steps!$C$5:$C$62,MATCH(C777,Steps!$A$5:$A$62,0)),""))</f>
        <v/>
      </c>
      <c r="E777" s="6" t="n"/>
      <c r="F777" s="8" t="n"/>
      <c r="G777" s="6" t="n"/>
      <c r="H777" s="7" t="n"/>
      <c r="I777" s="6" t="n"/>
      <c r="J777" s="9" t="n"/>
      <c r="K777" s="11">
        <f>IF(C777="","",N(IFERROR(INDEX(Steps!$E$5:$E$62,MATCH(C777,Steps!$A$5:$A$62,0)),"")))</f>
        <v/>
      </c>
      <c r="L777" s="11">
        <f>IF(AND(C777&lt;&gt;"",E777&lt;&gt;"",I777&lt;&gt;"",OR(Settings!$B$10="No",I777&lt;&gt;E777)),K777*F777,0)</f>
        <v/>
      </c>
      <c r="M777" s="11">
        <f>IF(AND(AND(C777&lt;&gt;"",E777&lt;&gt;"",I777&lt;&gt;"",OR(Settings!$B$10="No",I777&lt;&gt;E777)),G777="Paid a pro",Settings!$B$9="Yes"),MAX(0,H777-K777*F777),0)</f>
        <v/>
      </c>
      <c r="N777" s="3">
        <f>IF(C777="","",IF(B777="","Enter the boat number",IF(B777&gt;Settings!$B$6,"Boat number above the boat count",IF(SUMIFS($F$5:$F$1004,$B$5:$B$1004,B777,$C$5:$C$1004,C777)&gt;1.0001,"Shares for this step add up to over 100%",IF(I777="","Waiting for sign-off",IF(AND(Settings!$B$10="Yes",I777=E777),"Needs a different member to sign off","OK"))))))</f>
        <v/>
      </c>
    </row>
    <row r="778">
      <c r="A778" s="9" t="n"/>
      <c r="B778" s="6" t="n"/>
      <c r="C778" s="6" t="n"/>
      <c r="D778" s="3">
        <f>IF(C778="","",IFERROR(INDEX(Steps!$C$5:$C$62,MATCH(C778,Steps!$A$5:$A$62,0)),""))</f>
        <v/>
      </c>
      <c r="E778" s="6" t="n"/>
      <c r="F778" s="8" t="n"/>
      <c r="G778" s="6" t="n"/>
      <c r="H778" s="7" t="n"/>
      <c r="I778" s="6" t="n"/>
      <c r="J778" s="9" t="n"/>
      <c r="K778" s="11">
        <f>IF(C778="","",N(IFERROR(INDEX(Steps!$E$5:$E$62,MATCH(C778,Steps!$A$5:$A$62,0)),"")))</f>
        <v/>
      </c>
      <c r="L778" s="11">
        <f>IF(AND(C778&lt;&gt;"",E778&lt;&gt;"",I778&lt;&gt;"",OR(Settings!$B$10="No",I778&lt;&gt;E778)),K778*F778,0)</f>
        <v/>
      </c>
      <c r="M778" s="11">
        <f>IF(AND(AND(C778&lt;&gt;"",E778&lt;&gt;"",I778&lt;&gt;"",OR(Settings!$B$10="No",I778&lt;&gt;E778)),G778="Paid a pro",Settings!$B$9="Yes"),MAX(0,H778-K778*F778),0)</f>
        <v/>
      </c>
      <c r="N778" s="3">
        <f>IF(C778="","",IF(B778="","Enter the boat number",IF(B778&gt;Settings!$B$6,"Boat number above the boat count",IF(SUMIFS($F$5:$F$1004,$B$5:$B$1004,B778,$C$5:$C$1004,C778)&gt;1.0001,"Shares for this step add up to over 100%",IF(I778="","Waiting for sign-off",IF(AND(Settings!$B$10="Yes",I778=E778),"Needs a different member to sign off","OK"))))))</f>
        <v/>
      </c>
    </row>
    <row r="779">
      <c r="A779" s="9" t="n"/>
      <c r="B779" s="6" t="n"/>
      <c r="C779" s="6" t="n"/>
      <c r="D779" s="3">
        <f>IF(C779="","",IFERROR(INDEX(Steps!$C$5:$C$62,MATCH(C779,Steps!$A$5:$A$62,0)),""))</f>
        <v/>
      </c>
      <c r="E779" s="6" t="n"/>
      <c r="F779" s="8" t="n"/>
      <c r="G779" s="6" t="n"/>
      <c r="H779" s="7" t="n"/>
      <c r="I779" s="6" t="n"/>
      <c r="J779" s="9" t="n"/>
      <c r="K779" s="11">
        <f>IF(C779="","",N(IFERROR(INDEX(Steps!$E$5:$E$62,MATCH(C779,Steps!$A$5:$A$62,0)),"")))</f>
        <v/>
      </c>
      <c r="L779" s="11">
        <f>IF(AND(C779&lt;&gt;"",E779&lt;&gt;"",I779&lt;&gt;"",OR(Settings!$B$10="No",I779&lt;&gt;E779)),K779*F779,0)</f>
        <v/>
      </c>
      <c r="M779" s="11">
        <f>IF(AND(AND(C779&lt;&gt;"",E779&lt;&gt;"",I779&lt;&gt;"",OR(Settings!$B$10="No",I779&lt;&gt;E779)),G779="Paid a pro",Settings!$B$9="Yes"),MAX(0,H779-K779*F779),0)</f>
        <v/>
      </c>
      <c r="N779" s="3">
        <f>IF(C779="","",IF(B779="","Enter the boat number",IF(B779&gt;Settings!$B$6,"Boat number above the boat count",IF(SUMIFS($F$5:$F$1004,$B$5:$B$1004,B779,$C$5:$C$1004,C779)&gt;1.0001,"Shares for this step add up to over 100%",IF(I779="","Waiting for sign-off",IF(AND(Settings!$B$10="Yes",I779=E779),"Needs a different member to sign off","OK"))))))</f>
        <v/>
      </c>
    </row>
    <row r="780">
      <c r="A780" s="9" t="n"/>
      <c r="B780" s="6" t="n"/>
      <c r="C780" s="6" t="n"/>
      <c r="D780" s="3">
        <f>IF(C780="","",IFERROR(INDEX(Steps!$C$5:$C$62,MATCH(C780,Steps!$A$5:$A$62,0)),""))</f>
        <v/>
      </c>
      <c r="E780" s="6" t="n"/>
      <c r="F780" s="8" t="n"/>
      <c r="G780" s="6" t="n"/>
      <c r="H780" s="7" t="n"/>
      <c r="I780" s="6" t="n"/>
      <c r="J780" s="9" t="n"/>
      <c r="K780" s="11">
        <f>IF(C780="","",N(IFERROR(INDEX(Steps!$E$5:$E$62,MATCH(C780,Steps!$A$5:$A$62,0)),"")))</f>
        <v/>
      </c>
      <c r="L780" s="11">
        <f>IF(AND(C780&lt;&gt;"",E780&lt;&gt;"",I780&lt;&gt;"",OR(Settings!$B$10="No",I780&lt;&gt;E780)),K780*F780,0)</f>
        <v/>
      </c>
      <c r="M780" s="11">
        <f>IF(AND(AND(C780&lt;&gt;"",E780&lt;&gt;"",I780&lt;&gt;"",OR(Settings!$B$10="No",I780&lt;&gt;E780)),G780="Paid a pro",Settings!$B$9="Yes"),MAX(0,H780-K780*F780),0)</f>
        <v/>
      </c>
      <c r="N780" s="3">
        <f>IF(C780="","",IF(B780="","Enter the boat number",IF(B780&gt;Settings!$B$6,"Boat number above the boat count",IF(SUMIFS($F$5:$F$1004,$B$5:$B$1004,B780,$C$5:$C$1004,C780)&gt;1.0001,"Shares for this step add up to over 100%",IF(I780="","Waiting for sign-off",IF(AND(Settings!$B$10="Yes",I780=E780),"Needs a different member to sign off","OK"))))))</f>
        <v/>
      </c>
    </row>
    <row r="781">
      <c r="A781" s="9" t="n"/>
      <c r="B781" s="6" t="n"/>
      <c r="C781" s="6" t="n"/>
      <c r="D781" s="3">
        <f>IF(C781="","",IFERROR(INDEX(Steps!$C$5:$C$62,MATCH(C781,Steps!$A$5:$A$62,0)),""))</f>
        <v/>
      </c>
      <c r="E781" s="6" t="n"/>
      <c r="F781" s="8" t="n"/>
      <c r="G781" s="6" t="n"/>
      <c r="H781" s="7" t="n"/>
      <c r="I781" s="6" t="n"/>
      <c r="J781" s="9" t="n"/>
      <c r="K781" s="11">
        <f>IF(C781="","",N(IFERROR(INDEX(Steps!$E$5:$E$62,MATCH(C781,Steps!$A$5:$A$62,0)),"")))</f>
        <v/>
      </c>
      <c r="L781" s="11">
        <f>IF(AND(C781&lt;&gt;"",E781&lt;&gt;"",I781&lt;&gt;"",OR(Settings!$B$10="No",I781&lt;&gt;E781)),K781*F781,0)</f>
        <v/>
      </c>
      <c r="M781" s="11">
        <f>IF(AND(AND(C781&lt;&gt;"",E781&lt;&gt;"",I781&lt;&gt;"",OR(Settings!$B$10="No",I781&lt;&gt;E781)),G781="Paid a pro",Settings!$B$9="Yes"),MAX(0,H781-K781*F781),0)</f>
        <v/>
      </c>
      <c r="N781" s="3">
        <f>IF(C781="","",IF(B781="","Enter the boat number",IF(B781&gt;Settings!$B$6,"Boat number above the boat count",IF(SUMIFS($F$5:$F$1004,$B$5:$B$1004,B781,$C$5:$C$1004,C781)&gt;1.0001,"Shares for this step add up to over 100%",IF(I781="","Waiting for sign-off",IF(AND(Settings!$B$10="Yes",I781=E781),"Needs a different member to sign off","OK"))))))</f>
        <v/>
      </c>
    </row>
    <row r="782">
      <c r="A782" s="9" t="n"/>
      <c r="B782" s="6" t="n"/>
      <c r="C782" s="6" t="n"/>
      <c r="D782" s="3">
        <f>IF(C782="","",IFERROR(INDEX(Steps!$C$5:$C$62,MATCH(C782,Steps!$A$5:$A$62,0)),""))</f>
        <v/>
      </c>
      <c r="E782" s="6" t="n"/>
      <c r="F782" s="8" t="n"/>
      <c r="G782" s="6" t="n"/>
      <c r="H782" s="7" t="n"/>
      <c r="I782" s="6" t="n"/>
      <c r="J782" s="9" t="n"/>
      <c r="K782" s="11">
        <f>IF(C782="","",N(IFERROR(INDEX(Steps!$E$5:$E$62,MATCH(C782,Steps!$A$5:$A$62,0)),"")))</f>
        <v/>
      </c>
      <c r="L782" s="11">
        <f>IF(AND(C782&lt;&gt;"",E782&lt;&gt;"",I782&lt;&gt;"",OR(Settings!$B$10="No",I782&lt;&gt;E782)),K782*F782,0)</f>
        <v/>
      </c>
      <c r="M782" s="11">
        <f>IF(AND(AND(C782&lt;&gt;"",E782&lt;&gt;"",I782&lt;&gt;"",OR(Settings!$B$10="No",I782&lt;&gt;E782)),G782="Paid a pro",Settings!$B$9="Yes"),MAX(0,H782-K782*F782),0)</f>
        <v/>
      </c>
      <c r="N782" s="3">
        <f>IF(C782="","",IF(B782="","Enter the boat number",IF(B782&gt;Settings!$B$6,"Boat number above the boat count",IF(SUMIFS($F$5:$F$1004,$B$5:$B$1004,B782,$C$5:$C$1004,C782)&gt;1.0001,"Shares for this step add up to over 100%",IF(I782="","Waiting for sign-off",IF(AND(Settings!$B$10="Yes",I782=E782),"Needs a different member to sign off","OK"))))))</f>
        <v/>
      </c>
    </row>
    <row r="783">
      <c r="A783" s="9" t="n"/>
      <c r="B783" s="6" t="n"/>
      <c r="C783" s="6" t="n"/>
      <c r="D783" s="3">
        <f>IF(C783="","",IFERROR(INDEX(Steps!$C$5:$C$62,MATCH(C783,Steps!$A$5:$A$62,0)),""))</f>
        <v/>
      </c>
      <c r="E783" s="6" t="n"/>
      <c r="F783" s="8" t="n"/>
      <c r="G783" s="6" t="n"/>
      <c r="H783" s="7" t="n"/>
      <c r="I783" s="6" t="n"/>
      <c r="J783" s="9" t="n"/>
      <c r="K783" s="11">
        <f>IF(C783="","",N(IFERROR(INDEX(Steps!$E$5:$E$62,MATCH(C783,Steps!$A$5:$A$62,0)),"")))</f>
        <v/>
      </c>
      <c r="L783" s="11">
        <f>IF(AND(C783&lt;&gt;"",E783&lt;&gt;"",I783&lt;&gt;"",OR(Settings!$B$10="No",I783&lt;&gt;E783)),K783*F783,0)</f>
        <v/>
      </c>
      <c r="M783" s="11">
        <f>IF(AND(AND(C783&lt;&gt;"",E783&lt;&gt;"",I783&lt;&gt;"",OR(Settings!$B$10="No",I783&lt;&gt;E783)),G783="Paid a pro",Settings!$B$9="Yes"),MAX(0,H783-K783*F783),0)</f>
        <v/>
      </c>
      <c r="N783" s="3">
        <f>IF(C783="","",IF(B783="","Enter the boat number",IF(B783&gt;Settings!$B$6,"Boat number above the boat count",IF(SUMIFS($F$5:$F$1004,$B$5:$B$1004,B783,$C$5:$C$1004,C783)&gt;1.0001,"Shares for this step add up to over 100%",IF(I783="","Waiting for sign-off",IF(AND(Settings!$B$10="Yes",I783=E783),"Needs a different member to sign off","OK"))))))</f>
        <v/>
      </c>
    </row>
    <row r="784">
      <c r="A784" s="9" t="n"/>
      <c r="B784" s="6" t="n"/>
      <c r="C784" s="6" t="n"/>
      <c r="D784" s="3">
        <f>IF(C784="","",IFERROR(INDEX(Steps!$C$5:$C$62,MATCH(C784,Steps!$A$5:$A$62,0)),""))</f>
        <v/>
      </c>
      <c r="E784" s="6" t="n"/>
      <c r="F784" s="8" t="n"/>
      <c r="G784" s="6" t="n"/>
      <c r="H784" s="7" t="n"/>
      <c r="I784" s="6" t="n"/>
      <c r="J784" s="9" t="n"/>
      <c r="K784" s="11">
        <f>IF(C784="","",N(IFERROR(INDEX(Steps!$E$5:$E$62,MATCH(C784,Steps!$A$5:$A$62,0)),"")))</f>
        <v/>
      </c>
      <c r="L784" s="11">
        <f>IF(AND(C784&lt;&gt;"",E784&lt;&gt;"",I784&lt;&gt;"",OR(Settings!$B$10="No",I784&lt;&gt;E784)),K784*F784,0)</f>
        <v/>
      </c>
      <c r="M784" s="11">
        <f>IF(AND(AND(C784&lt;&gt;"",E784&lt;&gt;"",I784&lt;&gt;"",OR(Settings!$B$10="No",I784&lt;&gt;E784)),G784="Paid a pro",Settings!$B$9="Yes"),MAX(0,H784-K784*F784),0)</f>
        <v/>
      </c>
      <c r="N784" s="3">
        <f>IF(C784="","",IF(B784="","Enter the boat number",IF(B784&gt;Settings!$B$6,"Boat number above the boat count",IF(SUMIFS($F$5:$F$1004,$B$5:$B$1004,B784,$C$5:$C$1004,C784)&gt;1.0001,"Shares for this step add up to over 100%",IF(I784="","Waiting for sign-off",IF(AND(Settings!$B$10="Yes",I784=E784),"Needs a different member to sign off","OK"))))))</f>
        <v/>
      </c>
    </row>
    <row r="785">
      <c r="A785" s="9" t="n"/>
      <c r="B785" s="6" t="n"/>
      <c r="C785" s="6" t="n"/>
      <c r="D785" s="3">
        <f>IF(C785="","",IFERROR(INDEX(Steps!$C$5:$C$62,MATCH(C785,Steps!$A$5:$A$62,0)),""))</f>
        <v/>
      </c>
      <c r="E785" s="6" t="n"/>
      <c r="F785" s="8" t="n"/>
      <c r="G785" s="6" t="n"/>
      <c r="H785" s="7" t="n"/>
      <c r="I785" s="6" t="n"/>
      <c r="J785" s="9" t="n"/>
      <c r="K785" s="11">
        <f>IF(C785="","",N(IFERROR(INDEX(Steps!$E$5:$E$62,MATCH(C785,Steps!$A$5:$A$62,0)),"")))</f>
        <v/>
      </c>
      <c r="L785" s="11">
        <f>IF(AND(C785&lt;&gt;"",E785&lt;&gt;"",I785&lt;&gt;"",OR(Settings!$B$10="No",I785&lt;&gt;E785)),K785*F785,0)</f>
        <v/>
      </c>
      <c r="M785" s="11">
        <f>IF(AND(AND(C785&lt;&gt;"",E785&lt;&gt;"",I785&lt;&gt;"",OR(Settings!$B$10="No",I785&lt;&gt;E785)),G785="Paid a pro",Settings!$B$9="Yes"),MAX(0,H785-K785*F785),0)</f>
        <v/>
      </c>
      <c r="N785" s="3">
        <f>IF(C785="","",IF(B785="","Enter the boat number",IF(B785&gt;Settings!$B$6,"Boat number above the boat count",IF(SUMIFS($F$5:$F$1004,$B$5:$B$1004,B785,$C$5:$C$1004,C785)&gt;1.0001,"Shares for this step add up to over 100%",IF(I785="","Waiting for sign-off",IF(AND(Settings!$B$10="Yes",I785=E785),"Needs a different member to sign off","OK"))))))</f>
        <v/>
      </c>
    </row>
    <row r="786">
      <c r="A786" s="9" t="n"/>
      <c r="B786" s="6" t="n"/>
      <c r="C786" s="6" t="n"/>
      <c r="D786" s="3">
        <f>IF(C786="","",IFERROR(INDEX(Steps!$C$5:$C$62,MATCH(C786,Steps!$A$5:$A$62,0)),""))</f>
        <v/>
      </c>
      <c r="E786" s="6" t="n"/>
      <c r="F786" s="8" t="n"/>
      <c r="G786" s="6" t="n"/>
      <c r="H786" s="7" t="n"/>
      <c r="I786" s="6" t="n"/>
      <c r="J786" s="9" t="n"/>
      <c r="K786" s="11">
        <f>IF(C786="","",N(IFERROR(INDEX(Steps!$E$5:$E$62,MATCH(C786,Steps!$A$5:$A$62,0)),"")))</f>
        <v/>
      </c>
      <c r="L786" s="11">
        <f>IF(AND(C786&lt;&gt;"",E786&lt;&gt;"",I786&lt;&gt;"",OR(Settings!$B$10="No",I786&lt;&gt;E786)),K786*F786,0)</f>
        <v/>
      </c>
      <c r="M786" s="11">
        <f>IF(AND(AND(C786&lt;&gt;"",E786&lt;&gt;"",I786&lt;&gt;"",OR(Settings!$B$10="No",I786&lt;&gt;E786)),G786="Paid a pro",Settings!$B$9="Yes"),MAX(0,H786-K786*F786),0)</f>
        <v/>
      </c>
      <c r="N786" s="3">
        <f>IF(C786="","",IF(B786="","Enter the boat number",IF(B786&gt;Settings!$B$6,"Boat number above the boat count",IF(SUMIFS($F$5:$F$1004,$B$5:$B$1004,B786,$C$5:$C$1004,C786)&gt;1.0001,"Shares for this step add up to over 100%",IF(I786="","Waiting for sign-off",IF(AND(Settings!$B$10="Yes",I786=E786),"Needs a different member to sign off","OK"))))))</f>
        <v/>
      </c>
    </row>
    <row r="787">
      <c r="A787" s="9" t="n"/>
      <c r="B787" s="6" t="n"/>
      <c r="C787" s="6" t="n"/>
      <c r="D787" s="3">
        <f>IF(C787="","",IFERROR(INDEX(Steps!$C$5:$C$62,MATCH(C787,Steps!$A$5:$A$62,0)),""))</f>
        <v/>
      </c>
      <c r="E787" s="6" t="n"/>
      <c r="F787" s="8" t="n"/>
      <c r="G787" s="6" t="n"/>
      <c r="H787" s="7" t="n"/>
      <c r="I787" s="6" t="n"/>
      <c r="J787" s="9" t="n"/>
      <c r="K787" s="11">
        <f>IF(C787="","",N(IFERROR(INDEX(Steps!$E$5:$E$62,MATCH(C787,Steps!$A$5:$A$62,0)),"")))</f>
        <v/>
      </c>
      <c r="L787" s="11">
        <f>IF(AND(C787&lt;&gt;"",E787&lt;&gt;"",I787&lt;&gt;"",OR(Settings!$B$10="No",I787&lt;&gt;E787)),K787*F787,0)</f>
        <v/>
      </c>
      <c r="M787" s="11">
        <f>IF(AND(AND(C787&lt;&gt;"",E787&lt;&gt;"",I787&lt;&gt;"",OR(Settings!$B$10="No",I787&lt;&gt;E787)),G787="Paid a pro",Settings!$B$9="Yes"),MAX(0,H787-K787*F787),0)</f>
        <v/>
      </c>
      <c r="N787" s="3">
        <f>IF(C787="","",IF(B787="","Enter the boat number",IF(B787&gt;Settings!$B$6,"Boat number above the boat count",IF(SUMIFS($F$5:$F$1004,$B$5:$B$1004,B787,$C$5:$C$1004,C787)&gt;1.0001,"Shares for this step add up to over 100%",IF(I787="","Waiting for sign-off",IF(AND(Settings!$B$10="Yes",I787=E787),"Needs a different member to sign off","OK"))))))</f>
        <v/>
      </c>
    </row>
    <row r="788">
      <c r="A788" s="9" t="n"/>
      <c r="B788" s="6" t="n"/>
      <c r="C788" s="6" t="n"/>
      <c r="D788" s="3">
        <f>IF(C788="","",IFERROR(INDEX(Steps!$C$5:$C$62,MATCH(C788,Steps!$A$5:$A$62,0)),""))</f>
        <v/>
      </c>
      <c r="E788" s="6" t="n"/>
      <c r="F788" s="8" t="n"/>
      <c r="G788" s="6" t="n"/>
      <c r="H788" s="7" t="n"/>
      <c r="I788" s="6" t="n"/>
      <c r="J788" s="9" t="n"/>
      <c r="K788" s="11">
        <f>IF(C788="","",N(IFERROR(INDEX(Steps!$E$5:$E$62,MATCH(C788,Steps!$A$5:$A$62,0)),"")))</f>
        <v/>
      </c>
      <c r="L788" s="11">
        <f>IF(AND(C788&lt;&gt;"",E788&lt;&gt;"",I788&lt;&gt;"",OR(Settings!$B$10="No",I788&lt;&gt;E788)),K788*F788,0)</f>
        <v/>
      </c>
      <c r="M788" s="11">
        <f>IF(AND(AND(C788&lt;&gt;"",E788&lt;&gt;"",I788&lt;&gt;"",OR(Settings!$B$10="No",I788&lt;&gt;E788)),G788="Paid a pro",Settings!$B$9="Yes"),MAX(0,H788-K788*F788),0)</f>
        <v/>
      </c>
      <c r="N788" s="3">
        <f>IF(C788="","",IF(B788="","Enter the boat number",IF(B788&gt;Settings!$B$6,"Boat number above the boat count",IF(SUMIFS($F$5:$F$1004,$B$5:$B$1004,B788,$C$5:$C$1004,C788)&gt;1.0001,"Shares for this step add up to over 100%",IF(I788="","Waiting for sign-off",IF(AND(Settings!$B$10="Yes",I788=E788),"Needs a different member to sign off","OK"))))))</f>
        <v/>
      </c>
    </row>
    <row r="789">
      <c r="A789" s="9" t="n"/>
      <c r="B789" s="6" t="n"/>
      <c r="C789" s="6" t="n"/>
      <c r="D789" s="3">
        <f>IF(C789="","",IFERROR(INDEX(Steps!$C$5:$C$62,MATCH(C789,Steps!$A$5:$A$62,0)),""))</f>
        <v/>
      </c>
      <c r="E789" s="6" t="n"/>
      <c r="F789" s="8" t="n"/>
      <c r="G789" s="6" t="n"/>
      <c r="H789" s="7" t="n"/>
      <c r="I789" s="6" t="n"/>
      <c r="J789" s="9" t="n"/>
      <c r="K789" s="11">
        <f>IF(C789="","",N(IFERROR(INDEX(Steps!$E$5:$E$62,MATCH(C789,Steps!$A$5:$A$62,0)),"")))</f>
        <v/>
      </c>
      <c r="L789" s="11">
        <f>IF(AND(C789&lt;&gt;"",E789&lt;&gt;"",I789&lt;&gt;"",OR(Settings!$B$10="No",I789&lt;&gt;E789)),K789*F789,0)</f>
        <v/>
      </c>
      <c r="M789" s="11">
        <f>IF(AND(AND(C789&lt;&gt;"",E789&lt;&gt;"",I789&lt;&gt;"",OR(Settings!$B$10="No",I789&lt;&gt;E789)),G789="Paid a pro",Settings!$B$9="Yes"),MAX(0,H789-K789*F789),0)</f>
        <v/>
      </c>
      <c r="N789" s="3">
        <f>IF(C789="","",IF(B789="","Enter the boat number",IF(B789&gt;Settings!$B$6,"Boat number above the boat count",IF(SUMIFS($F$5:$F$1004,$B$5:$B$1004,B789,$C$5:$C$1004,C789)&gt;1.0001,"Shares for this step add up to over 100%",IF(I789="","Waiting for sign-off",IF(AND(Settings!$B$10="Yes",I789=E789),"Needs a different member to sign off","OK"))))))</f>
        <v/>
      </c>
    </row>
    <row r="790">
      <c r="A790" s="9" t="n"/>
      <c r="B790" s="6" t="n"/>
      <c r="C790" s="6" t="n"/>
      <c r="D790" s="3">
        <f>IF(C790="","",IFERROR(INDEX(Steps!$C$5:$C$62,MATCH(C790,Steps!$A$5:$A$62,0)),""))</f>
        <v/>
      </c>
      <c r="E790" s="6" t="n"/>
      <c r="F790" s="8" t="n"/>
      <c r="G790" s="6" t="n"/>
      <c r="H790" s="7" t="n"/>
      <c r="I790" s="6" t="n"/>
      <c r="J790" s="9" t="n"/>
      <c r="K790" s="11">
        <f>IF(C790="","",N(IFERROR(INDEX(Steps!$E$5:$E$62,MATCH(C790,Steps!$A$5:$A$62,0)),"")))</f>
        <v/>
      </c>
      <c r="L790" s="11">
        <f>IF(AND(C790&lt;&gt;"",E790&lt;&gt;"",I790&lt;&gt;"",OR(Settings!$B$10="No",I790&lt;&gt;E790)),K790*F790,0)</f>
        <v/>
      </c>
      <c r="M790" s="11">
        <f>IF(AND(AND(C790&lt;&gt;"",E790&lt;&gt;"",I790&lt;&gt;"",OR(Settings!$B$10="No",I790&lt;&gt;E790)),G790="Paid a pro",Settings!$B$9="Yes"),MAX(0,H790-K790*F790),0)</f>
        <v/>
      </c>
      <c r="N790" s="3">
        <f>IF(C790="","",IF(B790="","Enter the boat number",IF(B790&gt;Settings!$B$6,"Boat number above the boat count",IF(SUMIFS($F$5:$F$1004,$B$5:$B$1004,B790,$C$5:$C$1004,C790)&gt;1.0001,"Shares for this step add up to over 100%",IF(I790="","Waiting for sign-off",IF(AND(Settings!$B$10="Yes",I790=E790),"Needs a different member to sign off","OK"))))))</f>
        <v/>
      </c>
    </row>
    <row r="791">
      <c r="A791" s="9" t="n"/>
      <c r="B791" s="6" t="n"/>
      <c r="C791" s="6" t="n"/>
      <c r="D791" s="3">
        <f>IF(C791="","",IFERROR(INDEX(Steps!$C$5:$C$62,MATCH(C791,Steps!$A$5:$A$62,0)),""))</f>
        <v/>
      </c>
      <c r="E791" s="6" t="n"/>
      <c r="F791" s="8" t="n"/>
      <c r="G791" s="6" t="n"/>
      <c r="H791" s="7" t="n"/>
      <c r="I791" s="6" t="n"/>
      <c r="J791" s="9" t="n"/>
      <c r="K791" s="11">
        <f>IF(C791="","",N(IFERROR(INDEX(Steps!$E$5:$E$62,MATCH(C791,Steps!$A$5:$A$62,0)),"")))</f>
        <v/>
      </c>
      <c r="L791" s="11">
        <f>IF(AND(C791&lt;&gt;"",E791&lt;&gt;"",I791&lt;&gt;"",OR(Settings!$B$10="No",I791&lt;&gt;E791)),K791*F791,0)</f>
        <v/>
      </c>
      <c r="M791" s="11">
        <f>IF(AND(AND(C791&lt;&gt;"",E791&lt;&gt;"",I791&lt;&gt;"",OR(Settings!$B$10="No",I791&lt;&gt;E791)),G791="Paid a pro",Settings!$B$9="Yes"),MAX(0,H791-K791*F791),0)</f>
        <v/>
      </c>
      <c r="N791" s="3">
        <f>IF(C791="","",IF(B791="","Enter the boat number",IF(B791&gt;Settings!$B$6,"Boat number above the boat count",IF(SUMIFS($F$5:$F$1004,$B$5:$B$1004,B791,$C$5:$C$1004,C791)&gt;1.0001,"Shares for this step add up to over 100%",IF(I791="","Waiting for sign-off",IF(AND(Settings!$B$10="Yes",I791=E791),"Needs a different member to sign off","OK"))))))</f>
        <v/>
      </c>
    </row>
    <row r="792">
      <c r="A792" s="9" t="n"/>
      <c r="B792" s="6" t="n"/>
      <c r="C792" s="6" t="n"/>
      <c r="D792" s="3">
        <f>IF(C792="","",IFERROR(INDEX(Steps!$C$5:$C$62,MATCH(C792,Steps!$A$5:$A$62,0)),""))</f>
        <v/>
      </c>
      <c r="E792" s="6" t="n"/>
      <c r="F792" s="8" t="n"/>
      <c r="G792" s="6" t="n"/>
      <c r="H792" s="7" t="n"/>
      <c r="I792" s="6" t="n"/>
      <c r="J792" s="9" t="n"/>
      <c r="K792" s="11">
        <f>IF(C792="","",N(IFERROR(INDEX(Steps!$E$5:$E$62,MATCH(C792,Steps!$A$5:$A$62,0)),"")))</f>
        <v/>
      </c>
      <c r="L792" s="11">
        <f>IF(AND(C792&lt;&gt;"",E792&lt;&gt;"",I792&lt;&gt;"",OR(Settings!$B$10="No",I792&lt;&gt;E792)),K792*F792,0)</f>
        <v/>
      </c>
      <c r="M792" s="11">
        <f>IF(AND(AND(C792&lt;&gt;"",E792&lt;&gt;"",I792&lt;&gt;"",OR(Settings!$B$10="No",I792&lt;&gt;E792)),G792="Paid a pro",Settings!$B$9="Yes"),MAX(0,H792-K792*F792),0)</f>
        <v/>
      </c>
      <c r="N792" s="3">
        <f>IF(C792="","",IF(B792="","Enter the boat number",IF(B792&gt;Settings!$B$6,"Boat number above the boat count",IF(SUMIFS($F$5:$F$1004,$B$5:$B$1004,B792,$C$5:$C$1004,C792)&gt;1.0001,"Shares for this step add up to over 100%",IF(I792="","Waiting for sign-off",IF(AND(Settings!$B$10="Yes",I792=E792),"Needs a different member to sign off","OK"))))))</f>
        <v/>
      </c>
    </row>
    <row r="793">
      <c r="A793" s="9" t="n"/>
      <c r="B793" s="6" t="n"/>
      <c r="C793" s="6" t="n"/>
      <c r="D793" s="3">
        <f>IF(C793="","",IFERROR(INDEX(Steps!$C$5:$C$62,MATCH(C793,Steps!$A$5:$A$62,0)),""))</f>
        <v/>
      </c>
      <c r="E793" s="6" t="n"/>
      <c r="F793" s="8" t="n"/>
      <c r="G793" s="6" t="n"/>
      <c r="H793" s="7" t="n"/>
      <c r="I793" s="6" t="n"/>
      <c r="J793" s="9" t="n"/>
      <c r="K793" s="11">
        <f>IF(C793="","",N(IFERROR(INDEX(Steps!$E$5:$E$62,MATCH(C793,Steps!$A$5:$A$62,0)),"")))</f>
        <v/>
      </c>
      <c r="L793" s="11">
        <f>IF(AND(C793&lt;&gt;"",E793&lt;&gt;"",I793&lt;&gt;"",OR(Settings!$B$10="No",I793&lt;&gt;E793)),K793*F793,0)</f>
        <v/>
      </c>
      <c r="M793" s="11">
        <f>IF(AND(AND(C793&lt;&gt;"",E793&lt;&gt;"",I793&lt;&gt;"",OR(Settings!$B$10="No",I793&lt;&gt;E793)),G793="Paid a pro",Settings!$B$9="Yes"),MAX(0,H793-K793*F793),0)</f>
        <v/>
      </c>
      <c r="N793" s="3">
        <f>IF(C793="","",IF(B793="","Enter the boat number",IF(B793&gt;Settings!$B$6,"Boat number above the boat count",IF(SUMIFS($F$5:$F$1004,$B$5:$B$1004,B793,$C$5:$C$1004,C793)&gt;1.0001,"Shares for this step add up to over 100%",IF(I793="","Waiting for sign-off",IF(AND(Settings!$B$10="Yes",I793=E793),"Needs a different member to sign off","OK"))))))</f>
        <v/>
      </c>
    </row>
    <row r="794">
      <c r="A794" s="9" t="n"/>
      <c r="B794" s="6" t="n"/>
      <c r="C794" s="6" t="n"/>
      <c r="D794" s="3">
        <f>IF(C794="","",IFERROR(INDEX(Steps!$C$5:$C$62,MATCH(C794,Steps!$A$5:$A$62,0)),""))</f>
        <v/>
      </c>
      <c r="E794" s="6" t="n"/>
      <c r="F794" s="8" t="n"/>
      <c r="G794" s="6" t="n"/>
      <c r="H794" s="7" t="n"/>
      <c r="I794" s="6" t="n"/>
      <c r="J794" s="9" t="n"/>
      <c r="K794" s="11">
        <f>IF(C794="","",N(IFERROR(INDEX(Steps!$E$5:$E$62,MATCH(C794,Steps!$A$5:$A$62,0)),"")))</f>
        <v/>
      </c>
      <c r="L794" s="11">
        <f>IF(AND(C794&lt;&gt;"",E794&lt;&gt;"",I794&lt;&gt;"",OR(Settings!$B$10="No",I794&lt;&gt;E794)),K794*F794,0)</f>
        <v/>
      </c>
      <c r="M794" s="11">
        <f>IF(AND(AND(C794&lt;&gt;"",E794&lt;&gt;"",I794&lt;&gt;"",OR(Settings!$B$10="No",I794&lt;&gt;E794)),G794="Paid a pro",Settings!$B$9="Yes"),MAX(0,H794-K794*F794),0)</f>
        <v/>
      </c>
      <c r="N794" s="3">
        <f>IF(C794="","",IF(B794="","Enter the boat number",IF(B794&gt;Settings!$B$6,"Boat number above the boat count",IF(SUMIFS($F$5:$F$1004,$B$5:$B$1004,B794,$C$5:$C$1004,C794)&gt;1.0001,"Shares for this step add up to over 100%",IF(I794="","Waiting for sign-off",IF(AND(Settings!$B$10="Yes",I794=E794),"Needs a different member to sign off","OK"))))))</f>
        <v/>
      </c>
    </row>
    <row r="795">
      <c r="A795" s="9" t="n"/>
      <c r="B795" s="6" t="n"/>
      <c r="C795" s="6" t="n"/>
      <c r="D795" s="3">
        <f>IF(C795="","",IFERROR(INDEX(Steps!$C$5:$C$62,MATCH(C795,Steps!$A$5:$A$62,0)),""))</f>
        <v/>
      </c>
      <c r="E795" s="6" t="n"/>
      <c r="F795" s="8" t="n"/>
      <c r="G795" s="6" t="n"/>
      <c r="H795" s="7" t="n"/>
      <c r="I795" s="6" t="n"/>
      <c r="J795" s="9" t="n"/>
      <c r="K795" s="11">
        <f>IF(C795="","",N(IFERROR(INDEX(Steps!$E$5:$E$62,MATCH(C795,Steps!$A$5:$A$62,0)),"")))</f>
        <v/>
      </c>
      <c r="L795" s="11">
        <f>IF(AND(C795&lt;&gt;"",E795&lt;&gt;"",I795&lt;&gt;"",OR(Settings!$B$10="No",I795&lt;&gt;E795)),K795*F795,0)</f>
        <v/>
      </c>
      <c r="M795" s="11">
        <f>IF(AND(AND(C795&lt;&gt;"",E795&lt;&gt;"",I795&lt;&gt;"",OR(Settings!$B$10="No",I795&lt;&gt;E795)),G795="Paid a pro",Settings!$B$9="Yes"),MAX(0,H795-K795*F795),0)</f>
        <v/>
      </c>
      <c r="N795" s="3">
        <f>IF(C795="","",IF(B795="","Enter the boat number",IF(B795&gt;Settings!$B$6,"Boat number above the boat count",IF(SUMIFS($F$5:$F$1004,$B$5:$B$1004,B795,$C$5:$C$1004,C795)&gt;1.0001,"Shares for this step add up to over 100%",IF(I795="","Waiting for sign-off",IF(AND(Settings!$B$10="Yes",I795=E795),"Needs a different member to sign off","OK"))))))</f>
        <v/>
      </c>
    </row>
    <row r="796">
      <c r="A796" s="9" t="n"/>
      <c r="B796" s="6" t="n"/>
      <c r="C796" s="6" t="n"/>
      <c r="D796" s="3">
        <f>IF(C796="","",IFERROR(INDEX(Steps!$C$5:$C$62,MATCH(C796,Steps!$A$5:$A$62,0)),""))</f>
        <v/>
      </c>
      <c r="E796" s="6" t="n"/>
      <c r="F796" s="8" t="n"/>
      <c r="G796" s="6" t="n"/>
      <c r="H796" s="7" t="n"/>
      <c r="I796" s="6" t="n"/>
      <c r="J796" s="9" t="n"/>
      <c r="K796" s="11">
        <f>IF(C796="","",N(IFERROR(INDEX(Steps!$E$5:$E$62,MATCH(C796,Steps!$A$5:$A$62,0)),"")))</f>
        <v/>
      </c>
      <c r="L796" s="11">
        <f>IF(AND(C796&lt;&gt;"",E796&lt;&gt;"",I796&lt;&gt;"",OR(Settings!$B$10="No",I796&lt;&gt;E796)),K796*F796,0)</f>
        <v/>
      </c>
      <c r="M796" s="11">
        <f>IF(AND(AND(C796&lt;&gt;"",E796&lt;&gt;"",I796&lt;&gt;"",OR(Settings!$B$10="No",I796&lt;&gt;E796)),G796="Paid a pro",Settings!$B$9="Yes"),MAX(0,H796-K796*F796),0)</f>
        <v/>
      </c>
      <c r="N796" s="3">
        <f>IF(C796="","",IF(B796="","Enter the boat number",IF(B796&gt;Settings!$B$6,"Boat number above the boat count",IF(SUMIFS($F$5:$F$1004,$B$5:$B$1004,B796,$C$5:$C$1004,C796)&gt;1.0001,"Shares for this step add up to over 100%",IF(I796="","Waiting for sign-off",IF(AND(Settings!$B$10="Yes",I796=E796),"Needs a different member to sign off","OK"))))))</f>
        <v/>
      </c>
    </row>
    <row r="797">
      <c r="A797" s="9" t="n"/>
      <c r="B797" s="6" t="n"/>
      <c r="C797" s="6" t="n"/>
      <c r="D797" s="3">
        <f>IF(C797="","",IFERROR(INDEX(Steps!$C$5:$C$62,MATCH(C797,Steps!$A$5:$A$62,0)),""))</f>
        <v/>
      </c>
      <c r="E797" s="6" t="n"/>
      <c r="F797" s="8" t="n"/>
      <c r="G797" s="6" t="n"/>
      <c r="H797" s="7" t="n"/>
      <c r="I797" s="6" t="n"/>
      <c r="J797" s="9" t="n"/>
      <c r="K797" s="11">
        <f>IF(C797="","",N(IFERROR(INDEX(Steps!$E$5:$E$62,MATCH(C797,Steps!$A$5:$A$62,0)),"")))</f>
        <v/>
      </c>
      <c r="L797" s="11">
        <f>IF(AND(C797&lt;&gt;"",E797&lt;&gt;"",I797&lt;&gt;"",OR(Settings!$B$10="No",I797&lt;&gt;E797)),K797*F797,0)</f>
        <v/>
      </c>
      <c r="M797" s="11">
        <f>IF(AND(AND(C797&lt;&gt;"",E797&lt;&gt;"",I797&lt;&gt;"",OR(Settings!$B$10="No",I797&lt;&gt;E797)),G797="Paid a pro",Settings!$B$9="Yes"),MAX(0,H797-K797*F797),0)</f>
        <v/>
      </c>
      <c r="N797" s="3">
        <f>IF(C797="","",IF(B797="","Enter the boat number",IF(B797&gt;Settings!$B$6,"Boat number above the boat count",IF(SUMIFS($F$5:$F$1004,$B$5:$B$1004,B797,$C$5:$C$1004,C797)&gt;1.0001,"Shares for this step add up to over 100%",IF(I797="","Waiting for sign-off",IF(AND(Settings!$B$10="Yes",I797=E797),"Needs a different member to sign off","OK"))))))</f>
        <v/>
      </c>
    </row>
    <row r="798">
      <c r="A798" s="9" t="n"/>
      <c r="B798" s="6" t="n"/>
      <c r="C798" s="6" t="n"/>
      <c r="D798" s="3">
        <f>IF(C798="","",IFERROR(INDEX(Steps!$C$5:$C$62,MATCH(C798,Steps!$A$5:$A$62,0)),""))</f>
        <v/>
      </c>
      <c r="E798" s="6" t="n"/>
      <c r="F798" s="8" t="n"/>
      <c r="G798" s="6" t="n"/>
      <c r="H798" s="7" t="n"/>
      <c r="I798" s="6" t="n"/>
      <c r="J798" s="9" t="n"/>
      <c r="K798" s="11">
        <f>IF(C798="","",N(IFERROR(INDEX(Steps!$E$5:$E$62,MATCH(C798,Steps!$A$5:$A$62,0)),"")))</f>
        <v/>
      </c>
      <c r="L798" s="11">
        <f>IF(AND(C798&lt;&gt;"",E798&lt;&gt;"",I798&lt;&gt;"",OR(Settings!$B$10="No",I798&lt;&gt;E798)),K798*F798,0)</f>
        <v/>
      </c>
      <c r="M798" s="11">
        <f>IF(AND(AND(C798&lt;&gt;"",E798&lt;&gt;"",I798&lt;&gt;"",OR(Settings!$B$10="No",I798&lt;&gt;E798)),G798="Paid a pro",Settings!$B$9="Yes"),MAX(0,H798-K798*F798),0)</f>
        <v/>
      </c>
      <c r="N798" s="3">
        <f>IF(C798="","",IF(B798="","Enter the boat number",IF(B798&gt;Settings!$B$6,"Boat number above the boat count",IF(SUMIFS($F$5:$F$1004,$B$5:$B$1004,B798,$C$5:$C$1004,C798)&gt;1.0001,"Shares for this step add up to over 100%",IF(I798="","Waiting for sign-off",IF(AND(Settings!$B$10="Yes",I798=E798),"Needs a different member to sign off","OK"))))))</f>
        <v/>
      </c>
    </row>
    <row r="799">
      <c r="A799" s="9" t="n"/>
      <c r="B799" s="6" t="n"/>
      <c r="C799" s="6" t="n"/>
      <c r="D799" s="3">
        <f>IF(C799="","",IFERROR(INDEX(Steps!$C$5:$C$62,MATCH(C799,Steps!$A$5:$A$62,0)),""))</f>
        <v/>
      </c>
      <c r="E799" s="6" t="n"/>
      <c r="F799" s="8" t="n"/>
      <c r="G799" s="6" t="n"/>
      <c r="H799" s="7" t="n"/>
      <c r="I799" s="6" t="n"/>
      <c r="J799" s="9" t="n"/>
      <c r="K799" s="11">
        <f>IF(C799="","",N(IFERROR(INDEX(Steps!$E$5:$E$62,MATCH(C799,Steps!$A$5:$A$62,0)),"")))</f>
        <v/>
      </c>
      <c r="L799" s="11">
        <f>IF(AND(C799&lt;&gt;"",E799&lt;&gt;"",I799&lt;&gt;"",OR(Settings!$B$10="No",I799&lt;&gt;E799)),K799*F799,0)</f>
        <v/>
      </c>
      <c r="M799" s="11">
        <f>IF(AND(AND(C799&lt;&gt;"",E799&lt;&gt;"",I799&lt;&gt;"",OR(Settings!$B$10="No",I799&lt;&gt;E799)),G799="Paid a pro",Settings!$B$9="Yes"),MAX(0,H799-K799*F799),0)</f>
        <v/>
      </c>
      <c r="N799" s="3">
        <f>IF(C799="","",IF(B799="","Enter the boat number",IF(B799&gt;Settings!$B$6,"Boat number above the boat count",IF(SUMIFS($F$5:$F$1004,$B$5:$B$1004,B799,$C$5:$C$1004,C799)&gt;1.0001,"Shares for this step add up to over 100%",IF(I799="","Waiting for sign-off",IF(AND(Settings!$B$10="Yes",I799=E799),"Needs a different member to sign off","OK"))))))</f>
        <v/>
      </c>
    </row>
    <row r="800">
      <c r="A800" s="9" t="n"/>
      <c r="B800" s="6" t="n"/>
      <c r="C800" s="6" t="n"/>
      <c r="D800" s="3">
        <f>IF(C800="","",IFERROR(INDEX(Steps!$C$5:$C$62,MATCH(C800,Steps!$A$5:$A$62,0)),""))</f>
        <v/>
      </c>
      <c r="E800" s="6" t="n"/>
      <c r="F800" s="8" t="n"/>
      <c r="G800" s="6" t="n"/>
      <c r="H800" s="7" t="n"/>
      <c r="I800" s="6" t="n"/>
      <c r="J800" s="9" t="n"/>
      <c r="K800" s="11">
        <f>IF(C800="","",N(IFERROR(INDEX(Steps!$E$5:$E$62,MATCH(C800,Steps!$A$5:$A$62,0)),"")))</f>
        <v/>
      </c>
      <c r="L800" s="11">
        <f>IF(AND(C800&lt;&gt;"",E800&lt;&gt;"",I800&lt;&gt;"",OR(Settings!$B$10="No",I800&lt;&gt;E800)),K800*F800,0)</f>
        <v/>
      </c>
      <c r="M800" s="11">
        <f>IF(AND(AND(C800&lt;&gt;"",E800&lt;&gt;"",I800&lt;&gt;"",OR(Settings!$B$10="No",I800&lt;&gt;E800)),G800="Paid a pro",Settings!$B$9="Yes"),MAX(0,H800-K800*F800),0)</f>
        <v/>
      </c>
      <c r="N800" s="3">
        <f>IF(C800="","",IF(B800="","Enter the boat number",IF(B800&gt;Settings!$B$6,"Boat number above the boat count",IF(SUMIFS($F$5:$F$1004,$B$5:$B$1004,B800,$C$5:$C$1004,C800)&gt;1.0001,"Shares for this step add up to over 100%",IF(I800="","Waiting for sign-off",IF(AND(Settings!$B$10="Yes",I800=E800),"Needs a different member to sign off","OK"))))))</f>
        <v/>
      </c>
    </row>
    <row r="801">
      <c r="A801" s="9" t="n"/>
      <c r="B801" s="6" t="n"/>
      <c r="C801" s="6" t="n"/>
      <c r="D801" s="3">
        <f>IF(C801="","",IFERROR(INDEX(Steps!$C$5:$C$62,MATCH(C801,Steps!$A$5:$A$62,0)),""))</f>
        <v/>
      </c>
      <c r="E801" s="6" t="n"/>
      <c r="F801" s="8" t="n"/>
      <c r="G801" s="6" t="n"/>
      <c r="H801" s="7" t="n"/>
      <c r="I801" s="6" t="n"/>
      <c r="J801" s="9" t="n"/>
      <c r="K801" s="11">
        <f>IF(C801="","",N(IFERROR(INDEX(Steps!$E$5:$E$62,MATCH(C801,Steps!$A$5:$A$62,0)),"")))</f>
        <v/>
      </c>
      <c r="L801" s="11">
        <f>IF(AND(C801&lt;&gt;"",E801&lt;&gt;"",I801&lt;&gt;"",OR(Settings!$B$10="No",I801&lt;&gt;E801)),K801*F801,0)</f>
        <v/>
      </c>
      <c r="M801" s="11">
        <f>IF(AND(AND(C801&lt;&gt;"",E801&lt;&gt;"",I801&lt;&gt;"",OR(Settings!$B$10="No",I801&lt;&gt;E801)),G801="Paid a pro",Settings!$B$9="Yes"),MAX(0,H801-K801*F801),0)</f>
        <v/>
      </c>
      <c r="N801" s="3">
        <f>IF(C801="","",IF(B801="","Enter the boat number",IF(B801&gt;Settings!$B$6,"Boat number above the boat count",IF(SUMIFS($F$5:$F$1004,$B$5:$B$1004,B801,$C$5:$C$1004,C801)&gt;1.0001,"Shares for this step add up to over 100%",IF(I801="","Waiting for sign-off",IF(AND(Settings!$B$10="Yes",I801=E801),"Needs a different member to sign off","OK"))))))</f>
        <v/>
      </c>
    </row>
    <row r="802">
      <c r="A802" s="9" t="n"/>
      <c r="B802" s="6" t="n"/>
      <c r="C802" s="6" t="n"/>
      <c r="D802" s="3">
        <f>IF(C802="","",IFERROR(INDEX(Steps!$C$5:$C$62,MATCH(C802,Steps!$A$5:$A$62,0)),""))</f>
        <v/>
      </c>
      <c r="E802" s="6" t="n"/>
      <c r="F802" s="8" t="n"/>
      <c r="G802" s="6" t="n"/>
      <c r="H802" s="7" t="n"/>
      <c r="I802" s="6" t="n"/>
      <c r="J802" s="9" t="n"/>
      <c r="K802" s="11">
        <f>IF(C802="","",N(IFERROR(INDEX(Steps!$E$5:$E$62,MATCH(C802,Steps!$A$5:$A$62,0)),"")))</f>
        <v/>
      </c>
      <c r="L802" s="11">
        <f>IF(AND(C802&lt;&gt;"",E802&lt;&gt;"",I802&lt;&gt;"",OR(Settings!$B$10="No",I802&lt;&gt;E802)),K802*F802,0)</f>
        <v/>
      </c>
      <c r="M802" s="11">
        <f>IF(AND(AND(C802&lt;&gt;"",E802&lt;&gt;"",I802&lt;&gt;"",OR(Settings!$B$10="No",I802&lt;&gt;E802)),G802="Paid a pro",Settings!$B$9="Yes"),MAX(0,H802-K802*F802),0)</f>
        <v/>
      </c>
      <c r="N802" s="3">
        <f>IF(C802="","",IF(B802="","Enter the boat number",IF(B802&gt;Settings!$B$6,"Boat number above the boat count",IF(SUMIFS($F$5:$F$1004,$B$5:$B$1004,B802,$C$5:$C$1004,C802)&gt;1.0001,"Shares for this step add up to over 100%",IF(I802="","Waiting for sign-off",IF(AND(Settings!$B$10="Yes",I802=E802),"Needs a different member to sign off","OK"))))))</f>
        <v/>
      </c>
    </row>
    <row r="803">
      <c r="A803" s="9" t="n"/>
      <c r="B803" s="6" t="n"/>
      <c r="C803" s="6" t="n"/>
      <c r="D803" s="3">
        <f>IF(C803="","",IFERROR(INDEX(Steps!$C$5:$C$62,MATCH(C803,Steps!$A$5:$A$62,0)),""))</f>
        <v/>
      </c>
      <c r="E803" s="6" t="n"/>
      <c r="F803" s="8" t="n"/>
      <c r="G803" s="6" t="n"/>
      <c r="H803" s="7" t="n"/>
      <c r="I803" s="6" t="n"/>
      <c r="J803" s="9" t="n"/>
      <c r="K803" s="11">
        <f>IF(C803="","",N(IFERROR(INDEX(Steps!$E$5:$E$62,MATCH(C803,Steps!$A$5:$A$62,0)),"")))</f>
        <v/>
      </c>
      <c r="L803" s="11">
        <f>IF(AND(C803&lt;&gt;"",E803&lt;&gt;"",I803&lt;&gt;"",OR(Settings!$B$10="No",I803&lt;&gt;E803)),K803*F803,0)</f>
        <v/>
      </c>
      <c r="M803" s="11">
        <f>IF(AND(AND(C803&lt;&gt;"",E803&lt;&gt;"",I803&lt;&gt;"",OR(Settings!$B$10="No",I803&lt;&gt;E803)),G803="Paid a pro",Settings!$B$9="Yes"),MAX(0,H803-K803*F803),0)</f>
        <v/>
      </c>
      <c r="N803" s="3">
        <f>IF(C803="","",IF(B803="","Enter the boat number",IF(B803&gt;Settings!$B$6,"Boat number above the boat count",IF(SUMIFS($F$5:$F$1004,$B$5:$B$1004,B803,$C$5:$C$1004,C803)&gt;1.0001,"Shares for this step add up to over 100%",IF(I803="","Waiting for sign-off",IF(AND(Settings!$B$10="Yes",I803=E803),"Needs a different member to sign off","OK"))))))</f>
        <v/>
      </c>
    </row>
    <row r="804">
      <c r="A804" s="9" t="n"/>
      <c r="B804" s="6" t="n"/>
      <c r="C804" s="6" t="n"/>
      <c r="D804" s="3">
        <f>IF(C804="","",IFERROR(INDEX(Steps!$C$5:$C$62,MATCH(C804,Steps!$A$5:$A$62,0)),""))</f>
        <v/>
      </c>
      <c r="E804" s="6" t="n"/>
      <c r="F804" s="8" t="n"/>
      <c r="G804" s="6" t="n"/>
      <c r="H804" s="7" t="n"/>
      <c r="I804" s="6" t="n"/>
      <c r="J804" s="9" t="n"/>
      <c r="K804" s="11">
        <f>IF(C804="","",N(IFERROR(INDEX(Steps!$E$5:$E$62,MATCH(C804,Steps!$A$5:$A$62,0)),"")))</f>
        <v/>
      </c>
      <c r="L804" s="11">
        <f>IF(AND(C804&lt;&gt;"",E804&lt;&gt;"",I804&lt;&gt;"",OR(Settings!$B$10="No",I804&lt;&gt;E804)),K804*F804,0)</f>
        <v/>
      </c>
      <c r="M804" s="11">
        <f>IF(AND(AND(C804&lt;&gt;"",E804&lt;&gt;"",I804&lt;&gt;"",OR(Settings!$B$10="No",I804&lt;&gt;E804)),G804="Paid a pro",Settings!$B$9="Yes"),MAX(0,H804-K804*F804),0)</f>
        <v/>
      </c>
      <c r="N804" s="3">
        <f>IF(C804="","",IF(B804="","Enter the boat number",IF(B804&gt;Settings!$B$6,"Boat number above the boat count",IF(SUMIFS($F$5:$F$1004,$B$5:$B$1004,B804,$C$5:$C$1004,C804)&gt;1.0001,"Shares for this step add up to over 100%",IF(I804="","Waiting for sign-off",IF(AND(Settings!$B$10="Yes",I804=E804),"Needs a different member to sign off","OK"))))))</f>
        <v/>
      </c>
    </row>
    <row r="805">
      <c r="A805" s="9" t="n"/>
      <c r="B805" s="6" t="n"/>
      <c r="C805" s="6" t="n"/>
      <c r="D805" s="3">
        <f>IF(C805="","",IFERROR(INDEX(Steps!$C$5:$C$62,MATCH(C805,Steps!$A$5:$A$62,0)),""))</f>
        <v/>
      </c>
      <c r="E805" s="6" t="n"/>
      <c r="F805" s="8" t="n"/>
      <c r="G805" s="6" t="n"/>
      <c r="H805" s="7" t="n"/>
      <c r="I805" s="6" t="n"/>
      <c r="J805" s="9" t="n"/>
      <c r="K805" s="11">
        <f>IF(C805="","",N(IFERROR(INDEX(Steps!$E$5:$E$62,MATCH(C805,Steps!$A$5:$A$62,0)),"")))</f>
        <v/>
      </c>
      <c r="L805" s="11">
        <f>IF(AND(C805&lt;&gt;"",E805&lt;&gt;"",I805&lt;&gt;"",OR(Settings!$B$10="No",I805&lt;&gt;E805)),K805*F805,0)</f>
        <v/>
      </c>
      <c r="M805" s="11">
        <f>IF(AND(AND(C805&lt;&gt;"",E805&lt;&gt;"",I805&lt;&gt;"",OR(Settings!$B$10="No",I805&lt;&gt;E805)),G805="Paid a pro",Settings!$B$9="Yes"),MAX(0,H805-K805*F805),0)</f>
        <v/>
      </c>
      <c r="N805" s="3">
        <f>IF(C805="","",IF(B805="","Enter the boat number",IF(B805&gt;Settings!$B$6,"Boat number above the boat count",IF(SUMIFS($F$5:$F$1004,$B$5:$B$1004,B805,$C$5:$C$1004,C805)&gt;1.0001,"Shares for this step add up to over 100%",IF(I805="","Waiting for sign-off",IF(AND(Settings!$B$10="Yes",I805=E805),"Needs a different member to sign off","OK"))))))</f>
        <v/>
      </c>
    </row>
    <row r="806">
      <c r="A806" s="9" t="n"/>
      <c r="B806" s="6" t="n"/>
      <c r="C806" s="6" t="n"/>
      <c r="D806" s="3">
        <f>IF(C806="","",IFERROR(INDEX(Steps!$C$5:$C$62,MATCH(C806,Steps!$A$5:$A$62,0)),""))</f>
        <v/>
      </c>
      <c r="E806" s="6" t="n"/>
      <c r="F806" s="8" t="n"/>
      <c r="G806" s="6" t="n"/>
      <c r="H806" s="7" t="n"/>
      <c r="I806" s="6" t="n"/>
      <c r="J806" s="9" t="n"/>
      <c r="K806" s="11">
        <f>IF(C806="","",N(IFERROR(INDEX(Steps!$E$5:$E$62,MATCH(C806,Steps!$A$5:$A$62,0)),"")))</f>
        <v/>
      </c>
      <c r="L806" s="11">
        <f>IF(AND(C806&lt;&gt;"",E806&lt;&gt;"",I806&lt;&gt;"",OR(Settings!$B$10="No",I806&lt;&gt;E806)),K806*F806,0)</f>
        <v/>
      </c>
      <c r="M806" s="11">
        <f>IF(AND(AND(C806&lt;&gt;"",E806&lt;&gt;"",I806&lt;&gt;"",OR(Settings!$B$10="No",I806&lt;&gt;E806)),G806="Paid a pro",Settings!$B$9="Yes"),MAX(0,H806-K806*F806),0)</f>
        <v/>
      </c>
      <c r="N806" s="3">
        <f>IF(C806="","",IF(B806="","Enter the boat number",IF(B806&gt;Settings!$B$6,"Boat number above the boat count",IF(SUMIFS($F$5:$F$1004,$B$5:$B$1004,B806,$C$5:$C$1004,C806)&gt;1.0001,"Shares for this step add up to over 100%",IF(I806="","Waiting for sign-off",IF(AND(Settings!$B$10="Yes",I806=E806),"Needs a different member to sign off","OK"))))))</f>
        <v/>
      </c>
    </row>
    <row r="807">
      <c r="A807" s="9" t="n"/>
      <c r="B807" s="6" t="n"/>
      <c r="C807" s="6" t="n"/>
      <c r="D807" s="3">
        <f>IF(C807="","",IFERROR(INDEX(Steps!$C$5:$C$62,MATCH(C807,Steps!$A$5:$A$62,0)),""))</f>
        <v/>
      </c>
      <c r="E807" s="6" t="n"/>
      <c r="F807" s="8" t="n"/>
      <c r="G807" s="6" t="n"/>
      <c r="H807" s="7" t="n"/>
      <c r="I807" s="6" t="n"/>
      <c r="J807" s="9" t="n"/>
      <c r="K807" s="11">
        <f>IF(C807="","",N(IFERROR(INDEX(Steps!$E$5:$E$62,MATCH(C807,Steps!$A$5:$A$62,0)),"")))</f>
        <v/>
      </c>
      <c r="L807" s="11">
        <f>IF(AND(C807&lt;&gt;"",E807&lt;&gt;"",I807&lt;&gt;"",OR(Settings!$B$10="No",I807&lt;&gt;E807)),K807*F807,0)</f>
        <v/>
      </c>
      <c r="M807" s="11">
        <f>IF(AND(AND(C807&lt;&gt;"",E807&lt;&gt;"",I807&lt;&gt;"",OR(Settings!$B$10="No",I807&lt;&gt;E807)),G807="Paid a pro",Settings!$B$9="Yes"),MAX(0,H807-K807*F807),0)</f>
        <v/>
      </c>
      <c r="N807" s="3">
        <f>IF(C807="","",IF(B807="","Enter the boat number",IF(B807&gt;Settings!$B$6,"Boat number above the boat count",IF(SUMIFS($F$5:$F$1004,$B$5:$B$1004,B807,$C$5:$C$1004,C807)&gt;1.0001,"Shares for this step add up to over 100%",IF(I807="","Waiting for sign-off",IF(AND(Settings!$B$10="Yes",I807=E807),"Needs a different member to sign off","OK"))))))</f>
        <v/>
      </c>
    </row>
    <row r="808">
      <c r="A808" s="9" t="n"/>
      <c r="B808" s="6" t="n"/>
      <c r="C808" s="6" t="n"/>
      <c r="D808" s="3">
        <f>IF(C808="","",IFERROR(INDEX(Steps!$C$5:$C$62,MATCH(C808,Steps!$A$5:$A$62,0)),""))</f>
        <v/>
      </c>
      <c r="E808" s="6" t="n"/>
      <c r="F808" s="8" t="n"/>
      <c r="G808" s="6" t="n"/>
      <c r="H808" s="7" t="n"/>
      <c r="I808" s="6" t="n"/>
      <c r="J808" s="9" t="n"/>
      <c r="K808" s="11">
        <f>IF(C808="","",N(IFERROR(INDEX(Steps!$E$5:$E$62,MATCH(C808,Steps!$A$5:$A$62,0)),"")))</f>
        <v/>
      </c>
      <c r="L808" s="11">
        <f>IF(AND(C808&lt;&gt;"",E808&lt;&gt;"",I808&lt;&gt;"",OR(Settings!$B$10="No",I808&lt;&gt;E808)),K808*F808,0)</f>
        <v/>
      </c>
      <c r="M808" s="11">
        <f>IF(AND(AND(C808&lt;&gt;"",E808&lt;&gt;"",I808&lt;&gt;"",OR(Settings!$B$10="No",I808&lt;&gt;E808)),G808="Paid a pro",Settings!$B$9="Yes"),MAX(0,H808-K808*F808),0)</f>
        <v/>
      </c>
      <c r="N808" s="3">
        <f>IF(C808="","",IF(B808="","Enter the boat number",IF(B808&gt;Settings!$B$6,"Boat number above the boat count",IF(SUMIFS($F$5:$F$1004,$B$5:$B$1004,B808,$C$5:$C$1004,C808)&gt;1.0001,"Shares for this step add up to over 100%",IF(I808="","Waiting for sign-off",IF(AND(Settings!$B$10="Yes",I808=E808),"Needs a different member to sign off","OK"))))))</f>
        <v/>
      </c>
    </row>
    <row r="809">
      <c r="A809" s="9" t="n"/>
      <c r="B809" s="6" t="n"/>
      <c r="C809" s="6" t="n"/>
      <c r="D809" s="3">
        <f>IF(C809="","",IFERROR(INDEX(Steps!$C$5:$C$62,MATCH(C809,Steps!$A$5:$A$62,0)),""))</f>
        <v/>
      </c>
      <c r="E809" s="6" t="n"/>
      <c r="F809" s="8" t="n"/>
      <c r="G809" s="6" t="n"/>
      <c r="H809" s="7" t="n"/>
      <c r="I809" s="6" t="n"/>
      <c r="J809" s="9" t="n"/>
      <c r="K809" s="11">
        <f>IF(C809="","",N(IFERROR(INDEX(Steps!$E$5:$E$62,MATCH(C809,Steps!$A$5:$A$62,0)),"")))</f>
        <v/>
      </c>
      <c r="L809" s="11">
        <f>IF(AND(C809&lt;&gt;"",E809&lt;&gt;"",I809&lt;&gt;"",OR(Settings!$B$10="No",I809&lt;&gt;E809)),K809*F809,0)</f>
        <v/>
      </c>
      <c r="M809" s="11">
        <f>IF(AND(AND(C809&lt;&gt;"",E809&lt;&gt;"",I809&lt;&gt;"",OR(Settings!$B$10="No",I809&lt;&gt;E809)),G809="Paid a pro",Settings!$B$9="Yes"),MAX(0,H809-K809*F809),0)</f>
        <v/>
      </c>
      <c r="N809" s="3">
        <f>IF(C809="","",IF(B809="","Enter the boat number",IF(B809&gt;Settings!$B$6,"Boat number above the boat count",IF(SUMIFS($F$5:$F$1004,$B$5:$B$1004,B809,$C$5:$C$1004,C809)&gt;1.0001,"Shares for this step add up to over 100%",IF(I809="","Waiting for sign-off",IF(AND(Settings!$B$10="Yes",I809=E809),"Needs a different member to sign off","OK"))))))</f>
        <v/>
      </c>
    </row>
    <row r="810">
      <c r="A810" s="9" t="n"/>
      <c r="B810" s="6" t="n"/>
      <c r="C810" s="6" t="n"/>
      <c r="D810" s="3">
        <f>IF(C810="","",IFERROR(INDEX(Steps!$C$5:$C$62,MATCH(C810,Steps!$A$5:$A$62,0)),""))</f>
        <v/>
      </c>
      <c r="E810" s="6" t="n"/>
      <c r="F810" s="8" t="n"/>
      <c r="G810" s="6" t="n"/>
      <c r="H810" s="7" t="n"/>
      <c r="I810" s="6" t="n"/>
      <c r="J810" s="9" t="n"/>
      <c r="K810" s="11">
        <f>IF(C810="","",N(IFERROR(INDEX(Steps!$E$5:$E$62,MATCH(C810,Steps!$A$5:$A$62,0)),"")))</f>
        <v/>
      </c>
      <c r="L810" s="11">
        <f>IF(AND(C810&lt;&gt;"",E810&lt;&gt;"",I810&lt;&gt;"",OR(Settings!$B$10="No",I810&lt;&gt;E810)),K810*F810,0)</f>
        <v/>
      </c>
      <c r="M810" s="11">
        <f>IF(AND(AND(C810&lt;&gt;"",E810&lt;&gt;"",I810&lt;&gt;"",OR(Settings!$B$10="No",I810&lt;&gt;E810)),G810="Paid a pro",Settings!$B$9="Yes"),MAX(0,H810-K810*F810),0)</f>
        <v/>
      </c>
      <c r="N810" s="3">
        <f>IF(C810="","",IF(B810="","Enter the boat number",IF(B810&gt;Settings!$B$6,"Boat number above the boat count",IF(SUMIFS($F$5:$F$1004,$B$5:$B$1004,B810,$C$5:$C$1004,C810)&gt;1.0001,"Shares for this step add up to over 100%",IF(I810="","Waiting for sign-off",IF(AND(Settings!$B$10="Yes",I810=E810),"Needs a different member to sign off","OK"))))))</f>
        <v/>
      </c>
    </row>
    <row r="811">
      <c r="A811" s="9" t="n"/>
      <c r="B811" s="6" t="n"/>
      <c r="C811" s="6" t="n"/>
      <c r="D811" s="3">
        <f>IF(C811="","",IFERROR(INDEX(Steps!$C$5:$C$62,MATCH(C811,Steps!$A$5:$A$62,0)),""))</f>
        <v/>
      </c>
      <c r="E811" s="6" t="n"/>
      <c r="F811" s="8" t="n"/>
      <c r="G811" s="6" t="n"/>
      <c r="H811" s="7" t="n"/>
      <c r="I811" s="6" t="n"/>
      <c r="J811" s="9" t="n"/>
      <c r="K811" s="11">
        <f>IF(C811="","",N(IFERROR(INDEX(Steps!$E$5:$E$62,MATCH(C811,Steps!$A$5:$A$62,0)),"")))</f>
        <v/>
      </c>
      <c r="L811" s="11">
        <f>IF(AND(C811&lt;&gt;"",E811&lt;&gt;"",I811&lt;&gt;"",OR(Settings!$B$10="No",I811&lt;&gt;E811)),K811*F811,0)</f>
        <v/>
      </c>
      <c r="M811" s="11">
        <f>IF(AND(AND(C811&lt;&gt;"",E811&lt;&gt;"",I811&lt;&gt;"",OR(Settings!$B$10="No",I811&lt;&gt;E811)),G811="Paid a pro",Settings!$B$9="Yes"),MAX(0,H811-K811*F811),0)</f>
        <v/>
      </c>
      <c r="N811" s="3">
        <f>IF(C811="","",IF(B811="","Enter the boat number",IF(B811&gt;Settings!$B$6,"Boat number above the boat count",IF(SUMIFS($F$5:$F$1004,$B$5:$B$1004,B811,$C$5:$C$1004,C811)&gt;1.0001,"Shares for this step add up to over 100%",IF(I811="","Waiting for sign-off",IF(AND(Settings!$B$10="Yes",I811=E811),"Needs a different member to sign off","OK"))))))</f>
        <v/>
      </c>
    </row>
    <row r="812">
      <c r="A812" s="9" t="n"/>
      <c r="B812" s="6" t="n"/>
      <c r="C812" s="6" t="n"/>
      <c r="D812" s="3">
        <f>IF(C812="","",IFERROR(INDEX(Steps!$C$5:$C$62,MATCH(C812,Steps!$A$5:$A$62,0)),""))</f>
        <v/>
      </c>
      <c r="E812" s="6" t="n"/>
      <c r="F812" s="8" t="n"/>
      <c r="G812" s="6" t="n"/>
      <c r="H812" s="7" t="n"/>
      <c r="I812" s="6" t="n"/>
      <c r="J812" s="9" t="n"/>
      <c r="K812" s="11">
        <f>IF(C812="","",N(IFERROR(INDEX(Steps!$E$5:$E$62,MATCH(C812,Steps!$A$5:$A$62,0)),"")))</f>
        <v/>
      </c>
      <c r="L812" s="11">
        <f>IF(AND(C812&lt;&gt;"",E812&lt;&gt;"",I812&lt;&gt;"",OR(Settings!$B$10="No",I812&lt;&gt;E812)),K812*F812,0)</f>
        <v/>
      </c>
      <c r="M812" s="11">
        <f>IF(AND(AND(C812&lt;&gt;"",E812&lt;&gt;"",I812&lt;&gt;"",OR(Settings!$B$10="No",I812&lt;&gt;E812)),G812="Paid a pro",Settings!$B$9="Yes"),MAX(0,H812-K812*F812),0)</f>
        <v/>
      </c>
      <c r="N812" s="3">
        <f>IF(C812="","",IF(B812="","Enter the boat number",IF(B812&gt;Settings!$B$6,"Boat number above the boat count",IF(SUMIFS($F$5:$F$1004,$B$5:$B$1004,B812,$C$5:$C$1004,C812)&gt;1.0001,"Shares for this step add up to over 100%",IF(I812="","Waiting for sign-off",IF(AND(Settings!$B$10="Yes",I812=E812),"Needs a different member to sign off","OK"))))))</f>
        <v/>
      </c>
    </row>
    <row r="813">
      <c r="A813" s="9" t="n"/>
      <c r="B813" s="6" t="n"/>
      <c r="C813" s="6" t="n"/>
      <c r="D813" s="3">
        <f>IF(C813="","",IFERROR(INDEX(Steps!$C$5:$C$62,MATCH(C813,Steps!$A$5:$A$62,0)),""))</f>
        <v/>
      </c>
      <c r="E813" s="6" t="n"/>
      <c r="F813" s="8" t="n"/>
      <c r="G813" s="6" t="n"/>
      <c r="H813" s="7" t="n"/>
      <c r="I813" s="6" t="n"/>
      <c r="J813" s="9" t="n"/>
      <c r="K813" s="11">
        <f>IF(C813="","",N(IFERROR(INDEX(Steps!$E$5:$E$62,MATCH(C813,Steps!$A$5:$A$62,0)),"")))</f>
        <v/>
      </c>
      <c r="L813" s="11">
        <f>IF(AND(C813&lt;&gt;"",E813&lt;&gt;"",I813&lt;&gt;"",OR(Settings!$B$10="No",I813&lt;&gt;E813)),K813*F813,0)</f>
        <v/>
      </c>
      <c r="M813" s="11">
        <f>IF(AND(AND(C813&lt;&gt;"",E813&lt;&gt;"",I813&lt;&gt;"",OR(Settings!$B$10="No",I813&lt;&gt;E813)),G813="Paid a pro",Settings!$B$9="Yes"),MAX(0,H813-K813*F813),0)</f>
        <v/>
      </c>
      <c r="N813" s="3">
        <f>IF(C813="","",IF(B813="","Enter the boat number",IF(B813&gt;Settings!$B$6,"Boat number above the boat count",IF(SUMIFS($F$5:$F$1004,$B$5:$B$1004,B813,$C$5:$C$1004,C813)&gt;1.0001,"Shares for this step add up to over 100%",IF(I813="","Waiting for sign-off",IF(AND(Settings!$B$10="Yes",I813=E813),"Needs a different member to sign off","OK"))))))</f>
        <v/>
      </c>
    </row>
    <row r="814">
      <c r="A814" s="9" t="n"/>
      <c r="B814" s="6" t="n"/>
      <c r="C814" s="6" t="n"/>
      <c r="D814" s="3">
        <f>IF(C814="","",IFERROR(INDEX(Steps!$C$5:$C$62,MATCH(C814,Steps!$A$5:$A$62,0)),""))</f>
        <v/>
      </c>
      <c r="E814" s="6" t="n"/>
      <c r="F814" s="8" t="n"/>
      <c r="G814" s="6" t="n"/>
      <c r="H814" s="7" t="n"/>
      <c r="I814" s="6" t="n"/>
      <c r="J814" s="9" t="n"/>
      <c r="K814" s="11">
        <f>IF(C814="","",N(IFERROR(INDEX(Steps!$E$5:$E$62,MATCH(C814,Steps!$A$5:$A$62,0)),"")))</f>
        <v/>
      </c>
      <c r="L814" s="11">
        <f>IF(AND(C814&lt;&gt;"",E814&lt;&gt;"",I814&lt;&gt;"",OR(Settings!$B$10="No",I814&lt;&gt;E814)),K814*F814,0)</f>
        <v/>
      </c>
      <c r="M814" s="11">
        <f>IF(AND(AND(C814&lt;&gt;"",E814&lt;&gt;"",I814&lt;&gt;"",OR(Settings!$B$10="No",I814&lt;&gt;E814)),G814="Paid a pro",Settings!$B$9="Yes"),MAX(0,H814-K814*F814),0)</f>
        <v/>
      </c>
      <c r="N814" s="3">
        <f>IF(C814="","",IF(B814="","Enter the boat number",IF(B814&gt;Settings!$B$6,"Boat number above the boat count",IF(SUMIFS($F$5:$F$1004,$B$5:$B$1004,B814,$C$5:$C$1004,C814)&gt;1.0001,"Shares for this step add up to over 100%",IF(I814="","Waiting for sign-off",IF(AND(Settings!$B$10="Yes",I814=E814),"Needs a different member to sign off","OK"))))))</f>
        <v/>
      </c>
    </row>
    <row r="815">
      <c r="A815" s="9" t="n"/>
      <c r="B815" s="6" t="n"/>
      <c r="C815" s="6" t="n"/>
      <c r="D815" s="3">
        <f>IF(C815="","",IFERROR(INDEX(Steps!$C$5:$C$62,MATCH(C815,Steps!$A$5:$A$62,0)),""))</f>
        <v/>
      </c>
      <c r="E815" s="6" t="n"/>
      <c r="F815" s="8" t="n"/>
      <c r="G815" s="6" t="n"/>
      <c r="H815" s="7" t="n"/>
      <c r="I815" s="6" t="n"/>
      <c r="J815" s="9" t="n"/>
      <c r="K815" s="11">
        <f>IF(C815="","",N(IFERROR(INDEX(Steps!$E$5:$E$62,MATCH(C815,Steps!$A$5:$A$62,0)),"")))</f>
        <v/>
      </c>
      <c r="L815" s="11">
        <f>IF(AND(C815&lt;&gt;"",E815&lt;&gt;"",I815&lt;&gt;"",OR(Settings!$B$10="No",I815&lt;&gt;E815)),K815*F815,0)</f>
        <v/>
      </c>
      <c r="M815" s="11">
        <f>IF(AND(AND(C815&lt;&gt;"",E815&lt;&gt;"",I815&lt;&gt;"",OR(Settings!$B$10="No",I815&lt;&gt;E815)),G815="Paid a pro",Settings!$B$9="Yes"),MAX(0,H815-K815*F815),0)</f>
        <v/>
      </c>
      <c r="N815" s="3">
        <f>IF(C815="","",IF(B815="","Enter the boat number",IF(B815&gt;Settings!$B$6,"Boat number above the boat count",IF(SUMIFS($F$5:$F$1004,$B$5:$B$1004,B815,$C$5:$C$1004,C815)&gt;1.0001,"Shares for this step add up to over 100%",IF(I815="","Waiting for sign-off",IF(AND(Settings!$B$10="Yes",I815=E815),"Needs a different member to sign off","OK"))))))</f>
        <v/>
      </c>
    </row>
    <row r="816">
      <c r="A816" s="9" t="n"/>
      <c r="B816" s="6" t="n"/>
      <c r="C816" s="6" t="n"/>
      <c r="D816" s="3">
        <f>IF(C816="","",IFERROR(INDEX(Steps!$C$5:$C$62,MATCH(C816,Steps!$A$5:$A$62,0)),""))</f>
        <v/>
      </c>
      <c r="E816" s="6" t="n"/>
      <c r="F816" s="8" t="n"/>
      <c r="G816" s="6" t="n"/>
      <c r="H816" s="7" t="n"/>
      <c r="I816" s="6" t="n"/>
      <c r="J816" s="9" t="n"/>
      <c r="K816" s="11">
        <f>IF(C816="","",N(IFERROR(INDEX(Steps!$E$5:$E$62,MATCH(C816,Steps!$A$5:$A$62,0)),"")))</f>
        <v/>
      </c>
      <c r="L816" s="11">
        <f>IF(AND(C816&lt;&gt;"",E816&lt;&gt;"",I816&lt;&gt;"",OR(Settings!$B$10="No",I816&lt;&gt;E816)),K816*F816,0)</f>
        <v/>
      </c>
      <c r="M816" s="11">
        <f>IF(AND(AND(C816&lt;&gt;"",E816&lt;&gt;"",I816&lt;&gt;"",OR(Settings!$B$10="No",I816&lt;&gt;E816)),G816="Paid a pro",Settings!$B$9="Yes"),MAX(0,H816-K816*F816),0)</f>
        <v/>
      </c>
      <c r="N816" s="3">
        <f>IF(C816="","",IF(B816="","Enter the boat number",IF(B816&gt;Settings!$B$6,"Boat number above the boat count",IF(SUMIFS($F$5:$F$1004,$B$5:$B$1004,B816,$C$5:$C$1004,C816)&gt;1.0001,"Shares for this step add up to over 100%",IF(I816="","Waiting for sign-off",IF(AND(Settings!$B$10="Yes",I816=E816),"Needs a different member to sign off","OK"))))))</f>
        <v/>
      </c>
    </row>
    <row r="817">
      <c r="A817" s="9" t="n"/>
      <c r="B817" s="6" t="n"/>
      <c r="C817" s="6" t="n"/>
      <c r="D817" s="3">
        <f>IF(C817="","",IFERROR(INDEX(Steps!$C$5:$C$62,MATCH(C817,Steps!$A$5:$A$62,0)),""))</f>
        <v/>
      </c>
      <c r="E817" s="6" t="n"/>
      <c r="F817" s="8" t="n"/>
      <c r="G817" s="6" t="n"/>
      <c r="H817" s="7" t="n"/>
      <c r="I817" s="6" t="n"/>
      <c r="J817" s="9" t="n"/>
      <c r="K817" s="11">
        <f>IF(C817="","",N(IFERROR(INDEX(Steps!$E$5:$E$62,MATCH(C817,Steps!$A$5:$A$62,0)),"")))</f>
        <v/>
      </c>
      <c r="L817" s="11">
        <f>IF(AND(C817&lt;&gt;"",E817&lt;&gt;"",I817&lt;&gt;"",OR(Settings!$B$10="No",I817&lt;&gt;E817)),K817*F817,0)</f>
        <v/>
      </c>
      <c r="M817" s="11">
        <f>IF(AND(AND(C817&lt;&gt;"",E817&lt;&gt;"",I817&lt;&gt;"",OR(Settings!$B$10="No",I817&lt;&gt;E817)),G817="Paid a pro",Settings!$B$9="Yes"),MAX(0,H817-K817*F817),0)</f>
        <v/>
      </c>
      <c r="N817" s="3">
        <f>IF(C817="","",IF(B817="","Enter the boat number",IF(B817&gt;Settings!$B$6,"Boat number above the boat count",IF(SUMIFS($F$5:$F$1004,$B$5:$B$1004,B817,$C$5:$C$1004,C817)&gt;1.0001,"Shares for this step add up to over 100%",IF(I817="","Waiting for sign-off",IF(AND(Settings!$B$10="Yes",I817=E817),"Needs a different member to sign off","OK"))))))</f>
        <v/>
      </c>
    </row>
    <row r="818">
      <c r="A818" s="9" t="n"/>
      <c r="B818" s="6" t="n"/>
      <c r="C818" s="6" t="n"/>
      <c r="D818" s="3">
        <f>IF(C818="","",IFERROR(INDEX(Steps!$C$5:$C$62,MATCH(C818,Steps!$A$5:$A$62,0)),""))</f>
        <v/>
      </c>
      <c r="E818" s="6" t="n"/>
      <c r="F818" s="8" t="n"/>
      <c r="G818" s="6" t="n"/>
      <c r="H818" s="7" t="n"/>
      <c r="I818" s="6" t="n"/>
      <c r="J818" s="9" t="n"/>
      <c r="K818" s="11">
        <f>IF(C818="","",N(IFERROR(INDEX(Steps!$E$5:$E$62,MATCH(C818,Steps!$A$5:$A$62,0)),"")))</f>
        <v/>
      </c>
      <c r="L818" s="11">
        <f>IF(AND(C818&lt;&gt;"",E818&lt;&gt;"",I818&lt;&gt;"",OR(Settings!$B$10="No",I818&lt;&gt;E818)),K818*F818,0)</f>
        <v/>
      </c>
      <c r="M818" s="11">
        <f>IF(AND(AND(C818&lt;&gt;"",E818&lt;&gt;"",I818&lt;&gt;"",OR(Settings!$B$10="No",I818&lt;&gt;E818)),G818="Paid a pro",Settings!$B$9="Yes"),MAX(0,H818-K818*F818),0)</f>
        <v/>
      </c>
      <c r="N818" s="3">
        <f>IF(C818="","",IF(B818="","Enter the boat number",IF(B818&gt;Settings!$B$6,"Boat number above the boat count",IF(SUMIFS($F$5:$F$1004,$B$5:$B$1004,B818,$C$5:$C$1004,C818)&gt;1.0001,"Shares for this step add up to over 100%",IF(I818="","Waiting for sign-off",IF(AND(Settings!$B$10="Yes",I818=E818),"Needs a different member to sign off","OK"))))))</f>
        <v/>
      </c>
    </row>
    <row r="819">
      <c r="A819" s="9" t="n"/>
      <c r="B819" s="6" t="n"/>
      <c r="C819" s="6" t="n"/>
      <c r="D819" s="3">
        <f>IF(C819="","",IFERROR(INDEX(Steps!$C$5:$C$62,MATCH(C819,Steps!$A$5:$A$62,0)),""))</f>
        <v/>
      </c>
      <c r="E819" s="6" t="n"/>
      <c r="F819" s="8" t="n"/>
      <c r="G819" s="6" t="n"/>
      <c r="H819" s="7" t="n"/>
      <c r="I819" s="6" t="n"/>
      <c r="J819" s="9" t="n"/>
      <c r="K819" s="11">
        <f>IF(C819="","",N(IFERROR(INDEX(Steps!$E$5:$E$62,MATCH(C819,Steps!$A$5:$A$62,0)),"")))</f>
        <v/>
      </c>
      <c r="L819" s="11">
        <f>IF(AND(C819&lt;&gt;"",E819&lt;&gt;"",I819&lt;&gt;"",OR(Settings!$B$10="No",I819&lt;&gt;E819)),K819*F819,0)</f>
        <v/>
      </c>
      <c r="M819" s="11">
        <f>IF(AND(AND(C819&lt;&gt;"",E819&lt;&gt;"",I819&lt;&gt;"",OR(Settings!$B$10="No",I819&lt;&gt;E819)),G819="Paid a pro",Settings!$B$9="Yes"),MAX(0,H819-K819*F819),0)</f>
        <v/>
      </c>
      <c r="N819" s="3">
        <f>IF(C819="","",IF(B819="","Enter the boat number",IF(B819&gt;Settings!$B$6,"Boat number above the boat count",IF(SUMIFS($F$5:$F$1004,$B$5:$B$1004,B819,$C$5:$C$1004,C819)&gt;1.0001,"Shares for this step add up to over 100%",IF(I819="","Waiting for sign-off",IF(AND(Settings!$B$10="Yes",I819=E819),"Needs a different member to sign off","OK"))))))</f>
        <v/>
      </c>
    </row>
    <row r="820">
      <c r="A820" s="9" t="n"/>
      <c r="B820" s="6" t="n"/>
      <c r="C820" s="6" t="n"/>
      <c r="D820" s="3">
        <f>IF(C820="","",IFERROR(INDEX(Steps!$C$5:$C$62,MATCH(C820,Steps!$A$5:$A$62,0)),""))</f>
        <v/>
      </c>
      <c r="E820" s="6" t="n"/>
      <c r="F820" s="8" t="n"/>
      <c r="G820" s="6" t="n"/>
      <c r="H820" s="7" t="n"/>
      <c r="I820" s="6" t="n"/>
      <c r="J820" s="9" t="n"/>
      <c r="K820" s="11">
        <f>IF(C820="","",N(IFERROR(INDEX(Steps!$E$5:$E$62,MATCH(C820,Steps!$A$5:$A$62,0)),"")))</f>
        <v/>
      </c>
      <c r="L820" s="11">
        <f>IF(AND(C820&lt;&gt;"",E820&lt;&gt;"",I820&lt;&gt;"",OR(Settings!$B$10="No",I820&lt;&gt;E820)),K820*F820,0)</f>
        <v/>
      </c>
      <c r="M820" s="11">
        <f>IF(AND(AND(C820&lt;&gt;"",E820&lt;&gt;"",I820&lt;&gt;"",OR(Settings!$B$10="No",I820&lt;&gt;E820)),G820="Paid a pro",Settings!$B$9="Yes"),MAX(0,H820-K820*F820),0)</f>
        <v/>
      </c>
      <c r="N820" s="3">
        <f>IF(C820="","",IF(B820="","Enter the boat number",IF(B820&gt;Settings!$B$6,"Boat number above the boat count",IF(SUMIFS($F$5:$F$1004,$B$5:$B$1004,B820,$C$5:$C$1004,C820)&gt;1.0001,"Shares for this step add up to over 100%",IF(I820="","Waiting for sign-off",IF(AND(Settings!$B$10="Yes",I820=E820),"Needs a different member to sign off","OK"))))))</f>
        <v/>
      </c>
    </row>
    <row r="821">
      <c r="A821" s="9" t="n"/>
      <c r="B821" s="6" t="n"/>
      <c r="C821" s="6" t="n"/>
      <c r="D821" s="3">
        <f>IF(C821="","",IFERROR(INDEX(Steps!$C$5:$C$62,MATCH(C821,Steps!$A$5:$A$62,0)),""))</f>
        <v/>
      </c>
      <c r="E821" s="6" t="n"/>
      <c r="F821" s="8" t="n"/>
      <c r="G821" s="6" t="n"/>
      <c r="H821" s="7" t="n"/>
      <c r="I821" s="6" t="n"/>
      <c r="J821" s="9" t="n"/>
      <c r="K821" s="11">
        <f>IF(C821="","",N(IFERROR(INDEX(Steps!$E$5:$E$62,MATCH(C821,Steps!$A$5:$A$62,0)),"")))</f>
        <v/>
      </c>
      <c r="L821" s="11">
        <f>IF(AND(C821&lt;&gt;"",E821&lt;&gt;"",I821&lt;&gt;"",OR(Settings!$B$10="No",I821&lt;&gt;E821)),K821*F821,0)</f>
        <v/>
      </c>
      <c r="M821" s="11">
        <f>IF(AND(AND(C821&lt;&gt;"",E821&lt;&gt;"",I821&lt;&gt;"",OR(Settings!$B$10="No",I821&lt;&gt;E821)),G821="Paid a pro",Settings!$B$9="Yes"),MAX(0,H821-K821*F821),0)</f>
        <v/>
      </c>
      <c r="N821" s="3">
        <f>IF(C821="","",IF(B821="","Enter the boat number",IF(B821&gt;Settings!$B$6,"Boat number above the boat count",IF(SUMIFS($F$5:$F$1004,$B$5:$B$1004,B821,$C$5:$C$1004,C821)&gt;1.0001,"Shares for this step add up to over 100%",IF(I821="","Waiting for sign-off",IF(AND(Settings!$B$10="Yes",I821=E821),"Needs a different member to sign off","OK"))))))</f>
        <v/>
      </c>
    </row>
    <row r="822">
      <c r="A822" s="9" t="n"/>
      <c r="B822" s="6" t="n"/>
      <c r="C822" s="6" t="n"/>
      <c r="D822" s="3">
        <f>IF(C822="","",IFERROR(INDEX(Steps!$C$5:$C$62,MATCH(C822,Steps!$A$5:$A$62,0)),""))</f>
        <v/>
      </c>
      <c r="E822" s="6" t="n"/>
      <c r="F822" s="8" t="n"/>
      <c r="G822" s="6" t="n"/>
      <c r="H822" s="7" t="n"/>
      <c r="I822" s="6" t="n"/>
      <c r="J822" s="9" t="n"/>
      <c r="K822" s="11">
        <f>IF(C822="","",N(IFERROR(INDEX(Steps!$E$5:$E$62,MATCH(C822,Steps!$A$5:$A$62,0)),"")))</f>
        <v/>
      </c>
      <c r="L822" s="11">
        <f>IF(AND(C822&lt;&gt;"",E822&lt;&gt;"",I822&lt;&gt;"",OR(Settings!$B$10="No",I822&lt;&gt;E822)),K822*F822,0)</f>
        <v/>
      </c>
      <c r="M822" s="11">
        <f>IF(AND(AND(C822&lt;&gt;"",E822&lt;&gt;"",I822&lt;&gt;"",OR(Settings!$B$10="No",I822&lt;&gt;E822)),G822="Paid a pro",Settings!$B$9="Yes"),MAX(0,H822-K822*F822),0)</f>
        <v/>
      </c>
      <c r="N822" s="3">
        <f>IF(C822="","",IF(B822="","Enter the boat number",IF(B822&gt;Settings!$B$6,"Boat number above the boat count",IF(SUMIFS($F$5:$F$1004,$B$5:$B$1004,B822,$C$5:$C$1004,C822)&gt;1.0001,"Shares for this step add up to over 100%",IF(I822="","Waiting for sign-off",IF(AND(Settings!$B$10="Yes",I822=E822),"Needs a different member to sign off","OK"))))))</f>
        <v/>
      </c>
    </row>
    <row r="823">
      <c r="A823" s="9" t="n"/>
      <c r="B823" s="6" t="n"/>
      <c r="C823" s="6" t="n"/>
      <c r="D823" s="3">
        <f>IF(C823="","",IFERROR(INDEX(Steps!$C$5:$C$62,MATCH(C823,Steps!$A$5:$A$62,0)),""))</f>
        <v/>
      </c>
      <c r="E823" s="6" t="n"/>
      <c r="F823" s="8" t="n"/>
      <c r="G823" s="6" t="n"/>
      <c r="H823" s="7" t="n"/>
      <c r="I823" s="6" t="n"/>
      <c r="J823" s="9" t="n"/>
      <c r="K823" s="11">
        <f>IF(C823="","",N(IFERROR(INDEX(Steps!$E$5:$E$62,MATCH(C823,Steps!$A$5:$A$62,0)),"")))</f>
        <v/>
      </c>
      <c r="L823" s="11">
        <f>IF(AND(C823&lt;&gt;"",E823&lt;&gt;"",I823&lt;&gt;"",OR(Settings!$B$10="No",I823&lt;&gt;E823)),K823*F823,0)</f>
        <v/>
      </c>
      <c r="M823" s="11">
        <f>IF(AND(AND(C823&lt;&gt;"",E823&lt;&gt;"",I823&lt;&gt;"",OR(Settings!$B$10="No",I823&lt;&gt;E823)),G823="Paid a pro",Settings!$B$9="Yes"),MAX(0,H823-K823*F823),0)</f>
        <v/>
      </c>
      <c r="N823" s="3">
        <f>IF(C823="","",IF(B823="","Enter the boat number",IF(B823&gt;Settings!$B$6,"Boat number above the boat count",IF(SUMIFS($F$5:$F$1004,$B$5:$B$1004,B823,$C$5:$C$1004,C823)&gt;1.0001,"Shares for this step add up to over 100%",IF(I823="","Waiting for sign-off",IF(AND(Settings!$B$10="Yes",I823=E823),"Needs a different member to sign off","OK"))))))</f>
        <v/>
      </c>
    </row>
    <row r="824">
      <c r="A824" s="9" t="n"/>
      <c r="B824" s="6" t="n"/>
      <c r="C824" s="6" t="n"/>
      <c r="D824" s="3">
        <f>IF(C824="","",IFERROR(INDEX(Steps!$C$5:$C$62,MATCH(C824,Steps!$A$5:$A$62,0)),""))</f>
        <v/>
      </c>
      <c r="E824" s="6" t="n"/>
      <c r="F824" s="8" t="n"/>
      <c r="G824" s="6" t="n"/>
      <c r="H824" s="7" t="n"/>
      <c r="I824" s="6" t="n"/>
      <c r="J824" s="9" t="n"/>
      <c r="K824" s="11">
        <f>IF(C824="","",N(IFERROR(INDEX(Steps!$E$5:$E$62,MATCH(C824,Steps!$A$5:$A$62,0)),"")))</f>
        <v/>
      </c>
      <c r="L824" s="11">
        <f>IF(AND(C824&lt;&gt;"",E824&lt;&gt;"",I824&lt;&gt;"",OR(Settings!$B$10="No",I824&lt;&gt;E824)),K824*F824,0)</f>
        <v/>
      </c>
      <c r="M824" s="11">
        <f>IF(AND(AND(C824&lt;&gt;"",E824&lt;&gt;"",I824&lt;&gt;"",OR(Settings!$B$10="No",I824&lt;&gt;E824)),G824="Paid a pro",Settings!$B$9="Yes"),MAX(0,H824-K824*F824),0)</f>
        <v/>
      </c>
      <c r="N824" s="3">
        <f>IF(C824="","",IF(B824="","Enter the boat number",IF(B824&gt;Settings!$B$6,"Boat number above the boat count",IF(SUMIFS($F$5:$F$1004,$B$5:$B$1004,B824,$C$5:$C$1004,C824)&gt;1.0001,"Shares for this step add up to over 100%",IF(I824="","Waiting for sign-off",IF(AND(Settings!$B$10="Yes",I824=E824),"Needs a different member to sign off","OK"))))))</f>
        <v/>
      </c>
    </row>
    <row r="825">
      <c r="A825" s="9" t="n"/>
      <c r="B825" s="6" t="n"/>
      <c r="C825" s="6" t="n"/>
      <c r="D825" s="3">
        <f>IF(C825="","",IFERROR(INDEX(Steps!$C$5:$C$62,MATCH(C825,Steps!$A$5:$A$62,0)),""))</f>
        <v/>
      </c>
      <c r="E825" s="6" t="n"/>
      <c r="F825" s="8" t="n"/>
      <c r="G825" s="6" t="n"/>
      <c r="H825" s="7" t="n"/>
      <c r="I825" s="6" t="n"/>
      <c r="J825" s="9" t="n"/>
      <c r="K825" s="11">
        <f>IF(C825="","",N(IFERROR(INDEX(Steps!$E$5:$E$62,MATCH(C825,Steps!$A$5:$A$62,0)),"")))</f>
        <v/>
      </c>
      <c r="L825" s="11">
        <f>IF(AND(C825&lt;&gt;"",E825&lt;&gt;"",I825&lt;&gt;"",OR(Settings!$B$10="No",I825&lt;&gt;E825)),K825*F825,0)</f>
        <v/>
      </c>
      <c r="M825" s="11">
        <f>IF(AND(AND(C825&lt;&gt;"",E825&lt;&gt;"",I825&lt;&gt;"",OR(Settings!$B$10="No",I825&lt;&gt;E825)),G825="Paid a pro",Settings!$B$9="Yes"),MAX(0,H825-K825*F825),0)</f>
        <v/>
      </c>
      <c r="N825" s="3">
        <f>IF(C825="","",IF(B825="","Enter the boat number",IF(B825&gt;Settings!$B$6,"Boat number above the boat count",IF(SUMIFS($F$5:$F$1004,$B$5:$B$1004,B825,$C$5:$C$1004,C825)&gt;1.0001,"Shares for this step add up to over 100%",IF(I825="","Waiting for sign-off",IF(AND(Settings!$B$10="Yes",I825=E825),"Needs a different member to sign off","OK"))))))</f>
        <v/>
      </c>
    </row>
    <row r="826">
      <c r="A826" s="9" t="n"/>
      <c r="B826" s="6" t="n"/>
      <c r="C826" s="6" t="n"/>
      <c r="D826" s="3">
        <f>IF(C826="","",IFERROR(INDEX(Steps!$C$5:$C$62,MATCH(C826,Steps!$A$5:$A$62,0)),""))</f>
        <v/>
      </c>
      <c r="E826" s="6" t="n"/>
      <c r="F826" s="8" t="n"/>
      <c r="G826" s="6" t="n"/>
      <c r="H826" s="7" t="n"/>
      <c r="I826" s="6" t="n"/>
      <c r="J826" s="9" t="n"/>
      <c r="K826" s="11">
        <f>IF(C826="","",N(IFERROR(INDEX(Steps!$E$5:$E$62,MATCH(C826,Steps!$A$5:$A$62,0)),"")))</f>
        <v/>
      </c>
      <c r="L826" s="11">
        <f>IF(AND(C826&lt;&gt;"",E826&lt;&gt;"",I826&lt;&gt;"",OR(Settings!$B$10="No",I826&lt;&gt;E826)),K826*F826,0)</f>
        <v/>
      </c>
      <c r="M826" s="11">
        <f>IF(AND(AND(C826&lt;&gt;"",E826&lt;&gt;"",I826&lt;&gt;"",OR(Settings!$B$10="No",I826&lt;&gt;E826)),G826="Paid a pro",Settings!$B$9="Yes"),MAX(0,H826-K826*F826),0)</f>
        <v/>
      </c>
      <c r="N826" s="3">
        <f>IF(C826="","",IF(B826="","Enter the boat number",IF(B826&gt;Settings!$B$6,"Boat number above the boat count",IF(SUMIFS($F$5:$F$1004,$B$5:$B$1004,B826,$C$5:$C$1004,C826)&gt;1.0001,"Shares for this step add up to over 100%",IF(I826="","Waiting for sign-off",IF(AND(Settings!$B$10="Yes",I826=E826),"Needs a different member to sign off","OK"))))))</f>
        <v/>
      </c>
    </row>
    <row r="827">
      <c r="A827" s="9" t="n"/>
      <c r="B827" s="6" t="n"/>
      <c r="C827" s="6" t="n"/>
      <c r="D827" s="3">
        <f>IF(C827="","",IFERROR(INDEX(Steps!$C$5:$C$62,MATCH(C827,Steps!$A$5:$A$62,0)),""))</f>
        <v/>
      </c>
      <c r="E827" s="6" t="n"/>
      <c r="F827" s="8" t="n"/>
      <c r="G827" s="6" t="n"/>
      <c r="H827" s="7" t="n"/>
      <c r="I827" s="6" t="n"/>
      <c r="J827" s="9" t="n"/>
      <c r="K827" s="11">
        <f>IF(C827="","",N(IFERROR(INDEX(Steps!$E$5:$E$62,MATCH(C827,Steps!$A$5:$A$62,0)),"")))</f>
        <v/>
      </c>
      <c r="L827" s="11">
        <f>IF(AND(C827&lt;&gt;"",E827&lt;&gt;"",I827&lt;&gt;"",OR(Settings!$B$10="No",I827&lt;&gt;E827)),K827*F827,0)</f>
        <v/>
      </c>
      <c r="M827" s="11">
        <f>IF(AND(AND(C827&lt;&gt;"",E827&lt;&gt;"",I827&lt;&gt;"",OR(Settings!$B$10="No",I827&lt;&gt;E827)),G827="Paid a pro",Settings!$B$9="Yes"),MAX(0,H827-K827*F827),0)</f>
        <v/>
      </c>
      <c r="N827" s="3">
        <f>IF(C827="","",IF(B827="","Enter the boat number",IF(B827&gt;Settings!$B$6,"Boat number above the boat count",IF(SUMIFS($F$5:$F$1004,$B$5:$B$1004,B827,$C$5:$C$1004,C827)&gt;1.0001,"Shares for this step add up to over 100%",IF(I827="","Waiting for sign-off",IF(AND(Settings!$B$10="Yes",I827=E827),"Needs a different member to sign off","OK"))))))</f>
        <v/>
      </c>
    </row>
    <row r="828">
      <c r="A828" s="9" t="n"/>
      <c r="B828" s="6" t="n"/>
      <c r="C828" s="6" t="n"/>
      <c r="D828" s="3">
        <f>IF(C828="","",IFERROR(INDEX(Steps!$C$5:$C$62,MATCH(C828,Steps!$A$5:$A$62,0)),""))</f>
        <v/>
      </c>
      <c r="E828" s="6" t="n"/>
      <c r="F828" s="8" t="n"/>
      <c r="G828" s="6" t="n"/>
      <c r="H828" s="7" t="n"/>
      <c r="I828" s="6" t="n"/>
      <c r="J828" s="9" t="n"/>
      <c r="K828" s="11">
        <f>IF(C828="","",N(IFERROR(INDEX(Steps!$E$5:$E$62,MATCH(C828,Steps!$A$5:$A$62,0)),"")))</f>
        <v/>
      </c>
      <c r="L828" s="11">
        <f>IF(AND(C828&lt;&gt;"",E828&lt;&gt;"",I828&lt;&gt;"",OR(Settings!$B$10="No",I828&lt;&gt;E828)),K828*F828,0)</f>
        <v/>
      </c>
      <c r="M828" s="11">
        <f>IF(AND(AND(C828&lt;&gt;"",E828&lt;&gt;"",I828&lt;&gt;"",OR(Settings!$B$10="No",I828&lt;&gt;E828)),G828="Paid a pro",Settings!$B$9="Yes"),MAX(0,H828-K828*F828),0)</f>
        <v/>
      </c>
      <c r="N828" s="3">
        <f>IF(C828="","",IF(B828="","Enter the boat number",IF(B828&gt;Settings!$B$6,"Boat number above the boat count",IF(SUMIFS($F$5:$F$1004,$B$5:$B$1004,B828,$C$5:$C$1004,C828)&gt;1.0001,"Shares for this step add up to over 100%",IF(I828="","Waiting for sign-off",IF(AND(Settings!$B$10="Yes",I828=E828),"Needs a different member to sign off","OK"))))))</f>
        <v/>
      </c>
    </row>
    <row r="829">
      <c r="A829" s="9" t="n"/>
      <c r="B829" s="6" t="n"/>
      <c r="C829" s="6" t="n"/>
      <c r="D829" s="3">
        <f>IF(C829="","",IFERROR(INDEX(Steps!$C$5:$C$62,MATCH(C829,Steps!$A$5:$A$62,0)),""))</f>
        <v/>
      </c>
      <c r="E829" s="6" t="n"/>
      <c r="F829" s="8" t="n"/>
      <c r="G829" s="6" t="n"/>
      <c r="H829" s="7" t="n"/>
      <c r="I829" s="6" t="n"/>
      <c r="J829" s="9" t="n"/>
      <c r="K829" s="11">
        <f>IF(C829="","",N(IFERROR(INDEX(Steps!$E$5:$E$62,MATCH(C829,Steps!$A$5:$A$62,0)),"")))</f>
        <v/>
      </c>
      <c r="L829" s="11">
        <f>IF(AND(C829&lt;&gt;"",E829&lt;&gt;"",I829&lt;&gt;"",OR(Settings!$B$10="No",I829&lt;&gt;E829)),K829*F829,0)</f>
        <v/>
      </c>
      <c r="M829" s="11">
        <f>IF(AND(AND(C829&lt;&gt;"",E829&lt;&gt;"",I829&lt;&gt;"",OR(Settings!$B$10="No",I829&lt;&gt;E829)),G829="Paid a pro",Settings!$B$9="Yes"),MAX(0,H829-K829*F829),0)</f>
        <v/>
      </c>
      <c r="N829" s="3">
        <f>IF(C829="","",IF(B829="","Enter the boat number",IF(B829&gt;Settings!$B$6,"Boat number above the boat count",IF(SUMIFS($F$5:$F$1004,$B$5:$B$1004,B829,$C$5:$C$1004,C829)&gt;1.0001,"Shares for this step add up to over 100%",IF(I829="","Waiting for sign-off",IF(AND(Settings!$B$10="Yes",I829=E829),"Needs a different member to sign off","OK"))))))</f>
        <v/>
      </c>
    </row>
    <row r="830">
      <c r="A830" s="9" t="n"/>
      <c r="B830" s="6" t="n"/>
      <c r="C830" s="6" t="n"/>
      <c r="D830" s="3">
        <f>IF(C830="","",IFERROR(INDEX(Steps!$C$5:$C$62,MATCH(C830,Steps!$A$5:$A$62,0)),""))</f>
        <v/>
      </c>
      <c r="E830" s="6" t="n"/>
      <c r="F830" s="8" t="n"/>
      <c r="G830" s="6" t="n"/>
      <c r="H830" s="7" t="n"/>
      <c r="I830" s="6" t="n"/>
      <c r="J830" s="9" t="n"/>
      <c r="K830" s="11">
        <f>IF(C830="","",N(IFERROR(INDEX(Steps!$E$5:$E$62,MATCH(C830,Steps!$A$5:$A$62,0)),"")))</f>
        <v/>
      </c>
      <c r="L830" s="11">
        <f>IF(AND(C830&lt;&gt;"",E830&lt;&gt;"",I830&lt;&gt;"",OR(Settings!$B$10="No",I830&lt;&gt;E830)),K830*F830,0)</f>
        <v/>
      </c>
      <c r="M830" s="11">
        <f>IF(AND(AND(C830&lt;&gt;"",E830&lt;&gt;"",I830&lt;&gt;"",OR(Settings!$B$10="No",I830&lt;&gt;E830)),G830="Paid a pro",Settings!$B$9="Yes"),MAX(0,H830-K830*F830),0)</f>
        <v/>
      </c>
      <c r="N830" s="3">
        <f>IF(C830="","",IF(B830="","Enter the boat number",IF(B830&gt;Settings!$B$6,"Boat number above the boat count",IF(SUMIFS($F$5:$F$1004,$B$5:$B$1004,B830,$C$5:$C$1004,C830)&gt;1.0001,"Shares for this step add up to over 100%",IF(I830="","Waiting for sign-off",IF(AND(Settings!$B$10="Yes",I830=E830),"Needs a different member to sign off","OK"))))))</f>
        <v/>
      </c>
    </row>
    <row r="831">
      <c r="A831" s="9" t="n"/>
      <c r="B831" s="6" t="n"/>
      <c r="C831" s="6" t="n"/>
      <c r="D831" s="3">
        <f>IF(C831="","",IFERROR(INDEX(Steps!$C$5:$C$62,MATCH(C831,Steps!$A$5:$A$62,0)),""))</f>
        <v/>
      </c>
      <c r="E831" s="6" t="n"/>
      <c r="F831" s="8" t="n"/>
      <c r="G831" s="6" t="n"/>
      <c r="H831" s="7" t="n"/>
      <c r="I831" s="6" t="n"/>
      <c r="J831" s="9" t="n"/>
      <c r="K831" s="11">
        <f>IF(C831="","",N(IFERROR(INDEX(Steps!$E$5:$E$62,MATCH(C831,Steps!$A$5:$A$62,0)),"")))</f>
        <v/>
      </c>
      <c r="L831" s="11">
        <f>IF(AND(C831&lt;&gt;"",E831&lt;&gt;"",I831&lt;&gt;"",OR(Settings!$B$10="No",I831&lt;&gt;E831)),K831*F831,0)</f>
        <v/>
      </c>
      <c r="M831" s="11">
        <f>IF(AND(AND(C831&lt;&gt;"",E831&lt;&gt;"",I831&lt;&gt;"",OR(Settings!$B$10="No",I831&lt;&gt;E831)),G831="Paid a pro",Settings!$B$9="Yes"),MAX(0,H831-K831*F831),0)</f>
        <v/>
      </c>
      <c r="N831" s="3">
        <f>IF(C831="","",IF(B831="","Enter the boat number",IF(B831&gt;Settings!$B$6,"Boat number above the boat count",IF(SUMIFS($F$5:$F$1004,$B$5:$B$1004,B831,$C$5:$C$1004,C831)&gt;1.0001,"Shares for this step add up to over 100%",IF(I831="","Waiting for sign-off",IF(AND(Settings!$B$10="Yes",I831=E831),"Needs a different member to sign off","OK"))))))</f>
        <v/>
      </c>
    </row>
    <row r="832">
      <c r="A832" s="9" t="n"/>
      <c r="B832" s="6" t="n"/>
      <c r="C832" s="6" t="n"/>
      <c r="D832" s="3">
        <f>IF(C832="","",IFERROR(INDEX(Steps!$C$5:$C$62,MATCH(C832,Steps!$A$5:$A$62,0)),""))</f>
        <v/>
      </c>
      <c r="E832" s="6" t="n"/>
      <c r="F832" s="8" t="n"/>
      <c r="G832" s="6" t="n"/>
      <c r="H832" s="7" t="n"/>
      <c r="I832" s="6" t="n"/>
      <c r="J832" s="9" t="n"/>
      <c r="K832" s="11">
        <f>IF(C832="","",N(IFERROR(INDEX(Steps!$E$5:$E$62,MATCH(C832,Steps!$A$5:$A$62,0)),"")))</f>
        <v/>
      </c>
      <c r="L832" s="11">
        <f>IF(AND(C832&lt;&gt;"",E832&lt;&gt;"",I832&lt;&gt;"",OR(Settings!$B$10="No",I832&lt;&gt;E832)),K832*F832,0)</f>
        <v/>
      </c>
      <c r="M832" s="11">
        <f>IF(AND(AND(C832&lt;&gt;"",E832&lt;&gt;"",I832&lt;&gt;"",OR(Settings!$B$10="No",I832&lt;&gt;E832)),G832="Paid a pro",Settings!$B$9="Yes"),MAX(0,H832-K832*F832),0)</f>
        <v/>
      </c>
      <c r="N832" s="3">
        <f>IF(C832="","",IF(B832="","Enter the boat number",IF(B832&gt;Settings!$B$6,"Boat number above the boat count",IF(SUMIFS($F$5:$F$1004,$B$5:$B$1004,B832,$C$5:$C$1004,C832)&gt;1.0001,"Shares for this step add up to over 100%",IF(I832="","Waiting for sign-off",IF(AND(Settings!$B$10="Yes",I832=E832),"Needs a different member to sign off","OK"))))))</f>
        <v/>
      </c>
    </row>
    <row r="833">
      <c r="A833" s="9" t="n"/>
      <c r="B833" s="6" t="n"/>
      <c r="C833" s="6" t="n"/>
      <c r="D833" s="3">
        <f>IF(C833="","",IFERROR(INDEX(Steps!$C$5:$C$62,MATCH(C833,Steps!$A$5:$A$62,0)),""))</f>
        <v/>
      </c>
      <c r="E833" s="6" t="n"/>
      <c r="F833" s="8" t="n"/>
      <c r="G833" s="6" t="n"/>
      <c r="H833" s="7" t="n"/>
      <c r="I833" s="6" t="n"/>
      <c r="J833" s="9" t="n"/>
      <c r="K833" s="11">
        <f>IF(C833="","",N(IFERROR(INDEX(Steps!$E$5:$E$62,MATCH(C833,Steps!$A$5:$A$62,0)),"")))</f>
        <v/>
      </c>
      <c r="L833" s="11">
        <f>IF(AND(C833&lt;&gt;"",E833&lt;&gt;"",I833&lt;&gt;"",OR(Settings!$B$10="No",I833&lt;&gt;E833)),K833*F833,0)</f>
        <v/>
      </c>
      <c r="M833" s="11">
        <f>IF(AND(AND(C833&lt;&gt;"",E833&lt;&gt;"",I833&lt;&gt;"",OR(Settings!$B$10="No",I833&lt;&gt;E833)),G833="Paid a pro",Settings!$B$9="Yes"),MAX(0,H833-K833*F833),0)</f>
        <v/>
      </c>
      <c r="N833" s="3">
        <f>IF(C833="","",IF(B833="","Enter the boat number",IF(B833&gt;Settings!$B$6,"Boat number above the boat count",IF(SUMIFS($F$5:$F$1004,$B$5:$B$1004,B833,$C$5:$C$1004,C833)&gt;1.0001,"Shares for this step add up to over 100%",IF(I833="","Waiting for sign-off",IF(AND(Settings!$B$10="Yes",I833=E833),"Needs a different member to sign off","OK"))))))</f>
        <v/>
      </c>
    </row>
    <row r="834">
      <c r="A834" s="9" t="n"/>
      <c r="B834" s="6" t="n"/>
      <c r="C834" s="6" t="n"/>
      <c r="D834" s="3">
        <f>IF(C834="","",IFERROR(INDEX(Steps!$C$5:$C$62,MATCH(C834,Steps!$A$5:$A$62,0)),""))</f>
        <v/>
      </c>
      <c r="E834" s="6" t="n"/>
      <c r="F834" s="8" t="n"/>
      <c r="G834" s="6" t="n"/>
      <c r="H834" s="7" t="n"/>
      <c r="I834" s="6" t="n"/>
      <c r="J834" s="9" t="n"/>
      <c r="K834" s="11">
        <f>IF(C834="","",N(IFERROR(INDEX(Steps!$E$5:$E$62,MATCH(C834,Steps!$A$5:$A$62,0)),"")))</f>
        <v/>
      </c>
      <c r="L834" s="11">
        <f>IF(AND(C834&lt;&gt;"",E834&lt;&gt;"",I834&lt;&gt;"",OR(Settings!$B$10="No",I834&lt;&gt;E834)),K834*F834,0)</f>
        <v/>
      </c>
      <c r="M834" s="11">
        <f>IF(AND(AND(C834&lt;&gt;"",E834&lt;&gt;"",I834&lt;&gt;"",OR(Settings!$B$10="No",I834&lt;&gt;E834)),G834="Paid a pro",Settings!$B$9="Yes"),MAX(0,H834-K834*F834),0)</f>
        <v/>
      </c>
      <c r="N834" s="3">
        <f>IF(C834="","",IF(B834="","Enter the boat number",IF(B834&gt;Settings!$B$6,"Boat number above the boat count",IF(SUMIFS($F$5:$F$1004,$B$5:$B$1004,B834,$C$5:$C$1004,C834)&gt;1.0001,"Shares for this step add up to over 100%",IF(I834="","Waiting for sign-off",IF(AND(Settings!$B$10="Yes",I834=E834),"Needs a different member to sign off","OK"))))))</f>
        <v/>
      </c>
    </row>
    <row r="835">
      <c r="A835" s="9" t="n"/>
      <c r="B835" s="6" t="n"/>
      <c r="C835" s="6" t="n"/>
      <c r="D835" s="3">
        <f>IF(C835="","",IFERROR(INDEX(Steps!$C$5:$C$62,MATCH(C835,Steps!$A$5:$A$62,0)),""))</f>
        <v/>
      </c>
      <c r="E835" s="6" t="n"/>
      <c r="F835" s="8" t="n"/>
      <c r="G835" s="6" t="n"/>
      <c r="H835" s="7" t="n"/>
      <c r="I835" s="6" t="n"/>
      <c r="J835" s="9" t="n"/>
      <c r="K835" s="11">
        <f>IF(C835="","",N(IFERROR(INDEX(Steps!$E$5:$E$62,MATCH(C835,Steps!$A$5:$A$62,0)),"")))</f>
        <v/>
      </c>
      <c r="L835" s="11">
        <f>IF(AND(C835&lt;&gt;"",E835&lt;&gt;"",I835&lt;&gt;"",OR(Settings!$B$10="No",I835&lt;&gt;E835)),K835*F835,0)</f>
        <v/>
      </c>
      <c r="M835" s="11">
        <f>IF(AND(AND(C835&lt;&gt;"",E835&lt;&gt;"",I835&lt;&gt;"",OR(Settings!$B$10="No",I835&lt;&gt;E835)),G835="Paid a pro",Settings!$B$9="Yes"),MAX(0,H835-K835*F835),0)</f>
        <v/>
      </c>
      <c r="N835" s="3">
        <f>IF(C835="","",IF(B835="","Enter the boat number",IF(B835&gt;Settings!$B$6,"Boat number above the boat count",IF(SUMIFS($F$5:$F$1004,$B$5:$B$1004,B835,$C$5:$C$1004,C835)&gt;1.0001,"Shares for this step add up to over 100%",IF(I835="","Waiting for sign-off",IF(AND(Settings!$B$10="Yes",I835=E835),"Needs a different member to sign off","OK"))))))</f>
        <v/>
      </c>
    </row>
    <row r="836">
      <c r="A836" s="9" t="n"/>
      <c r="B836" s="6" t="n"/>
      <c r="C836" s="6" t="n"/>
      <c r="D836" s="3">
        <f>IF(C836="","",IFERROR(INDEX(Steps!$C$5:$C$62,MATCH(C836,Steps!$A$5:$A$62,0)),""))</f>
        <v/>
      </c>
      <c r="E836" s="6" t="n"/>
      <c r="F836" s="8" t="n"/>
      <c r="G836" s="6" t="n"/>
      <c r="H836" s="7" t="n"/>
      <c r="I836" s="6" t="n"/>
      <c r="J836" s="9" t="n"/>
      <c r="K836" s="11">
        <f>IF(C836="","",N(IFERROR(INDEX(Steps!$E$5:$E$62,MATCH(C836,Steps!$A$5:$A$62,0)),"")))</f>
        <v/>
      </c>
      <c r="L836" s="11">
        <f>IF(AND(C836&lt;&gt;"",E836&lt;&gt;"",I836&lt;&gt;"",OR(Settings!$B$10="No",I836&lt;&gt;E836)),K836*F836,0)</f>
        <v/>
      </c>
      <c r="M836" s="11">
        <f>IF(AND(AND(C836&lt;&gt;"",E836&lt;&gt;"",I836&lt;&gt;"",OR(Settings!$B$10="No",I836&lt;&gt;E836)),G836="Paid a pro",Settings!$B$9="Yes"),MAX(0,H836-K836*F836),0)</f>
        <v/>
      </c>
      <c r="N836" s="3">
        <f>IF(C836="","",IF(B836="","Enter the boat number",IF(B836&gt;Settings!$B$6,"Boat number above the boat count",IF(SUMIFS($F$5:$F$1004,$B$5:$B$1004,B836,$C$5:$C$1004,C836)&gt;1.0001,"Shares for this step add up to over 100%",IF(I836="","Waiting for sign-off",IF(AND(Settings!$B$10="Yes",I836=E836),"Needs a different member to sign off","OK"))))))</f>
        <v/>
      </c>
    </row>
    <row r="837">
      <c r="A837" s="9" t="n"/>
      <c r="B837" s="6" t="n"/>
      <c r="C837" s="6" t="n"/>
      <c r="D837" s="3">
        <f>IF(C837="","",IFERROR(INDEX(Steps!$C$5:$C$62,MATCH(C837,Steps!$A$5:$A$62,0)),""))</f>
        <v/>
      </c>
      <c r="E837" s="6" t="n"/>
      <c r="F837" s="8" t="n"/>
      <c r="G837" s="6" t="n"/>
      <c r="H837" s="7" t="n"/>
      <c r="I837" s="6" t="n"/>
      <c r="J837" s="9" t="n"/>
      <c r="K837" s="11">
        <f>IF(C837="","",N(IFERROR(INDEX(Steps!$E$5:$E$62,MATCH(C837,Steps!$A$5:$A$62,0)),"")))</f>
        <v/>
      </c>
      <c r="L837" s="11">
        <f>IF(AND(C837&lt;&gt;"",E837&lt;&gt;"",I837&lt;&gt;"",OR(Settings!$B$10="No",I837&lt;&gt;E837)),K837*F837,0)</f>
        <v/>
      </c>
      <c r="M837" s="11">
        <f>IF(AND(AND(C837&lt;&gt;"",E837&lt;&gt;"",I837&lt;&gt;"",OR(Settings!$B$10="No",I837&lt;&gt;E837)),G837="Paid a pro",Settings!$B$9="Yes"),MAX(0,H837-K837*F837),0)</f>
        <v/>
      </c>
      <c r="N837" s="3">
        <f>IF(C837="","",IF(B837="","Enter the boat number",IF(B837&gt;Settings!$B$6,"Boat number above the boat count",IF(SUMIFS($F$5:$F$1004,$B$5:$B$1004,B837,$C$5:$C$1004,C837)&gt;1.0001,"Shares for this step add up to over 100%",IF(I837="","Waiting for sign-off",IF(AND(Settings!$B$10="Yes",I837=E837),"Needs a different member to sign off","OK"))))))</f>
        <v/>
      </c>
    </row>
    <row r="838">
      <c r="A838" s="9" t="n"/>
      <c r="B838" s="6" t="n"/>
      <c r="C838" s="6" t="n"/>
      <c r="D838" s="3">
        <f>IF(C838="","",IFERROR(INDEX(Steps!$C$5:$C$62,MATCH(C838,Steps!$A$5:$A$62,0)),""))</f>
        <v/>
      </c>
      <c r="E838" s="6" t="n"/>
      <c r="F838" s="8" t="n"/>
      <c r="G838" s="6" t="n"/>
      <c r="H838" s="7" t="n"/>
      <c r="I838" s="6" t="n"/>
      <c r="J838" s="9" t="n"/>
      <c r="K838" s="11">
        <f>IF(C838="","",N(IFERROR(INDEX(Steps!$E$5:$E$62,MATCH(C838,Steps!$A$5:$A$62,0)),"")))</f>
        <v/>
      </c>
      <c r="L838" s="11">
        <f>IF(AND(C838&lt;&gt;"",E838&lt;&gt;"",I838&lt;&gt;"",OR(Settings!$B$10="No",I838&lt;&gt;E838)),K838*F838,0)</f>
        <v/>
      </c>
      <c r="M838" s="11">
        <f>IF(AND(AND(C838&lt;&gt;"",E838&lt;&gt;"",I838&lt;&gt;"",OR(Settings!$B$10="No",I838&lt;&gt;E838)),G838="Paid a pro",Settings!$B$9="Yes"),MAX(0,H838-K838*F838),0)</f>
        <v/>
      </c>
      <c r="N838" s="3">
        <f>IF(C838="","",IF(B838="","Enter the boat number",IF(B838&gt;Settings!$B$6,"Boat number above the boat count",IF(SUMIFS($F$5:$F$1004,$B$5:$B$1004,B838,$C$5:$C$1004,C838)&gt;1.0001,"Shares for this step add up to over 100%",IF(I838="","Waiting for sign-off",IF(AND(Settings!$B$10="Yes",I838=E838),"Needs a different member to sign off","OK"))))))</f>
        <v/>
      </c>
    </row>
    <row r="839">
      <c r="A839" s="9" t="n"/>
      <c r="B839" s="6" t="n"/>
      <c r="C839" s="6" t="n"/>
      <c r="D839" s="3">
        <f>IF(C839="","",IFERROR(INDEX(Steps!$C$5:$C$62,MATCH(C839,Steps!$A$5:$A$62,0)),""))</f>
        <v/>
      </c>
      <c r="E839" s="6" t="n"/>
      <c r="F839" s="8" t="n"/>
      <c r="G839" s="6" t="n"/>
      <c r="H839" s="7" t="n"/>
      <c r="I839" s="6" t="n"/>
      <c r="J839" s="9" t="n"/>
      <c r="K839" s="11">
        <f>IF(C839="","",N(IFERROR(INDEX(Steps!$E$5:$E$62,MATCH(C839,Steps!$A$5:$A$62,0)),"")))</f>
        <v/>
      </c>
      <c r="L839" s="11">
        <f>IF(AND(C839&lt;&gt;"",E839&lt;&gt;"",I839&lt;&gt;"",OR(Settings!$B$10="No",I839&lt;&gt;E839)),K839*F839,0)</f>
        <v/>
      </c>
      <c r="M839" s="11">
        <f>IF(AND(AND(C839&lt;&gt;"",E839&lt;&gt;"",I839&lt;&gt;"",OR(Settings!$B$10="No",I839&lt;&gt;E839)),G839="Paid a pro",Settings!$B$9="Yes"),MAX(0,H839-K839*F839),0)</f>
        <v/>
      </c>
      <c r="N839" s="3">
        <f>IF(C839="","",IF(B839="","Enter the boat number",IF(B839&gt;Settings!$B$6,"Boat number above the boat count",IF(SUMIFS($F$5:$F$1004,$B$5:$B$1004,B839,$C$5:$C$1004,C839)&gt;1.0001,"Shares for this step add up to over 100%",IF(I839="","Waiting for sign-off",IF(AND(Settings!$B$10="Yes",I839=E839),"Needs a different member to sign off","OK"))))))</f>
        <v/>
      </c>
    </row>
    <row r="840">
      <c r="A840" s="9" t="n"/>
      <c r="B840" s="6" t="n"/>
      <c r="C840" s="6" t="n"/>
      <c r="D840" s="3">
        <f>IF(C840="","",IFERROR(INDEX(Steps!$C$5:$C$62,MATCH(C840,Steps!$A$5:$A$62,0)),""))</f>
        <v/>
      </c>
      <c r="E840" s="6" t="n"/>
      <c r="F840" s="8" t="n"/>
      <c r="G840" s="6" t="n"/>
      <c r="H840" s="7" t="n"/>
      <c r="I840" s="6" t="n"/>
      <c r="J840" s="9" t="n"/>
      <c r="K840" s="11">
        <f>IF(C840="","",N(IFERROR(INDEX(Steps!$E$5:$E$62,MATCH(C840,Steps!$A$5:$A$62,0)),"")))</f>
        <v/>
      </c>
      <c r="L840" s="11">
        <f>IF(AND(C840&lt;&gt;"",E840&lt;&gt;"",I840&lt;&gt;"",OR(Settings!$B$10="No",I840&lt;&gt;E840)),K840*F840,0)</f>
        <v/>
      </c>
      <c r="M840" s="11">
        <f>IF(AND(AND(C840&lt;&gt;"",E840&lt;&gt;"",I840&lt;&gt;"",OR(Settings!$B$10="No",I840&lt;&gt;E840)),G840="Paid a pro",Settings!$B$9="Yes"),MAX(0,H840-K840*F840),0)</f>
        <v/>
      </c>
      <c r="N840" s="3">
        <f>IF(C840="","",IF(B840="","Enter the boat number",IF(B840&gt;Settings!$B$6,"Boat number above the boat count",IF(SUMIFS($F$5:$F$1004,$B$5:$B$1004,B840,$C$5:$C$1004,C840)&gt;1.0001,"Shares for this step add up to over 100%",IF(I840="","Waiting for sign-off",IF(AND(Settings!$B$10="Yes",I840=E840),"Needs a different member to sign off","OK"))))))</f>
        <v/>
      </c>
    </row>
    <row r="841">
      <c r="A841" s="9" t="n"/>
      <c r="B841" s="6" t="n"/>
      <c r="C841" s="6" t="n"/>
      <c r="D841" s="3">
        <f>IF(C841="","",IFERROR(INDEX(Steps!$C$5:$C$62,MATCH(C841,Steps!$A$5:$A$62,0)),""))</f>
        <v/>
      </c>
      <c r="E841" s="6" t="n"/>
      <c r="F841" s="8" t="n"/>
      <c r="G841" s="6" t="n"/>
      <c r="H841" s="7" t="n"/>
      <c r="I841" s="6" t="n"/>
      <c r="J841" s="9" t="n"/>
      <c r="K841" s="11">
        <f>IF(C841="","",N(IFERROR(INDEX(Steps!$E$5:$E$62,MATCH(C841,Steps!$A$5:$A$62,0)),"")))</f>
        <v/>
      </c>
      <c r="L841" s="11">
        <f>IF(AND(C841&lt;&gt;"",E841&lt;&gt;"",I841&lt;&gt;"",OR(Settings!$B$10="No",I841&lt;&gt;E841)),K841*F841,0)</f>
        <v/>
      </c>
      <c r="M841" s="11">
        <f>IF(AND(AND(C841&lt;&gt;"",E841&lt;&gt;"",I841&lt;&gt;"",OR(Settings!$B$10="No",I841&lt;&gt;E841)),G841="Paid a pro",Settings!$B$9="Yes"),MAX(0,H841-K841*F841),0)</f>
        <v/>
      </c>
      <c r="N841" s="3">
        <f>IF(C841="","",IF(B841="","Enter the boat number",IF(B841&gt;Settings!$B$6,"Boat number above the boat count",IF(SUMIFS($F$5:$F$1004,$B$5:$B$1004,B841,$C$5:$C$1004,C841)&gt;1.0001,"Shares for this step add up to over 100%",IF(I841="","Waiting for sign-off",IF(AND(Settings!$B$10="Yes",I841=E841),"Needs a different member to sign off","OK"))))))</f>
        <v/>
      </c>
    </row>
    <row r="842">
      <c r="A842" s="9" t="n"/>
      <c r="B842" s="6" t="n"/>
      <c r="C842" s="6" t="n"/>
      <c r="D842" s="3">
        <f>IF(C842="","",IFERROR(INDEX(Steps!$C$5:$C$62,MATCH(C842,Steps!$A$5:$A$62,0)),""))</f>
        <v/>
      </c>
      <c r="E842" s="6" t="n"/>
      <c r="F842" s="8" t="n"/>
      <c r="G842" s="6" t="n"/>
      <c r="H842" s="7" t="n"/>
      <c r="I842" s="6" t="n"/>
      <c r="J842" s="9" t="n"/>
      <c r="K842" s="11">
        <f>IF(C842="","",N(IFERROR(INDEX(Steps!$E$5:$E$62,MATCH(C842,Steps!$A$5:$A$62,0)),"")))</f>
        <v/>
      </c>
      <c r="L842" s="11">
        <f>IF(AND(C842&lt;&gt;"",E842&lt;&gt;"",I842&lt;&gt;"",OR(Settings!$B$10="No",I842&lt;&gt;E842)),K842*F842,0)</f>
        <v/>
      </c>
      <c r="M842" s="11">
        <f>IF(AND(AND(C842&lt;&gt;"",E842&lt;&gt;"",I842&lt;&gt;"",OR(Settings!$B$10="No",I842&lt;&gt;E842)),G842="Paid a pro",Settings!$B$9="Yes"),MAX(0,H842-K842*F842),0)</f>
        <v/>
      </c>
      <c r="N842" s="3">
        <f>IF(C842="","",IF(B842="","Enter the boat number",IF(B842&gt;Settings!$B$6,"Boat number above the boat count",IF(SUMIFS($F$5:$F$1004,$B$5:$B$1004,B842,$C$5:$C$1004,C842)&gt;1.0001,"Shares for this step add up to over 100%",IF(I842="","Waiting for sign-off",IF(AND(Settings!$B$10="Yes",I842=E842),"Needs a different member to sign off","OK"))))))</f>
        <v/>
      </c>
    </row>
    <row r="843">
      <c r="A843" s="9" t="n"/>
      <c r="B843" s="6" t="n"/>
      <c r="C843" s="6" t="n"/>
      <c r="D843" s="3">
        <f>IF(C843="","",IFERROR(INDEX(Steps!$C$5:$C$62,MATCH(C843,Steps!$A$5:$A$62,0)),""))</f>
        <v/>
      </c>
      <c r="E843" s="6" t="n"/>
      <c r="F843" s="8" t="n"/>
      <c r="G843" s="6" t="n"/>
      <c r="H843" s="7" t="n"/>
      <c r="I843" s="6" t="n"/>
      <c r="J843" s="9" t="n"/>
      <c r="K843" s="11">
        <f>IF(C843="","",N(IFERROR(INDEX(Steps!$E$5:$E$62,MATCH(C843,Steps!$A$5:$A$62,0)),"")))</f>
        <v/>
      </c>
      <c r="L843" s="11">
        <f>IF(AND(C843&lt;&gt;"",E843&lt;&gt;"",I843&lt;&gt;"",OR(Settings!$B$10="No",I843&lt;&gt;E843)),K843*F843,0)</f>
        <v/>
      </c>
      <c r="M843" s="11">
        <f>IF(AND(AND(C843&lt;&gt;"",E843&lt;&gt;"",I843&lt;&gt;"",OR(Settings!$B$10="No",I843&lt;&gt;E843)),G843="Paid a pro",Settings!$B$9="Yes"),MAX(0,H843-K843*F843),0)</f>
        <v/>
      </c>
      <c r="N843" s="3">
        <f>IF(C843="","",IF(B843="","Enter the boat number",IF(B843&gt;Settings!$B$6,"Boat number above the boat count",IF(SUMIFS($F$5:$F$1004,$B$5:$B$1004,B843,$C$5:$C$1004,C843)&gt;1.0001,"Shares for this step add up to over 100%",IF(I843="","Waiting for sign-off",IF(AND(Settings!$B$10="Yes",I843=E843),"Needs a different member to sign off","OK"))))))</f>
        <v/>
      </c>
    </row>
    <row r="844">
      <c r="A844" s="9" t="n"/>
      <c r="B844" s="6" t="n"/>
      <c r="C844" s="6" t="n"/>
      <c r="D844" s="3">
        <f>IF(C844="","",IFERROR(INDEX(Steps!$C$5:$C$62,MATCH(C844,Steps!$A$5:$A$62,0)),""))</f>
        <v/>
      </c>
      <c r="E844" s="6" t="n"/>
      <c r="F844" s="8" t="n"/>
      <c r="G844" s="6" t="n"/>
      <c r="H844" s="7" t="n"/>
      <c r="I844" s="6" t="n"/>
      <c r="J844" s="9" t="n"/>
      <c r="K844" s="11">
        <f>IF(C844="","",N(IFERROR(INDEX(Steps!$E$5:$E$62,MATCH(C844,Steps!$A$5:$A$62,0)),"")))</f>
        <v/>
      </c>
      <c r="L844" s="11">
        <f>IF(AND(C844&lt;&gt;"",E844&lt;&gt;"",I844&lt;&gt;"",OR(Settings!$B$10="No",I844&lt;&gt;E844)),K844*F844,0)</f>
        <v/>
      </c>
      <c r="M844" s="11">
        <f>IF(AND(AND(C844&lt;&gt;"",E844&lt;&gt;"",I844&lt;&gt;"",OR(Settings!$B$10="No",I844&lt;&gt;E844)),G844="Paid a pro",Settings!$B$9="Yes"),MAX(0,H844-K844*F844),0)</f>
        <v/>
      </c>
      <c r="N844" s="3">
        <f>IF(C844="","",IF(B844="","Enter the boat number",IF(B844&gt;Settings!$B$6,"Boat number above the boat count",IF(SUMIFS($F$5:$F$1004,$B$5:$B$1004,B844,$C$5:$C$1004,C844)&gt;1.0001,"Shares for this step add up to over 100%",IF(I844="","Waiting for sign-off",IF(AND(Settings!$B$10="Yes",I844=E844),"Needs a different member to sign off","OK"))))))</f>
        <v/>
      </c>
    </row>
    <row r="845">
      <c r="A845" s="9" t="n"/>
      <c r="B845" s="6" t="n"/>
      <c r="C845" s="6" t="n"/>
      <c r="D845" s="3">
        <f>IF(C845="","",IFERROR(INDEX(Steps!$C$5:$C$62,MATCH(C845,Steps!$A$5:$A$62,0)),""))</f>
        <v/>
      </c>
      <c r="E845" s="6" t="n"/>
      <c r="F845" s="8" t="n"/>
      <c r="G845" s="6" t="n"/>
      <c r="H845" s="7" t="n"/>
      <c r="I845" s="6" t="n"/>
      <c r="J845" s="9" t="n"/>
      <c r="K845" s="11">
        <f>IF(C845="","",N(IFERROR(INDEX(Steps!$E$5:$E$62,MATCH(C845,Steps!$A$5:$A$62,0)),"")))</f>
        <v/>
      </c>
      <c r="L845" s="11">
        <f>IF(AND(C845&lt;&gt;"",E845&lt;&gt;"",I845&lt;&gt;"",OR(Settings!$B$10="No",I845&lt;&gt;E845)),K845*F845,0)</f>
        <v/>
      </c>
      <c r="M845" s="11">
        <f>IF(AND(AND(C845&lt;&gt;"",E845&lt;&gt;"",I845&lt;&gt;"",OR(Settings!$B$10="No",I845&lt;&gt;E845)),G845="Paid a pro",Settings!$B$9="Yes"),MAX(0,H845-K845*F845),0)</f>
        <v/>
      </c>
      <c r="N845" s="3">
        <f>IF(C845="","",IF(B845="","Enter the boat number",IF(B845&gt;Settings!$B$6,"Boat number above the boat count",IF(SUMIFS($F$5:$F$1004,$B$5:$B$1004,B845,$C$5:$C$1004,C845)&gt;1.0001,"Shares for this step add up to over 100%",IF(I845="","Waiting for sign-off",IF(AND(Settings!$B$10="Yes",I845=E845),"Needs a different member to sign off","OK"))))))</f>
        <v/>
      </c>
    </row>
    <row r="846">
      <c r="A846" s="9" t="n"/>
      <c r="B846" s="6" t="n"/>
      <c r="C846" s="6" t="n"/>
      <c r="D846" s="3">
        <f>IF(C846="","",IFERROR(INDEX(Steps!$C$5:$C$62,MATCH(C846,Steps!$A$5:$A$62,0)),""))</f>
        <v/>
      </c>
      <c r="E846" s="6" t="n"/>
      <c r="F846" s="8" t="n"/>
      <c r="G846" s="6" t="n"/>
      <c r="H846" s="7" t="n"/>
      <c r="I846" s="6" t="n"/>
      <c r="J846" s="9" t="n"/>
      <c r="K846" s="11">
        <f>IF(C846="","",N(IFERROR(INDEX(Steps!$E$5:$E$62,MATCH(C846,Steps!$A$5:$A$62,0)),"")))</f>
        <v/>
      </c>
      <c r="L846" s="11">
        <f>IF(AND(C846&lt;&gt;"",E846&lt;&gt;"",I846&lt;&gt;"",OR(Settings!$B$10="No",I846&lt;&gt;E846)),K846*F846,0)</f>
        <v/>
      </c>
      <c r="M846" s="11">
        <f>IF(AND(AND(C846&lt;&gt;"",E846&lt;&gt;"",I846&lt;&gt;"",OR(Settings!$B$10="No",I846&lt;&gt;E846)),G846="Paid a pro",Settings!$B$9="Yes"),MAX(0,H846-K846*F846),0)</f>
        <v/>
      </c>
      <c r="N846" s="3">
        <f>IF(C846="","",IF(B846="","Enter the boat number",IF(B846&gt;Settings!$B$6,"Boat number above the boat count",IF(SUMIFS($F$5:$F$1004,$B$5:$B$1004,B846,$C$5:$C$1004,C846)&gt;1.0001,"Shares for this step add up to over 100%",IF(I846="","Waiting for sign-off",IF(AND(Settings!$B$10="Yes",I846=E846),"Needs a different member to sign off","OK"))))))</f>
        <v/>
      </c>
    </row>
    <row r="847">
      <c r="A847" s="9" t="n"/>
      <c r="B847" s="6" t="n"/>
      <c r="C847" s="6" t="n"/>
      <c r="D847" s="3">
        <f>IF(C847="","",IFERROR(INDEX(Steps!$C$5:$C$62,MATCH(C847,Steps!$A$5:$A$62,0)),""))</f>
        <v/>
      </c>
      <c r="E847" s="6" t="n"/>
      <c r="F847" s="8" t="n"/>
      <c r="G847" s="6" t="n"/>
      <c r="H847" s="7" t="n"/>
      <c r="I847" s="6" t="n"/>
      <c r="J847" s="9" t="n"/>
      <c r="K847" s="11">
        <f>IF(C847="","",N(IFERROR(INDEX(Steps!$E$5:$E$62,MATCH(C847,Steps!$A$5:$A$62,0)),"")))</f>
        <v/>
      </c>
      <c r="L847" s="11">
        <f>IF(AND(C847&lt;&gt;"",E847&lt;&gt;"",I847&lt;&gt;"",OR(Settings!$B$10="No",I847&lt;&gt;E847)),K847*F847,0)</f>
        <v/>
      </c>
      <c r="M847" s="11">
        <f>IF(AND(AND(C847&lt;&gt;"",E847&lt;&gt;"",I847&lt;&gt;"",OR(Settings!$B$10="No",I847&lt;&gt;E847)),G847="Paid a pro",Settings!$B$9="Yes"),MAX(0,H847-K847*F847),0)</f>
        <v/>
      </c>
      <c r="N847" s="3">
        <f>IF(C847="","",IF(B847="","Enter the boat number",IF(B847&gt;Settings!$B$6,"Boat number above the boat count",IF(SUMIFS($F$5:$F$1004,$B$5:$B$1004,B847,$C$5:$C$1004,C847)&gt;1.0001,"Shares for this step add up to over 100%",IF(I847="","Waiting for sign-off",IF(AND(Settings!$B$10="Yes",I847=E847),"Needs a different member to sign off","OK"))))))</f>
        <v/>
      </c>
    </row>
    <row r="848">
      <c r="A848" s="9" t="n"/>
      <c r="B848" s="6" t="n"/>
      <c r="C848" s="6" t="n"/>
      <c r="D848" s="3">
        <f>IF(C848="","",IFERROR(INDEX(Steps!$C$5:$C$62,MATCH(C848,Steps!$A$5:$A$62,0)),""))</f>
        <v/>
      </c>
      <c r="E848" s="6" t="n"/>
      <c r="F848" s="8" t="n"/>
      <c r="G848" s="6" t="n"/>
      <c r="H848" s="7" t="n"/>
      <c r="I848" s="6" t="n"/>
      <c r="J848" s="9" t="n"/>
      <c r="K848" s="11">
        <f>IF(C848="","",N(IFERROR(INDEX(Steps!$E$5:$E$62,MATCH(C848,Steps!$A$5:$A$62,0)),"")))</f>
        <v/>
      </c>
      <c r="L848" s="11">
        <f>IF(AND(C848&lt;&gt;"",E848&lt;&gt;"",I848&lt;&gt;"",OR(Settings!$B$10="No",I848&lt;&gt;E848)),K848*F848,0)</f>
        <v/>
      </c>
      <c r="M848" s="11">
        <f>IF(AND(AND(C848&lt;&gt;"",E848&lt;&gt;"",I848&lt;&gt;"",OR(Settings!$B$10="No",I848&lt;&gt;E848)),G848="Paid a pro",Settings!$B$9="Yes"),MAX(0,H848-K848*F848),0)</f>
        <v/>
      </c>
      <c r="N848" s="3">
        <f>IF(C848="","",IF(B848="","Enter the boat number",IF(B848&gt;Settings!$B$6,"Boat number above the boat count",IF(SUMIFS($F$5:$F$1004,$B$5:$B$1004,B848,$C$5:$C$1004,C848)&gt;1.0001,"Shares for this step add up to over 100%",IF(I848="","Waiting for sign-off",IF(AND(Settings!$B$10="Yes",I848=E848),"Needs a different member to sign off","OK"))))))</f>
        <v/>
      </c>
    </row>
    <row r="849">
      <c r="A849" s="9" t="n"/>
      <c r="B849" s="6" t="n"/>
      <c r="C849" s="6" t="n"/>
      <c r="D849" s="3">
        <f>IF(C849="","",IFERROR(INDEX(Steps!$C$5:$C$62,MATCH(C849,Steps!$A$5:$A$62,0)),""))</f>
        <v/>
      </c>
      <c r="E849" s="6" t="n"/>
      <c r="F849" s="8" t="n"/>
      <c r="G849" s="6" t="n"/>
      <c r="H849" s="7" t="n"/>
      <c r="I849" s="6" t="n"/>
      <c r="J849" s="9" t="n"/>
      <c r="K849" s="11">
        <f>IF(C849="","",N(IFERROR(INDEX(Steps!$E$5:$E$62,MATCH(C849,Steps!$A$5:$A$62,0)),"")))</f>
        <v/>
      </c>
      <c r="L849" s="11">
        <f>IF(AND(C849&lt;&gt;"",E849&lt;&gt;"",I849&lt;&gt;"",OR(Settings!$B$10="No",I849&lt;&gt;E849)),K849*F849,0)</f>
        <v/>
      </c>
      <c r="M849" s="11">
        <f>IF(AND(AND(C849&lt;&gt;"",E849&lt;&gt;"",I849&lt;&gt;"",OR(Settings!$B$10="No",I849&lt;&gt;E849)),G849="Paid a pro",Settings!$B$9="Yes"),MAX(0,H849-K849*F849),0)</f>
        <v/>
      </c>
      <c r="N849" s="3">
        <f>IF(C849="","",IF(B849="","Enter the boat number",IF(B849&gt;Settings!$B$6,"Boat number above the boat count",IF(SUMIFS($F$5:$F$1004,$B$5:$B$1004,B849,$C$5:$C$1004,C849)&gt;1.0001,"Shares for this step add up to over 100%",IF(I849="","Waiting for sign-off",IF(AND(Settings!$B$10="Yes",I849=E849),"Needs a different member to sign off","OK"))))))</f>
        <v/>
      </c>
    </row>
    <row r="850">
      <c r="A850" s="9" t="n"/>
      <c r="B850" s="6" t="n"/>
      <c r="C850" s="6" t="n"/>
      <c r="D850" s="3">
        <f>IF(C850="","",IFERROR(INDEX(Steps!$C$5:$C$62,MATCH(C850,Steps!$A$5:$A$62,0)),""))</f>
        <v/>
      </c>
      <c r="E850" s="6" t="n"/>
      <c r="F850" s="8" t="n"/>
      <c r="G850" s="6" t="n"/>
      <c r="H850" s="7" t="n"/>
      <c r="I850" s="6" t="n"/>
      <c r="J850" s="9" t="n"/>
      <c r="K850" s="11">
        <f>IF(C850="","",N(IFERROR(INDEX(Steps!$E$5:$E$62,MATCH(C850,Steps!$A$5:$A$62,0)),"")))</f>
        <v/>
      </c>
      <c r="L850" s="11">
        <f>IF(AND(C850&lt;&gt;"",E850&lt;&gt;"",I850&lt;&gt;"",OR(Settings!$B$10="No",I850&lt;&gt;E850)),K850*F850,0)</f>
        <v/>
      </c>
      <c r="M850" s="11">
        <f>IF(AND(AND(C850&lt;&gt;"",E850&lt;&gt;"",I850&lt;&gt;"",OR(Settings!$B$10="No",I850&lt;&gt;E850)),G850="Paid a pro",Settings!$B$9="Yes"),MAX(0,H850-K850*F850),0)</f>
        <v/>
      </c>
      <c r="N850" s="3">
        <f>IF(C850="","",IF(B850="","Enter the boat number",IF(B850&gt;Settings!$B$6,"Boat number above the boat count",IF(SUMIFS($F$5:$F$1004,$B$5:$B$1004,B850,$C$5:$C$1004,C850)&gt;1.0001,"Shares for this step add up to over 100%",IF(I850="","Waiting for sign-off",IF(AND(Settings!$B$10="Yes",I850=E850),"Needs a different member to sign off","OK"))))))</f>
        <v/>
      </c>
    </row>
    <row r="851">
      <c r="A851" s="9" t="n"/>
      <c r="B851" s="6" t="n"/>
      <c r="C851" s="6" t="n"/>
      <c r="D851" s="3">
        <f>IF(C851="","",IFERROR(INDEX(Steps!$C$5:$C$62,MATCH(C851,Steps!$A$5:$A$62,0)),""))</f>
        <v/>
      </c>
      <c r="E851" s="6" t="n"/>
      <c r="F851" s="8" t="n"/>
      <c r="G851" s="6" t="n"/>
      <c r="H851" s="7" t="n"/>
      <c r="I851" s="6" t="n"/>
      <c r="J851" s="9" t="n"/>
      <c r="K851" s="11">
        <f>IF(C851="","",N(IFERROR(INDEX(Steps!$E$5:$E$62,MATCH(C851,Steps!$A$5:$A$62,0)),"")))</f>
        <v/>
      </c>
      <c r="L851" s="11">
        <f>IF(AND(C851&lt;&gt;"",E851&lt;&gt;"",I851&lt;&gt;"",OR(Settings!$B$10="No",I851&lt;&gt;E851)),K851*F851,0)</f>
        <v/>
      </c>
      <c r="M851" s="11">
        <f>IF(AND(AND(C851&lt;&gt;"",E851&lt;&gt;"",I851&lt;&gt;"",OR(Settings!$B$10="No",I851&lt;&gt;E851)),G851="Paid a pro",Settings!$B$9="Yes"),MAX(0,H851-K851*F851),0)</f>
        <v/>
      </c>
      <c r="N851" s="3">
        <f>IF(C851="","",IF(B851="","Enter the boat number",IF(B851&gt;Settings!$B$6,"Boat number above the boat count",IF(SUMIFS($F$5:$F$1004,$B$5:$B$1004,B851,$C$5:$C$1004,C851)&gt;1.0001,"Shares for this step add up to over 100%",IF(I851="","Waiting for sign-off",IF(AND(Settings!$B$10="Yes",I851=E851),"Needs a different member to sign off","OK"))))))</f>
        <v/>
      </c>
    </row>
    <row r="852">
      <c r="A852" s="9" t="n"/>
      <c r="B852" s="6" t="n"/>
      <c r="C852" s="6" t="n"/>
      <c r="D852" s="3">
        <f>IF(C852="","",IFERROR(INDEX(Steps!$C$5:$C$62,MATCH(C852,Steps!$A$5:$A$62,0)),""))</f>
        <v/>
      </c>
      <c r="E852" s="6" t="n"/>
      <c r="F852" s="8" t="n"/>
      <c r="G852" s="6" t="n"/>
      <c r="H852" s="7" t="n"/>
      <c r="I852" s="6" t="n"/>
      <c r="J852" s="9" t="n"/>
      <c r="K852" s="11">
        <f>IF(C852="","",N(IFERROR(INDEX(Steps!$E$5:$E$62,MATCH(C852,Steps!$A$5:$A$62,0)),"")))</f>
        <v/>
      </c>
      <c r="L852" s="11">
        <f>IF(AND(C852&lt;&gt;"",E852&lt;&gt;"",I852&lt;&gt;"",OR(Settings!$B$10="No",I852&lt;&gt;E852)),K852*F852,0)</f>
        <v/>
      </c>
      <c r="M852" s="11">
        <f>IF(AND(AND(C852&lt;&gt;"",E852&lt;&gt;"",I852&lt;&gt;"",OR(Settings!$B$10="No",I852&lt;&gt;E852)),G852="Paid a pro",Settings!$B$9="Yes"),MAX(0,H852-K852*F852),0)</f>
        <v/>
      </c>
      <c r="N852" s="3">
        <f>IF(C852="","",IF(B852="","Enter the boat number",IF(B852&gt;Settings!$B$6,"Boat number above the boat count",IF(SUMIFS($F$5:$F$1004,$B$5:$B$1004,B852,$C$5:$C$1004,C852)&gt;1.0001,"Shares for this step add up to over 100%",IF(I852="","Waiting for sign-off",IF(AND(Settings!$B$10="Yes",I852=E852),"Needs a different member to sign off","OK"))))))</f>
        <v/>
      </c>
    </row>
    <row r="853">
      <c r="A853" s="9" t="n"/>
      <c r="B853" s="6" t="n"/>
      <c r="C853" s="6" t="n"/>
      <c r="D853" s="3">
        <f>IF(C853="","",IFERROR(INDEX(Steps!$C$5:$C$62,MATCH(C853,Steps!$A$5:$A$62,0)),""))</f>
        <v/>
      </c>
      <c r="E853" s="6" t="n"/>
      <c r="F853" s="8" t="n"/>
      <c r="G853" s="6" t="n"/>
      <c r="H853" s="7" t="n"/>
      <c r="I853" s="6" t="n"/>
      <c r="J853" s="9" t="n"/>
      <c r="K853" s="11">
        <f>IF(C853="","",N(IFERROR(INDEX(Steps!$E$5:$E$62,MATCH(C853,Steps!$A$5:$A$62,0)),"")))</f>
        <v/>
      </c>
      <c r="L853" s="11">
        <f>IF(AND(C853&lt;&gt;"",E853&lt;&gt;"",I853&lt;&gt;"",OR(Settings!$B$10="No",I853&lt;&gt;E853)),K853*F853,0)</f>
        <v/>
      </c>
      <c r="M853" s="11">
        <f>IF(AND(AND(C853&lt;&gt;"",E853&lt;&gt;"",I853&lt;&gt;"",OR(Settings!$B$10="No",I853&lt;&gt;E853)),G853="Paid a pro",Settings!$B$9="Yes"),MAX(0,H853-K853*F853),0)</f>
        <v/>
      </c>
      <c r="N853" s="3">
        <f>IF(C853="","",IF(B853="","Enter the boat number",IF(B853&gt;Settings!$B$6,"Boat number above the boat count",IF(SUMIFS($F$5:$F$1004,$B$5:$B$1004,B853,$C$5:$C$1004,C853)&gt;1.0001,"Shares for this step add up to over 100%",IF(I853="","Waiting for sign-off",IF(AND(Settings!$B$10="Yes",I853=E853),"Needs a different member to sign off","OK"))))))</f>
        <v/>
      </c>
    </row>
    <row r="854">
      <c r="A854" s="9" t="n"/>
      <c r="B854" s="6" t="n"/>
      <c r="C854" s="6" t="n"/>
      <c r="D854" s="3">
        <f>IF(C854="","",IFERROR(INDEX(Steps!$C$5:$C$62,MATCH(C854,Steps!$A$5:$A$62,0)),""))</f>
        <v/>
      </c>
      <c r="E854" s="6" t="n"/>
      <c r="F854" s="8" t="n"/>
      <c r="G854" s="6" t="n"/>
      <c r="H854" s="7" t="n"/>
      <c r="I854" s="6" t="n"/>
      <c r="J854" s="9" t="n"/>
      <c r="K854" s="11">
        <f>IF(C854="","",N(IFERROR(INDEX(Steps!$E$5:$E$62,MATCH(C854,Steps!$A$5:$A$62,0)),"")))</f>
        <v/>
      </c>
      <c r="L854" s="11">
        <f>IF(AND(C854&lt;&gt;"",E854&lt;&gt;"",I854&lt;&gt;"",OR(Settings!$B$10="No",I854&lt;&gt;E854)),K854*F854,0)</f>
        <v/>
      </c>
      <c r="M854" s="11">
        <f>IF(AND(AND(C854&lt;&gt;"",E854&lt;&gt;"",I854&lt;&gt;"",OR(Settings!$B$10="No",I854&lt;&gt;E854)),G854="Paid a pro",Settings!$B$9="Yes"),MAX(0,H854-K854*F854),0)</f>
        <v/>
      </c>
      <c r="N854" s="3">
        <f>IF(C854="","",IF(B854="","Enter the boat number",IF(B854&gt;Settings!$B$6,"Boat number above the boat count",IF(SUMIFS($F$5:$F$1004,$B$5:$B$1004,B854,$C$5:$C$1004,C854)&gt;1.0001,"Shares for this step add up to over 100%",IF(I854="","Waiting for sign-off",IF(AND(Settings!$B$10="Yes",I854=E854),"Needs a different member to sign off","OK"))))))</f>
        <v/>
      </c>
    </row>
    <row r="855">
      <c r="A855" s="9" t="n"/>
      <c r="B855" s="6" t="n"/>
      <c r="C855" s="6" t="n"/>
      <c r="D855" s="3">
        <f>IF(C855="","",IFERROR(INDEX(Steps!$C$5:$C$62,MATCH(C855,Steps!$A$5:$A$62,0)),""))</f>
        <v/>
      </c>
      <c r="E855" s="6" t="n"/>
      <c r="F855" s="8" t="n"/>
      <c r="G855" s="6" t="n"/>
      <c r="H855" s="7" t="n"/>
      <c r="I855" s="6" t="n"/>
      <c r="J855" s="9" t="n"/>
      <c r="K855" s="11">
        <f>IF(C855="","",N(IFERROR(INDEX(Steps!$E$5:$E$62,MATCH(C855,Steps!$A$5:$A$62,0)),"")))</f>
        <v/>
      </c>
      <c r="L855" s="11">
        <f>IF(AND(C855&lt;&gt;"",E855&lt;&gt;"",I855&lt;&gt;"",OR(Settings!$B$10="No",I855&lt;&gt;E855)),K855*F855,0)</f>
        <v/>
      </c>
      <c r="M855" s="11">
        <f>IF(AND(AND(C855&lt;&gt;"",E855&lt;&gt;"",I855&lt;&gt;"",OR(Settings!$B$10="No",I855&lt;&gt;E855)),G855="Paid a pro",Settings!$B$9="Yes"),MAX(0,H855-K855*F855),0)</f>
        <v/>
      </c>
      <c r="N855" s="3">
        <f>IF(C855="","",IF(B855="","Enter the boat number",IF(B855&gt;Settings!$B$6,"Boat number above the boat count",IF(SUMIFS($F$5:$F$1004,$B$5:$B$1004,B855,$C$5:$C$1004,C855)&gt;1.0001,"Shares for this step add up to over 100%",IF(I855="","Waiting for sign-off",IF(AND(Settings!$B$10="Yes",I855=E855),"Needs a different member to sign off","OK"))))))</f>
        <v/>
      </c>
    </row>
    <row r="856">
      <c r="A856" s="9" t="n"/>
      <c r="B856" s="6" t="n"/>
      <c r="C856" s="6" t="n"/>
      <c r="D856" s="3">
        <f>IF(C856="","",IFERROR(INDEX(Steps!$C$5:$C$62,MATCH(C856,Steps!$A$5:$A$62,0)),""))</f>
        <v/>
      </c>
      <c r="E856" s="6" t="n"/>
      <c r="F856" s="8" t="n"/>
      <c r="G856" s="6" t="n"/>
      <c r="H856" s="7" t="n"/>
      <c r="I856" s="6" t="n"/>
      <c r="J856" s="9" t="n"/>
      <c r="K856" s="11">
        <f>IF(C856="","",N(IFERROR(INDEX(Steps!$E$5:$E$62,MATCH(C856,Steps!$A$5:$A$62,0)),"")))</f>
        <v/>
      </c>
      <c r="L856" s="11">
        <f>IF(AND(C856&lt;&gt;"",E856&lt;&gt;"",I856&lt;&gt;"",OR(Settings!$B$10="No",I856&lt;&gt;E856)),K856*F856,0)</f>
        <v/>
      </c>
      <c r="M856" s="11">
        <f>IF(AND(AND(C856&lt;&gt;"",E856&lt;&gt;"",I856&lt;&gt;"",OR(Settings!$B$10="No",I856&lt;&gt;E856)),G856="Paid a pro",Settings!$B$9="Yes"),MAX(0,H856-K856*F856),0)</f>
        <v/>
      </c>
      <c r="N856" s="3">
        <f>IF(C856="","",IF(B856="","Enter the boat number",IF(B856&gt;Settings!$B$6,"Boat number above the boat count",IF(SUMIFS($F$5:$F$1004,$B$5:$B$1004,B856,$C$5:$C$1004,C856)&gt;1.0001,"Shares for this step add up to over 100%",IF(I856="","Waiting for sign-off",IF(AND(Settings!$B$10="Yes",I856=E856),"Needs a different member to sign off","OK"))))))</f>
        <v/>
      </c>
    </row>
    <row r="857">
      <c r="A857" s="9" t="n"/>
      <c r="B857" s="6" t="n"/>
      <c r="C857" s="6" t="n"/>
      <c r="D857" s="3">
        <f>IF(C857="","",IFERROR(INDEX(Steps!$C$5:$C$62,MATCH(C857,Steps!$A$5:$A$62,0)),""))</f>
        <v/>
      </c>
      <c r="E857" s="6" t="n"/>
      <c r="F857" s="8" t="n"/>
      <c r="G857" s="6" t="n"/>
      <c r="H857" s="7" t="n"/>
      <c r="I857" s="6" t="n"/>
      <c r="J857" s="9" t="n"/>
      <c r="K857" s="11">
        <f>IF(C857="","",N(IFERROR(INDEX(Steps!$E$5:$E$62,MATCH(C857,Steps!$A$5:$A$62,0)),"")))</f>
        <v/>
      </c>
      <c r="L857" s="11">
        <f>IF(AND(C857&lt;&gt;"",E857&lt;&gt;"",I857&lt;&gt;"",OR(Settings!$B$10="No",I857&lt;&gt;E857)),K857*F857,0)</f>
        <v/>
      </c>
      <c r="M857" s="11">
        <f>IF(AND(AND(C857&lt;&gt;"",E857&lt;&gt;"",I857&lt;&gt;"",OR(Settings!$B$10="No",I857&lt;&gt;E857)),G857="Paid a pro",Settings!$B$9="Yes"),MAX(0,H857-K857*F857),0)</f>
        <v/>
      </c>
      <c r="N857" s="3">
        <f>IF(C857="","",IF(B857="","Enter the boat number",IF(B857&gt;Settings!$B$6,"Boat number above the boat count",IF(SUMIFS($F$5:$F$1004,$B$5:$B$1004,B857,$C$5:$C$1004,C857)&gt;1.0001,"Shares for this step add up to over 100%",IF(I857="","Waiting for sign-off",IF(AND(Settings!$B$10="Yes",I857=E857),"Needs a different member to sign off","OK"))))))</f>
        <v/>
      </c>
    </row>
    <row r="858">
      <c r="A858" s="9" t="n"/>
      <c r="B858" s="6" t="n"/>
      <c r="C858" s="6" t="n"/>
      <c r="D858" s="3">
        <f>IF(C858="","",IFERROR(INDEX(Steps!$C$5:$C$62,MATCH(C858,Steps!$A$5:$A$62,0)),""))</f>
        <v/>
      </c>
      <c r="E858" s="6" t="n"/>
      <c r="F858" s="8" t="n"/>
      <c r="G858" s="6" t="n"/>
      <c r="H858" s="7" t="n"/>
      <c r="I858" s="6" t="n"/>
      <c r="J858" s="9" t="n"/>
      <c r="K858" s="11">
        <f>IF(C858="","",N(IFERROR(INDEX(Steps!$E$5:$E$62,MATCH(C858,Steps!$A$5:$A$62,0)),"")))</f>
        <v/>
      </c>
      <c r="L858" s="11">
        <f>IF(AND(C858&lt;&gt;"",E858&lt;&gt;"",I858&lt;&gt;"",OR(Settings!$B$10="No",I858&lt;&gt;E858)),K858*F858,0)</f>
        <v/>
      </c>
      <c r="M858" s="11">
        <f>IF(AND(AND(C858&lt;&gt;"",E858&lt;&gt;"",I858&lt;&gt;"",OR(Settings!$B$10="No",I858&lt;&gt;E858)),G858="Paid a pro",Settings!$B$9="Yes"),MAX(0,H858-K858*F858),0)</f>
        <v/>
      </c>
      <c r="N858" s="3">
        <f>IF(C858="","",IF(B858="","Enter the boat number",IF(B858&gt;Settings!$B$6,"Boat number above the boat count",IF(SUMIFS($F$5:$F$1004,$B$5:$B$1004,B858,$C$5:$C$1004,C858)&gt;1.0001,"Shares for this step add up to over 100%",IF(I858="","Waiting for sign-off",IF(AND(Settings!$B$10="Yes",I858=E858),"Needs a different member to sign off","OK"))))))</f>
        <v/>
      </c>
    </row>
    <row r="859">
      <c r="A859" s="9" t="n"/>
      <c r="B859" s="6" t="n"/>
      <c r="C859" s="6" t="n"/>
      <c r="D859" s="3">
        <f>IF(C859="","",IFERROR(INDEX(Steps!$C$5:$C$62,MATCH(C859,Steps!$A$5:$A$62,0)),""))</f>
        <v/>
      </c>
      <c r="E859" s="6" t="n"/>
      <c r="F859" s="8" t="n"/>
      <c r="G859" s="6" t="n"/>
      <c r="H859" s="7" t="n"/>
      <c r="I859" s="6" t="n"/>
      <c r="J859" s="9" t="n"/>
      <c r="K859" s="11">
        <f>IF(C859="","",N(IFERROR(INDEX(Steps!$E$5:$E$62,MATCH(C859,Steps!$A$5:$A$62,0)),"")))</f>
        <v/>
      </c>
      <c r="L859" s="11">
        <f>IF(AND(C859&lt;&gt;"",E859&lt;&gt;"",I859&lt;&gt;"",OR(Settings!$B$10="No",I859&lt;&gt;E859)),K859*F859,0)</f>
        <v/>
      </c>
      <c r="M859" s="11">
        <f>IF(AND(AND(C859&lt;&gt;"",E859&lt;&gt;"",I859&lt;&gt;"",OR(Settings!$B$10="No",I859&lt;&gt;E859)),G859="Paid a pro",Settings!$B$9="Yes"),MAX(0,H859-K859*F859),0)</f>
        <v/>
      </c>
      <c r="N859" s="3">
        <f>IF(C859="","",IF(B859="","Enter the boat number",IF(B859&gt;Settings!$B$6,"Boat number above the boat count",IF(SUMIFS($F$5:$F$1004,$B$5:$B$1004,B859,$C$5:$C$1004,C859)&gt;1.0001,"Shares for this step add up to over 100%",IF(I859="","Waiting for sign-off",IF(AND(Settings!$B$10="Yes",I859=E859),"Needs a different member to sign off","OK"))))))</f>
        <v/>
      </c>
    </row>
    <row r="860">
      <c r="A860" s="9" t="n"/>
      <c r="B860" s="6" t="n"/>
      <c r="C860" s="6" t="n"/>
      <c r="D860" s="3">
        <f>IF(C860="","",IFERROR(INDEX(Steps!$C$5:$C$62,MATCH(C860,Steps!$A$5:$A$62,0)),""))</f>
        <v/>
      </c>
      <c r="E860" s="6" t="n"/>
      <c r="F860" s="8" t="n"/>
      <c r="G860" s="6" t="n"/>
      <c r="H860" s="7" t="n"/>
      <c r="I860" s="6" t="n"/>
      <c r="J860" s="9" t="n"/>
      <c r="K860" s="11">
        <f>IF(C860="","",N(IFERROR(INDEX(Steps!$E$5:$E$62,MATCH(C860,Steps!$A$5:$A$62,0)),"")))</f>
        <v/>
      </c>
      <c r="L860" s="11">
        <f>IF(AND(C860&lt;&gt;"",E860&lt;&gt;"",I860&lt;&gt;"",OR(Settings!$B$10="No",I860&lt;&gt;E860)),K860*F860,0)</f>
        <v/>
      </c>
      <c r="M860" s="11">
        <f>IF(AND(AND(C860&lt;&gt;"",E860&lt;&gt;"",I860&lt;&gt;"",OR(Settings!$B$10="No",I860&lt;&gt;E860)),G860="Paid a pro",Settings!$B$9="Yes"),MAX(0,H860-K860*F860),0)</f>
        <v/>
      </c>
      <c r="N860" s="3">
        <f>IF(C860="","",IF(B860="","Enter the boat number",IF(B860&gt;Settings!$B$6,"Boat number above the boat count",IF(SUMIFS($F$5:$F$1004,$B$5:$B$1004,B860,$C$5:$C$1004,C860)&gt;1.0001,"Shares for this step add up to over 100%",IF(I860="","Waiting for sign-off",IF(AND(Settings!$B$10="Yes",I860=E860),"Needs a different member to sign off","OK"))))))</f>
        <v/>
      </c>
    </row>
    <row r="861">
      <c r="A861" s="9" t="n"/>
      <c r="B861" s="6" t="n"/>
      <c r="C861" s="6" t="n"/>
      <c r="D861" s="3">
        <f>IF(C861="","",IFERROR(INDEX(Steps!$C$5:$C$62,MATCH(C861,Steps!$A$5:$A$62,0)),""))</f>
        <v/>
      </c>
      <c r="E861" s="6" t="n"/>
      <c r="F861" s="8" t="n"/>
      <c r="G861" s="6" t="n"/>
      <c r="H861" s="7" t="n"/>
      <c r="I861" s="6" t="n"/>
      <c r="J861" s="9" t="n"/>
      <c r="K861" s="11">
        <f>IF(C861="","",N(IFERROR(INDEX(Steps!$E$5:$E$62,MATCH(C861,Steps!$A$5:$A$62,0)),"")))</f>
        <v/>
      </c>
      <c r="L861" s="11">
        <f>IF(AND(C861&lt;&gt;"",E861&lt;&gt;"",I861&lt;&gt;"",OR(Settings!$B$10="No",I861&lt;&gt;E861)),K861*F861,0)</f>
        <v/>
      </c>
      <c r="M861" s="11">
        <f>IF(AND(AND(C861&lt;&gt;"",E861&lt;&gt;"",I861&lt;&gt;"",OR(Settings!$B$10="No",I861&lt;&gt;E861)),G861="Paid a pro",Settings!$B$9="Yes"),MAX(0,H861-K861*F861),0)</f>
        <v/>
      </c>
      <c r="N861" s="3">
        <f>IF(C861="","",IF(B861="","Enter the boat number",IF(B861&gt;Settings!$B$6,"Boat number above the boat count",IF(SUMIFS($F$5:$F$1004,$B$5:$B$1004,B861,$C$5:$C$1004,C861)&gt;1.0001,"Shares for this step add up to over 100%",IF(I861="","Waiting for sign-off",IF(AND(Settings!$B$10="Yes",I861=E861),"Needs a different member to sign off","OK"))))))</f>
        <v/>
      </c>
    </row>
    <row r="862">
      <c r="A862" s="9" t="n"/>
      <c r="B862" s="6" t="n"/>
      <c r="C862" s="6" t="n"/>
      <c r="D862" s="3">
        <f>IF(C862="","",IFERROR(INDEX(Steps!$C$5:$C$62,MATCH(C862,Steps!$A$5:$A$62,0)),""))</f>
        <v/>
      </c>
      <c r="E862" s="6" t="n"/>
      <c r="F862" s="8" t="n"/>
      <c r="G862" s="6" t="n"/>
      <c r="H862" s="7" t="n"/>
      <c r="I862" s="6" t="n"/>
      <c r="J862" s="9" t="n"/>
      <c r="K862" s="11">
        <f>IF(C862="","",N(IFERROR(INDEX(Steps!$E$5:$E$62,MATCH(C862,Steps!$A$5:$A$62,0)),"")))</f>
        <v/>
      </c>
      <c r="L862" s="11">
        <f>IF(AND(C862&lt;&gt;"",E862&lt;&gt;"",I862&lt;&gt;"",OR(Settings!$B$10="No",I862&lt;&gt;E862)),K862*F862,0)</f>
        <v/>
      </c>
      <c r="M862" s="11">
        <f>IF(AND(AND(C862&lt;&gt;"",E862&lt;&gt;"",I862&lt;&gt;"",OR(Settings!$B$10="No",I862&lt;&gt;E862)),G862="Paid a pro",Settings!$B$9="Yes"),MAX(0,H862-K862*F862),0)</f>
        <v/>
      </c>
      <c r="N862" s="3">
        <f>IF(C862="","",IF(B862="","Enter the boat number",IF(B862&gt;Settings!$B$6,"Boat number above the boat count",IF(SUMIFS($F$5:$F$1004,$B$5:$B$1004,B862,$C$5:$C$1004,C862)&gt;1.0001,"Shares for this step add up to over 100%",IF(I862="","Waiting for sign-off",IF(AND(Settings!$B$10="Yes",I862=E862),"Needs a different member to sign off","OK"))))))</f>
        <v/>
      </c>
    </row>
    <row r="863">
      <c r="A863" s="9" t="n"/>
      <c r="B863" s="6" t="n"/>
      <c r="C863" s="6" t="n"/>
      <c r="D863" s="3">
        <f>IF(C863="","",IFERROR(INDEX(Steps!$C$5:$C$62,MATCH(C863,Steps!$A$5:$A$62,0)),""))</f>
        <v/>
      </c>
      <c r="E863" s="6" t="n"/>
      <c r="F863" s="8" t="n"/>
      <c r="G863" s="6" t="n"/>
      <c r="H863" s="7" t="n"/>
      <c r="I863" s="6" t="n"/>
      <c r="J863" s="9" t="n"/>
      <c r="K863" s="11">
        <f>IF(C863="","",N(IFERROR(INDEX(Steps!$E$5:$E$62,MATCH(C863,Steps!$A$5:$A$62,0)),"")))</f>
        <v/>
      </c>
      <c r="L863" s="11">
        <f>IF(AND(C863&lt;&gt;"",E863&lt;&gt;"",I863&lt;&gt;"",OR(Settings!$B$10="No",I863&lt;&gt;E863)),K863*F863,0)</f>
        <v/>
      </c>
      <c r="M863" s="11">
        <f>IF(AND(AND(C863&lt;&gt;"",E863&lt;&gt;"",I863&lt;&gt;"",OR(Settings!$B$10="No",I863&lt;&gt;E863)),G863="Paid a pro",Settings!$B$9="Yes"),MAX(0,H863-K863*F863),0)</f>
        <v/>
      </c>
      <c r="N863" s="3">
        <f>IF(C863="","",IF(B863="","Enter the boat number",IF(B863&gt;Settings!$B$6,"Boat number above the boat count",IF(SUMIFS($F$5:$F$1004,$B$5:$B$1004,B863,$C$5:$C$1004,C863)&gt;1.0001,"Shares for this step add up to over 100%",IF(I863="","Waiting for sign-off",IF(AND(Settings!$B$10="Yes",I863=E863),"Needs a different member to sign off","OK"))))))</f>
        <v/>
      </c>
    </row>
    <row r="864">
      <c r="A864" s="9" t="n"/>
      <c r="B864" s="6" t="n"/>
      <c r="C864" s="6" t="n"/>
      <c r="D864" s="3">
        <f>IF(C864="","",IFERROR(INDEX(Steps!$C$5:$C$62,MATCH(C864,Steps!$A$5:$A$62,0)),""))</f>
        <v/>
      </c>
      <c r="E864" s="6" t="n"/>
      <c r="F864" s="8" t="n"/>
      <c r="G864" s="6" t="n"/>
      <c r="H864" s="7" t="n"/>
      <c r="I864" s="6" t="n"/>
      <c r="J864" s="9" t="n"/>
      <c r="K864" s="11">
        <f>IF(C864="","",N(IFERROR(INDEX(Steps!$E$5:$E$62,MATCH(C864,Steps!$A$5:$A$62,0)),"")))</f>
        <v/>
      </c>
      <c r="L864" s="11">
        <f>IF(AND(C864&lt;&gt;"",E864&lt;&gt;"",I864&lt;&gt;"",OR(Settings!$B$10="No",I864&lt;&gt;E864)),K864*F864,0)</f>
        <v/>
      </c>
      <c r="M864" s="11">
        <f>IF(AND(AND(C864&lt;&gt;"",E864&lt;&gt;"",I864&lt;&gt;"",OR(Settings!$B$10="No",I864&lt;&gt;E864)),G864="Paid a pro",Settings!$B$9="Yes"),MAX(0,H864-K864*F864),0)</f>
        <v/>
      </c>
      <c r="N864" s="3">
        <f>IF(C864="","",IF(B864="","Enter the boat number",IF(B864&gt;Settings!$B$6,"Boat number above the boat count",IF(SUMIFS($F$5:$F$1004,$B$5:$B$1004,B864,$C$5:$C$1004,C864)&gt;1.0001,"Shares for this step add up to over 100%",IF(I864="","Waiting for sign-off",IF(AND(Settings!$B$10="Yes",I864=E864),"Needs a different member to sign off","OK"))))))</f>
        <v/>
      </c>
    </row>
    <row r="865">
      <c r="A865" s="9" t="n"/>
      <c r="B865" s="6" t="n"/>
      <c r="C865" s="6" t="n"/>
      <c r="D865" s="3">
        <f>IF(C865="","",IFERROR(INDEX(Steps!$C$5:$C$62,MATCH(C865,Steps!$A$5:$A$62,0)),""))</f>
        <v/>
      </c>
      <c r="E865" s="6" t="n"/>
      <c r="F865" s="8" t="n"/>
      <c r="G865" s="6" t="n"/>
      <c r="H865" s="7" t="n"/>
      <c r="I865" s="6" t="n"/>
      <c r="J865" s="9" t="n"/>
      <c r="K865" s="11">
        <f>IF(C865="","",N(IFERROR(INDEX(Steps!$E$5:$E$62,MATCH(C865,Steps!$A$5:$A$62,0)),"")))</f>
        <v/>
      </c>
      <c r="L865" s="11">
        <f>IF(AND(C865&lt;&gt;"",E865&lt;&gt;"",I865&lt;&gt;"",OR(Settings!$B$10="No",I865&lt;&gt;E865)),K865*F865,0)</f>
        <v/>
      </c>
      <c r="M865" s="11">
        <f>IF(AND(AND(C865&lt;&gt;"",E865&lt;&gt;"",I865&lt;&gt;"",OR(Settings!$B$10="No",I865&lt;&gt;E865)),G865="Paid a pro",Settings!$B$9="Yes"),MAX(0,H865-K865*F865),0)</f>
        <v/>
      </c>
      <c r="N865" s="3">
        <f>IF(C865="","",IF(B865="","Enter the boat number",IF(B865&gt;Settings!$B$6,"Boat number above the boat count",IF(SUMIFS($F$5:$F$1004,$B$5:$B$1004,B865,$C$5:$C$1004,C865)&gt;1.0001,"Shares for this step add up to over 100%",IF(I865="","Waiting for sign-off",IF(AND(Settings!$B$10="Yes",I865=E865),"Needs a different member to sign off","OK"))))))</f>
        <v/>
      </c>
    </row>
    <row r="866">
      <c r="A866" s="9" t="n"/>
      <c r="B866" s="6" t="n"/>
      <c r="C866" s="6" t="n"/>
      <c r="D866" s="3">
        <f>IF(C866="","",IFERROR(INDEX(Steps!$C$5:$C$62,MATCH(C866,Steps!$A$5:$A$62,0)),""))</f>
        <v/>
      </c>
      <c r="E866" s="6" t="n"/>
      <c r="F866" s="8" t="n"/>
      <c r="G866" s="6" t="n"/>
      <c r="H866" s="7" t="n"/>
      <c r="I866" s="6" t="n"/>
      <c r="J866" s="9" t="n"/>
      <c r="K866" s="11">
        <f>IF(C866="","",N(IFERROR(INDEX(Steps!$E$5:$E$62,MATCH(C866,Steps!$A$5:$A$62,0)),"")))</f>
        <v/>
      </c>
      <c r="L866" s="11">
        <f>IF(AND(C866&lt;&gt;"",E866&lt;&gt;"",I866&lt;&gt;"",OR(Settings!$B$10="No",I866&lt;&gt;E866)),K866*F866,0)</f>
        <v/>
      </c>
      <c r="M866" s="11">
        <f>IF(AND(AND(C866&lt;&gt;"",E866&lt;&gt;"",I866&lt;&gt;"",OR(Settings!$B$10="No",I866&lt;&gt;E866)),G866="Paid a pro",Settings!$B$9="Yes"),MAX(0,H866-K866*F866),0)</f>
        <v/>
      </c>
      <c r="N866" s="3">
        <f>IF(C866="","",IF(B866="","Enter the boat number",IF(B866&gt;Settings!$B$6,"Boat number above the boat count",IF(SUMIFS($F$5:$F$1004,$B$5:$B$1004,B866,$C$5:$C$1004,C866)&gt;1.0001,"Shares for this step add up to over 100%",IF(I866="","Waiting for sign-off",IF(AND(Settings!$B$10="Yes",I866=E866),"Needs a different member to sign off","OK"))))))</f>
        <v/>
      </c>
    </row>
    <row r="867">
      <c r="A867" s="9" t="n"/>
      <c r="B867" s="6" t="n"/>
      <c r="C867" s="6" t="n"/>
      <c r="D867" s="3">
        <f>IF(C867="","",IFERROR(INDEX(Steps!$C$5:$C$62,MATCH(C867,Steps!$A$5:$A$62,0)),""))</f>
        <v/>
      </c>
      <c r="E867" s="6" t="n"/>
      <c r="F867" s="8" t="n"/>
      <c r="G867" s="6" t="n"/>
      <c r="H867" s="7" t="n"/>
      <c r="I867" s="6" t="n"/>
      <c r="J867" s="9" t="n"/>
      <c r="K867" s="11">
        <f>IF(C867="","",N(IFERROR(INDEX(Steps!$E$5:$E$62,MATCH(C867,Steps!$A$5:$A$62,0)),"")))</f>
        <v/>
      </c>
      <c r="L867" s="11">
        <f>IF(AND(C867&lt;&gt;"",E867&lt;&gt;"",I867&lt;&gt;"",OR(Settings!$B$10="No",I867&lt;&gt;E867)),K867*F867,0)</f>
        <v/>
      </c>
      <c r="M867" s="11">
        <f>IF(AND(AND(C867&lt;&gt;"",E867&lt;&gt;"",I867&lt;&gt;"",OR(Settings!$B$10="No",I867&lt;&gt;E867)),G867="Paid a pro",Settings!$B$9="Yes"),MAX(0,H867-K867*F867),0)</f>
        <v/>
      </c>
      <c r="N867" s="3">
        <f>IF(C867="","",IF(B867="","Enter the boat number",IF(B867&gt;Settings!$B$6,"Boat number above the boat count",IF(SUMIFS($F$5:$F$1004,$B$5:$B$1004,B867,$C$5:$C$1004,C867)&gt;1.0001,"Shares for this step add up to over 100%",IF(I867="","Waiting for sign-off",IF(AND(Settings!$B$10="Yes",I867=E867),"Needs a different member to sign off","OK"))))))</f>
        <v/>
      </c>
    </row>
    <row r="868">
      <c r="A868" s="9" t="n"/>
      <c r="B868" s="6" t="n"/>
      <c r="C868" s="6" t="n"/>
      <c r="D868" s="3">
        <f>IF(C868="","",IFERROR(INDEX(Steps!$C$5:$C$62,MATCH(C868,Steps!$A$5:$A$62,0)),""))</f>
        <v/>
      </c>
      <c r="E868" s="6" t="n"/>
      <c r="F868" s="8" t="n"/>
      <c r="G868" s="6" t="n"/>
      <c r="H868" s="7" t="n"/>
      <c r="I868" s="6" t="n"/>
      <c r="J868" s="9" t="n"/>
      <c r="K868" s="11">
        <f>IF(C868="","",N(IFERROR(INDEX(Steps!$E$5:$E$62,MATCH(C868,Steps!$A$5:$A$62,0)),"")))</f>
        <v/>
      </c>
      <c r="L868" s="11">
        <f>IF(AND(C868&lt;&gt;"",E868&lt;&gt;"",I868&lt;&gt;"",OR(Settings!$B$10="No",I868&lt;&gt;E868)),K868*F868,0)</f>
        <v/>
      </c>
      <c r="M868" s="11">
        <f>IF(AND(AND(C868&lt;&gt;"",E868&lt;&gt;"",I868&lt;&gt;"",OR(Settings!$B$10="No",I868&lt;&gt;E868)),G868="Paid a pro",Settings!$B$9="Yes"),MAX(0,H868-K868*F868),0)</f>
        <v/>
      </c>
      <c r="N868" s="3">
        <f>IF(C868="","",IF(B868="","Enter the boat number",IF(B868&gt;Settings!$B$6,"Boat number above the boat count",IF(SUMIFS($F$5:$F$1004,$B$5:$B$1004,B868,$C$5:$C$1004,C868)&gt;1.0001,"Shares for this step add up to over 100%",IF(I868="","Waiting for sign-off",IF(AND(Settings!$B$10="Yes",I868=E868),"Needs a different member to sign off","OK"))))))</f>
        <v/>
      </c>
    </row>
    <row r="869">
      <c r="A869" s="9" t="n"/>
      <c r="B869" s="6" t="n"/>
      <c r="C869" s="6" t="n"/>
      <c r="D869" s="3">
        <f>IF(C869="","",IFERROR(INDEX(Steps!$C$5:$C$62,MATCH(C869,Steps!$A$5:$A$62,0)),""))</f>
        <v/>
      </c>
      <c r="E869" s="6" t="n"/>
      <c r="F869" s="8" t="n"/>
      <c r="G869" s="6" t="n"/>
      <c r="H869" s="7" t="n"/>
      <c r="I869" s="6" t="n"/>
      <c r="J869" s="9" t="n"/>
      <c r="K869" s="11">
        <f>IF(C869="","",N(IFERROR(INDEX(Steps!$E$5:$E$62,MATCH(C869,Steps!$A$5:$A$62,0)),"")))</f>
        <v/>
      </c>
      <c r="L869" s="11">
        <f>IF(AND(C869&lt;&gt;"",E869&lt;&gt;"",I869&lt;&gt;"",OR(Settings!$B$10="No",I869&lt;&gt;E869)),K869*F869,0)</f>
        <v/>
      </c>
      <c r="M869" s="11">
        <f>IF(AND(AND(C869&lt;&gt;"",E869&lt;&gt;"",I869&lt;&gt;"",OR(Settings!$B$10="No",I869&lt;&gt;E869)),G869="Paid a pro",Settings!$B$9="Yes"),MAX(0,H869-K869*F869),0)</f>
        <v/>
      </c>
      <c r="N869" s="3">
        <f>IF(C869="","",IF(B869="","Enter the boat number",IF(B869&gt;Settings!$B$6,"Boat number above the boat count",IF(SUMIFS($F$5:$F$1004,$B$5:$B$1004,B869,$C$5:$C$1004,C869)&gt;1.0001,"Shares for this step add up to over 100%",IF(I869="","Waiting for sign-off",IF(AND(Settings!$B$10="Yes",I869=E869),"Needs a different member to sign off","OK"))))))</f>
        <v/>
      </c>
    </row>
    <row r="870">
      <c r="A870" s="9" t="n"/>
      <c r="B870" s="6" t="n"/>
      <c r="C870" s="6" t="n"/>
      <c r="D870" s="3">
        <f>IF(C870="","",IFERROR(INDEX(Steps!$C$5:$C$62,MATCH(C870,Steps!$A$5:$A$62,0)),""))</f>
        <v/>
      </c>
      <c r="E870" s="6" t="n"/>
      <c r="F870" s="8" t="n"/>
      <c r="G870" s="6" t="n"/>
      <c r="H870" s="7" t="n"/>
      <c r="I870" s="6" t="n"/>
      <c r="J870" s="9" t="n"/>
      <c r="K870" s="11">
        <f>IF(C870="","",N(IFERROR(INDEX(Steps!$E$5:$E$62,MATCH(C870,Steps!$A$5:$A$62,0)),"")))</f>
        <v/>
      </c>
      <c r="L870" s="11">
        <f>IF(AND(C870&lt;&gt;"",E870&lt;&gt;"",I870&lt;&gt;"",OR(Settings!$B$10="No",I870&lt;&gt;E870)),K870*F870,0)</f>
        <v/>
      </c>
      <c r="M870" s="11">
        <f>IF(AND(AND(C870&lt;&gt;"",E870&lt;&gt;"",I870&lt;&gt;"",OR(Settings!$B$10="No",I870&lt;&gt;E870)),G870="Paid a pro",Settings!$B$9="Yes"),MAX(0,H870-K870*F870),0)</f>
        <v/>
      </c>
      <c r="N870" s="3">
        <f>IF(C870="","",IF(B870="","Enter the boat number",IF(B870&gt;Settings!$B$6,"Boat number above the boat count",IF(SUMIFS($F$5:$F$1004,$B$5:$B$1004,B870,$C$5:$C$1004,C870)&gt;1.0001,"Shares for this step add up to over 100%",IF(I870="","Waiting for sign-off",IF(AND(Settings!$B$10="Yes",I870=E870),"Needs a different member to sign off","OK"))))))</f>
        <v/>
      </c>
    </row>
    <row r="871">
      <c r="A871" s="9" t="n"/>
      <c r="B871" s="6" t="n"/>
      <c r="C871" s="6" t="n"/>
      <c r="D871" s="3">
        <f>IF(C871="","",IFERROR(INDEX(Steps!$C$5:$C$62,MATCH(C871,Steps!$A$5:$A$62,0)),""))</f>
        <v/>
      </c>
      <c r="E871" s="6" t="n"/>
      <c r="F871" s="8" t="n"/>
      <c r="G871" s="6" t="n"/>
      <c r="H871" s="7" t="n"/>
      <c r="I871" s="6" t="n"/>
      <c r="J871" s="9" t="n"/>
      <c r="K871" s="11">
        <f>IF(C871="","",N(IFERROR(INDEX(Steps!$E$5:$E$62,MATCH(C871,Steps!$A$5:$A$62,0)),"")))</f>
        <v/>
      </c>
      <c r="L871" s="11">
        <f>IF(AND(C871&lt;&gt;"",E871&lt;&gt;"",I871&lt;&gt;"",OR(Settings!$B$10="No",I871&lt;&gt;E871)),K871*F871,0)</f>
        <v/>
      </c>
      <c r="M871" s="11">
        <f>IF(AND(AND(C871&lt;&gt;"",E871&lt;&gt;"",I871&lt;&gt;"",OR(Settings!$B$10="No",I871&lt;&gt;E871)),G871="Paid a pro",Settings!$B$9="Yes"),MAX(0,H871-K871*F871),0)</f>
        <v/>
      </c>
      <c r="N871" s="3">
        <f>IF(C871="","",IF(B871="","Enter the boat number",IF(B871&gt;Settings!$B$6,"Boat number above the boat count",IF(SUMIFS($F$5:$F$1004,$B$5:$B$1004,B871,$C$5:$C$1004,C871)&gt;1.0001,"Shares for this step add up to over 100%",IF(I871="","Waiting for sign-off",IF(AND(Settings!$B$10="Yes",I871=E871),"Needs a different member to sign off","OK"))))))</f>
        <v/>
      </c>
    </row>
    <row r="872">
      <c r="A872" s="9" t="n"/>
      <c r="B872" s="6" t="n"/>
      <c r="C872" s="6" t="n"/>
      <c r="D872" s="3">
        <f>IF(C872="","",IFERROR(INDEX(Steps!$C$5:$C$62,MATCH(C872,Steps!$A$5:$A$62,0)),""))</f>
        <v/>
      </c>
      <c r="E872" s="6" t="n"/>
      <c r="F872" s="8" t="n"/>
      <c r="G872" s="6" t="n"/>
      <c r="H872" s="7" t="n"/>
      <c r="I872" s="6" t="n"/>
      <c r="J872" s="9" t="n"/>
      <c r="K872" s="11">
        <f>IF(C872="","",N(IFERROR(INDEX(Steps!$E$5:$E$62,MATCH(C872,Steps!$A$5:$A$62,0)),"")))</f>
        <v/>
      </c>
      <c r="L872" s="11">
        <f>IF(AND(C872&lt;&gt;"",E872&lt;&gt;"",I872&lt;&gt;"",OR(Settings!$B$10="No",I872&lt;&gt;E872)),K872*F872,0)</f>
        <v/>
      </c>
      <c r="M872" s="11">
        <f>IF(AND(AND(C872&lt;&gt;"",E872&lt;&gt;"",I872&lt;&gt;"",OR(Settings!$B$10="No",I872&lt;&gt;E872)),G872="Paid a pro",Settings!$B$9="Yes"),MAX(0,H872-K872*F872),0)</f>
        <v/>
      </c>
      <c r="N872" s="3">
        <f>IF(C872="","",IF(B872="","Enter the boat number",IF(B872&gt;Settings!$B$6,"Boat number above the boat count",IF(SUMIFS($F$5:$F$1004,$B$5:$B$1004,B872,$C$5:$C$1004,C872)&gt;1.0001,"Shares for this step add up to over 100%",IF(I872="","Waiting for sign-off",IF(AND(Settings!$B$10="Yes",I872=E872),"Needs a different member to sign off","OK"))))))</f>
        <v/>
      </c>
    </row>
    <row r="873">
      <c r="A873" s="9" t="n"/>
      <c r="B873" s="6" t="n"/>
      <c r="C873" s="6" t="n"/>
      <c r="D873" s="3">
        <f>IF(C873="","",IFERROR(INDEX(Steps!$C$5:$C$62,MATCH(C873,Steps!$A$5:$A$62,0)),""))</f>
        <v/>
      </c>
      <c r="E873" s="6" t="n"/>
      <c r="F873" s="8" t="n"/>
      <c r="G873" s="6" t="n"/>
      <c r="H873" s="7" t="n"/>
      <c r="I873" s="6" t="n"/>
      <c r="J873" s="9" t="n"/>
      <c r="K873" s="11">
        <f>IF(C873="","",N(IFERROR(INDEX(Steps!$E$5:$E$62,MATCH(C873,Steps!$A$5:$A$62,0)),"")))</f>
        <v/>
      </c>
      <c r="L873" s="11">
        <f>IF(AND(C873&lt;&gt;"",E873&lt;&gt;"",I873&lt;&gt;"",OR(Settings!$B$10="No",I873&lt;&gt;E873)),K873*F873,0)</f>
        <v/>
      </c>
      <c r="M873" s="11">
        <f>IF(AND(AND(C873&lt;&gt;"",E873&lt;&gt;"",I873&lt;&gt;"",OR(Settings!$B$10="No",I873&lt;&gt;E873)),G873="Paid a pro",Settings!$B$9="Yes"),MAX(0,H873-K873*F873),0)</f>
        <v/>
      </c>
      <c r="N873" s="3">
        <f>IF(C873="","",IF(B873="","Enter the boat number",IF(B873&gt;Settings!$B$6,"Boat number above the boat count",IF(SUMIFS($F$5:$F$1004,$B$5:$B$1004,B873,$C$5:$C$1004,C873)&gt;1.0001,"Shares for this step add up to over 100%",IF(I873="","Waiting for sign-off",IF(AND(Settings!$B$10="Yes",I873=E873),"Needs a different member to sign off","OK"))))))</f>
        <v/>
      </c>
    </row>
    <row r="874">
      <c r="A874" s="9" t="n"/>
      <c r="B874" s="6" t="n"/>
      <c r="C874" s="6" t="n"/>
      <c r="D874" s="3">
        <f>IF(C874="","",IFERROR(INDEX(Steps!$C$5:$C$62,MATCH(C874,Steps!$A$5:$A$62,0)),""))</f>
        <v/>
      </c>
      <c r="E874" s="6" t="n"/>
      <c r="F874" s="8" t="n"/>
      <c r="G874" s="6" t="n"/>
      <c r="H874" s="7" t="n"/>
      <c r="I874" s="6" t="n"/>
      <c r="J874" s="9" t="n"/>
      <c r="K874" s="11">
        <f>IF(C874="","",N(IFERROR(INDEX(Steps!$E$5:$E$62,MATCH(C874,Steps!$A$5:$A$62,0)),"")))</f>
        <v/>
      </c>
      <c r="L874" s="11">
        <f>IF(AND(C874&lt;&gt;"",E874&lt;&gt;"",I874&lt;&gt;"",OR(Settings!$B$10="No",I874&lt;&gt;E874)),K874*F874,0)</f>
        <v/>
      </c>
      <c r="M874" s="11">
        <f>IF(AND(AND(C874&lt;&gt;"",E874&lt;&gt;"",I874&lt;&gt;"",OR(Settings!$B$10="No",I874&lt;&gt;E874)),G874="Paid a pro",Settings!$B$9="Yes"),MAX(0,H874-K874*F874),0)</f>
        <v/>
      </c>
      <c r="N874" s="3">
        <f>IF(C874="","",IF(B874="","Enter the boat number",IF(B874&gt;Settings!$B$6,"Boat number above the boat count",IF(SUMIFS($F$5:$F$1004,$B$5:$B$1004,B874,$C$5:$C$1004,C874)&gt;1.0001,"Shares for this step add up to over 100%",IF(I874="","Waiting for sign-off",IF(AND(Settings!$B$10="Yes",I874=E874),"Needs a different member to sign off","OK"))))))</f>
        <v/>
      </c>
    </row>
    <row r="875">
      <c r="A875" s="9" t="n"/>
      <c r="B875" s="6" t="n"/>
      <c r="C875" s="6" t="n"/>
      <c r="D875" s="3">
        <f>IF(C875="","",IFERROR(INDEX(Steps!$C$5:$C$62,MATCH(C875,Steps!$A$5:$A$62,0)),""))</f>
        <v/>
      </c>
      <c r="E875" s="6" t="n"/>
      <c r="F875" s="8" t="n"/>
      <c r="G875" s="6" t="n"/>
      <c r="H875" s="7" t="n"/>
      <c r="I875" s="6" t="n"/>
      <c r="J875" s="9" t="n"/>
      <c r="K875" s="11">
        <f>IF(C875="","",N(IFERROR(INDEX(Steps!$E$5:$E$62,MATCH(C875,Steps!$A$5:$A$62,0)),"")))</f>
        <v/>
      </c>
      <c r="L875" s="11">
        <f>IF(AND(C875&lt;&gt;"",E875&lt;&gt;"",I875&lt;&gt;"",OR(Settings!$B$10="No",I875&lt;&gt;E875)),K875*F875,0)</f>
        <v/>
      </c>
      <c r="M875" s="11">
        <f>IF(AND(AND(C875&lt;&gt;"",E875&lt;&gt;"",I875&lt;&gt;"",OR(Settings!$B$10="No",I875&lt;&gt;E875)),G875="Paid a pro",Settings!$B$9="Yes"),MAX(0,H875-K875*F875),0)</f>
        <v/>
      </c>
      <c r="N875" s="3">
        <f>IF(C875="","",IF(B875="","Enter the boat number",IF(B875&gt;Settings!$B$6,"Boat number above the boat count",IF(SUMIFS($F$5:$F$1004,$B$5:$B$1004,B875,$C$5:$C$1004,C875)&gt;1.0001,"Shares for this step add up to over 100%",IF(I875="","Waiting for sign-off",IF(AND(Settings!$B$10="Yes",I875=E875),"Needs a different member to sign off","OK"))))))</f>
        <v/>
      </c>
    </row>
    <row r="876">
      <c r="A876" s="9" t="n"/>
      <c r="B876" s="6" t="n"/>
      <c r="C876" s="6" t="n"/>
      <c r="D876" s="3">
        <f>IF(C876="","",IFERROR(INDEX(Steps!$C$5:$C$62,MATCH(C876,Steps!$A$5:$A$62,0)),""))</f>
        <v/>
      </c>
      <c r="E876" s="6" t="n"/>
      <c r="F876" s="8" t="n"/>
      <c r="G876" s="6" t="n"/>
      <c r="H876" s="7" t="n"/>
      <c r="I876" s="6" t="n"/>
      <c r="J876" s="9" t="n"/>
      <c r="K876" s="11">
        <f>IF(C876="","",N(IFERROR(INDEX(Steps!$E$5:$E$62,MATCH(C876,Steps!$A$5:$A$62,0)),"")))</f>
        <v/>
      </c>
      <c r="L876" s="11">
        <f>IF(AND(C876&lt;&gt;"",E876&lt;&gt;"",I876&lt;&gt;"",OR(Settings!$B$10="No",I876&lt;&gt;E876)),K876*F876,0)</f>
        <v/>
      </c>
      <c r="M876" s="11">
        <f>IF(AND(AND(C876&lt;&gt;"",E876&lt;&gt;"",I876&lt;&gt;"",OR(Settings!$B$10="No",I876&lt;&gt;E876)),G876="Paid a pro",Settings!$B$9="Yes"),MAX(0,H876-K876*F876),0)</f>
        <v/>
      </c>
      <c r="N876" s="3">
        <f>IF(C876="","",IF(B876="","Enter the boat number",IF(B876&gt;Settings!$B$6,"Boat number above the boat count",IF(SUMIFS($F$5:$F$1004,$B$5:$B$1004,B876,$C$5:$C$1004,C876)&gt;1.0001,"Shares for this step add up to over 100%",IF(I876="","Waiting for sign-off",IF(AND(Settings!$B$10="Yes",I876=E876),"Needs a different member to sign off","OK"))))))</f>
        <v/>
      </c>
    </row>
    <row r="877">
      <c r="A877" s="9" t="n"/>
      <c r="B877" s="6" t="n"/>
      <c r="C877" s="6" t="n"/>
      <c r="D877" s="3">
        <f>IF(C877="","",IFERROR(INDEX(Steps!$C$5:$C$62,MATCH(C877,Steps!$A$5:$A$62,0)),""))</f>
        <v/>
      </c>
      <c r="E877" s="6" t="n"/>
      <c r="F877" s="8" t="n"/>
      <c r="G877" s="6" t="n"/>
      <c r="H877" s="7" t="n"/>
      <c r="I877" s="6" t="n"/>
      <c r="J877" s="9" t="n"/>
      <c r="K877" s="11">
        <f>IF(C877="","",N(IFERROR(INDEX(Steps!$E$5:$E$62,MATCH(C877,Steps!$A$5:$A$62,0)),"")))</f>
        <v/>
      </c>
      <c r="L877" s="11">
        <f>IF(AND(C877&lt;&gt;"",E877&lt;&gt;"",I877&lt;&gt;"",OR(Settings!$B$10="No",I877&lt;&gt;E877)),K877*F877,0)</f>
        <v/>
      </c>
      <c r="M877" s="11">
        <f>IF(AND(AND(C877&lt;&gt;"",E877&lt;&gt;"",I877&lt;&gt;"",OR(Settings!$B$10="No",I877&lt;&gt;E877)),G877="Paid a pro",Settings!$B$9="Yes"),MAX(0,H877-K877*F877),0)</f>
        <v/>
      </c>
      <c r="N877" s="3">
        <f>IF(C877="","",IF(B877="","Enter the boat number",IF(B877&gt;Settings!$B$6,"Boat number above the boat count",IF(SUMIFS($F$5:$F$1004,$B$5:$B$1004,B877,$C$5:$C$1004,C877)&gt;1.0001,"Shares for this step add up to over 100%",IF(I877="","Waiting for sign-off",IF(AND(Settings!$B$10="Yes",I877=E877),"Needs a different member to sign off","OK"))))))</f>
        <v/>
      </c>
    </row>
    <row r="878">
      <c r="A878" s="9" t="n"/>
      <c r="B878" s="6" t="n"/>
      <c r="C878" s="6" t="n"/>
      <c r="D878" s="3">
        <f>IF(C878="","",IFERROR(INDEX(Steps!$C$5:$C$62,MATCH(C878,Steps!$A$5:$A$62,0)),""))</f>
        <v/>
      </c>
      <c r="E878" s="6" t="n"/>
      <c r="F878" s="8" t="n"/>
      <c r="G878" s="6" t="n"/>
      <c r="H878" s="7" t="n"/>
      <c r="I878" s="6" t="n"/>
      <c r="J878" s="9" t="n"/>
      <c r="K878" s="11">
        <f>IF(C878="","",N(IFERROR(INDEX(Steps!$E$5:$E$62,MATCH(C878,Steps!$A$5:$A$62,0)),"")))</f>
        <v/>
      </c>
      <c r="L878" s="11">
        <f>IF(AND(C878&lt;&gt;"",E878&lt;&gt;"",I878&lt;&gt;"",OR(Settings!$B$10="No",I878&lt;&gt;E878)),K878*F878,0)</f>
        <v/>
      </c>
      <c r="M878" s="11">
        <f>IF(AND(AND(C878&lt;&gt;"",E878&lt;&gt;"",I878&lt;&gt;"",OR(Settings!$B$10="No",I878&lt;&gt;E878)),G878="Paid a pro",Settings!$B$9="Yes"),MAX(0,H878-K878*F878),0)</f>
        <v/>
      </c>
      <c r="N878" s="3">
        <f>IF(C878="","",IF(B878="","Enter the boat number",IF(B878&gt;Settings!$B$6,"Boat number above the boat count",IF(SUMIFS($F$5:$F$1004,$B$5:$B$1004,B878,$C$5:$C$1004,C878)&gt;1.0001,"Shares for this step add up to over 100%",IF(I878="","Waiting for sign-off",IF(AND(Settings!$B$10="Yes",I878=E878),"Needs a different member to sign off","OK"))))))</f>
        <v/>
      </c>
    </row>
    <row r="879">
      <c r="A879" s="9" t="n"/>
      <c r="B879" s="6" t="n"/>
      <c r="C879" s="6" t="n"/>
      <c r="D879" s="3">
        <f>IF(C879="","",IFERROR(INDEX(Steps!$C$5:$C$62,MATCH(C879,Steps!$A$5:$A$62,0)),""))</f>
        <v/>
      </c>
      <c r="E879" s="6" t="n"/>
      <c r="F879" s="8" t="n"/>
      <c r="G879" s="6" t="n"/>
      <c r="H879" s="7" t="n"/>
      <c r="I879" s="6" t="n"/>
      <c r="J879" s="9" t="n"/>
      <c r="K879" s="11">
        <f>IF(C879="","",N(IFERROR(INDEX(Steps!$E$5:$E$62,MATCH(C879,Steps!$A$5:$A$62,0)),"")))</f>
        <v/>
      </c>
      <c r="L879" s="11">
        <f>IF(AND(C879&lt;&gt;"",E879&lt;&gt;"",I879&lt;&gt;"",OR(Settings!$B$10="No",I879&lt;&gt;E879)),K879*F879,0)</f>
        <v/>
      </c>
      <c r="M879" s="11">
        <f>IF(AND(AND(C879&lt;&gt;"",E879&lt;&gt;"",I879&lt;&gt;"",OR(Settings!$B$10="No",I879&lt;&gt;E879)),G879="Paid a pro",Settings!$B$9="Yes"),MAX(0,H879-K879*F879),0)</f>
        <v/>
      </c>
      <c r="N879" s="3">
        <f>IF(C879="","",IF(B879="","Enter the boat number",IF(B879&gt;Settings!$B$6,"Boat number above the boat count",IF(SUMIFS($F$5:$F$1004,$B$5:$B$1004,B879,$C$5:$C$1004,C879)&gt;1.0001,"Shares for this step add up to over 100%",IF(I879="","Waiting for sign-off",IF(AND(Settings!$B$10="Yes",I879=E879),"Needs a different member to sign off","OK"))))))</f>
        <v/>
      </c>
    </row>
    <row r="880">
      <c r="A880" s="9" t="n"/>
      <c r="B880" s="6" t="n"/>
      <c r="C880" s="6" t="n"/>
      <c r="D880" s="3">
        <f>IF(C880="","",IFERROR(INDEX(Steps!$C$5:$C$62,MATCH(C880,Steps!$A$5:$A$62,0)),""))</f>
        <v/>
      </c>
      <c r="E880" s="6" t="n"/>
      <c r="F880" s="8" t="n"/>
      <c r="G880" s="6" t="n"/>
      <c r="H880" s="7" t="n"/>
      <c r="I880" s="6" t="n"/>
      <c r="J880" s="9" t="n"/>
      <c r="K880" s="11">
        <f>IF(C880="","",N(IFERROR(INDEX(Steps!$E$5:$E$62,MATCH(C880,Steps!$A$5:$A$62,0)),"")))</f>
        <v/>
      </c>
      <c r="L880" s="11">
        <f>IF(AND(C880&lt;&gt;"",E880&lt;&gt;"",I880&lt;&gt;"",OR(Settings!$B$10="No",I880&lt;&gt;E880)),K880*F880,0)</f>
        <v/>
      </c>
      <c r="M880" s="11">
        <f>IF(AND(AND(C880&lt;&gt;"",E880&lt;&gt;"",I880&lt;&gt;"",OR(Settings!$B$10="No",I880&lt;&gt;E880)),G880="Paid a pro",Settings!$B$9="Yes"),MAX(0,H880-K880*F880),0)</f>
        <v/>
      </c>
      <c r="N880" s="3">
        <f>IF(C880="","",IF(B880="","Enter the boat number",IF(B880&gt;Settings!$B$6,"Boat number above the boat count",IF(SUMIFS($F$5:$F$1004,$B$5:$B$1004,B880,$C$5:$C$1004,C880)&gt;1.0001,"Shares for this step add up to over 100%",IF(I880="","Waiting for sign-off",IF(AND(Settings!$B$10="Yes",I880=E880),"Needs a different member to sign off","OK"))))))</f>
        <v/>
      </c>
    </row>
    <row r="881">
      <c r="A881" s="9" t="n"/>
      <c r="B881" s="6" t="n"/>
      <c r="C881" s="6" t="n"/>
      <c r="D881" s="3">
        <f>IF(C881="","",IFERROR(INDEX(Steps!$C$5:$C$62,MATCH(C881,Steps!$A$5:$A$62,0)),""))</f>
        <v/>
      </c>
      <c r="E881" s="6" t="n"/>
      <c r="F881" s="8" t="n"/>
      <c r="G881" s="6" t="n"/>
      <c r="H881" s="7" t="n"/>
      <c r="I881" s="6" t="n"/>
      <c r="J881" s="9" t="n"/>
      <c r="K881" s="11">
        <f>IF(C881="","",N(IFERROR(INDEX(Steps!$E$5:$E$62,MATCH(C881,Steps!$A$5:$A$62,0)),"")))</f>
        <v/>
      </c>
      <c r="L881" s="11">
        <f>IF(AND(C881&lt;&gt;"",E881&lt;&gt;"",I881&lt;&gt;"",OR(Settings!$B$10="No",I881&lt;&gt;E881)),K881*F881,0)</f>
        <v/>
      </c>
      <c r="M881" s="11">
        <f>IF(AND(AND(C881&lt;&gt;"",E881&lt;&gt;"",I881&lt;&gt;"",OR(Settings!$B$10="No",I881&lt;&gt;E881)),G881="Paid a pro",Settings!$B$9="Yes"),MAX(0,H881-K881*F881),0)</f>
        <v/>
      </c>
      <c r="N881" s="3">
        <f>IF(C881="","",IF(B881="","Enter the boat number",IF(B881&gt;Settings!$B$6,"Boat number above the boat count",IF(SUMIFS($F$5:$F$1004,$B$5:$B$1004,B881,$C$5:$C$1004,C881)&gt;1.0001,"Shares for this step add up to over 100%",IF(I881="","Waiting for sign-off",IF(AND(Settings!$B$10="Yes",I881=E881),"Needs a different member to sign off","OK"))))))</f>
        <v/>
      </c>
    </row>
    <row r="882">
      <c r="A882" s="9" t="n"/>
      <c r="B882" s="6" t="n"/>
      <c r="C882" s="6" t="n"/>
      <c r="D882" s="3">
        <f>IF(C882="","",IFERROR(INDEX(Steps!$C$5:$C$62,MATCH(C882,Steps!$A$5:$A$62,0)),""))</f>
        <v/>
      </c>
      <c r="E882" s="6" t="n"/>
      <c r="F882" s="8" t="n"/>
      <c r="G882" s="6" t="n"/>
      <c r="H882" s="7" t="n"/>
      <c r="I882" s="6" t="n"/>
      <c r="J882" s="9" t="n"/>
      <c r="K882" s="11">
        <f>IF(C882="","",N(IFERROR(INDEX(Steps!$E$5:$E$62,MATCH(C882,Steps!$A$5:$A$62,0)),"")))</f>
        <v/>
      </c>
      <c r="L882" s="11">
        <f>IF(AND(C882&lt;&gt;"",E882&lt;&gt;"",I882&lt;&gt;"",OR(Settings!$B$10="No",I882&lt;&gt;E882)),K882*F882,0)</f>
        <v/>
      </c>
      <c r="M882" s="11">
        <f>IF(AND(AND(C882&lt;&gt;"",E882&lt;&gt;"",I882&lt;&gt;"",OR(Settings!$B$10="No",I882&lt;&gt;E882)),G882="Paid a pro",Settings!$B$9="Yes"),MAX(0,H882-K882*F882),0)</f>
        <v/>
      </c>
      <c r="N882" s="3">
        <f>IF(C882="","",IF(B882="","Enter the boat number",IF(B882&gt;Settings!$B$6,"Boat number above the boat count",IF(SUMIFS($F$5:$F$1004,$B$5:$B$1004,B882,$C$5:$C$1004,C882)&gt;1.0001,"Shares for this step add up to over 100%",IF(I882="","Waiting for sign-off",IF(AND(Settings!$B$10="Yes",I882=E882),"Needs a different member to sign off","OK"))))))</f>
        <v/>
      </c>
    </row>
    <row r="883">
      <c r="A883" s="9" t="n"/>
      <c r="B883" s="6" t="n"/>
      <c r="C883" s="6" t="n"/>
      <c r="D883" s="3">
        <f>IF(C883="","",IFERROR(INDEX(Steps!$C$5:$C$62,MATCH(C883,Steps!$A$5:$A$62,0)),""))</f>
        <v/>
      </c>
      <c r="E883" s="6" t="n"/>
      <c r="F883" s="8" t="n"/>
      <c r="G883" s="6" t="n"/>
      <c r="H883" s="7" t="n"/>
      <c r="I883" s="6" t="n"/>
      <c r="J883" s="9" t="n"/>
      <c r="K883" s="11">
        <f>IF(C883="","",N(IFERROR(INDEX(Steps!$E$5:$E$62,MATCH(C883,Steps!$A$5:$A$62,0)),"")))</f>
        <v/>
      </c>
      <c r="L883" s="11">
        <f>IF(AND(C883&lt;&gt;"",E883&lt;&gt;"",I883&lt;&gt;"",OR(Settings!$B$10="No",I883&lt;&gt;E883)),K883*F883,0)</f>
        <v/>
      </c>
      <c r="M883" s="11">
        <f>IF(AND(AND(C883&lt;&gt;"",E883&lt;&gt;"",I883&lt;&gt;"",OR(Settings!$B$10="No",I883&lt;&gt;E883)),G883="Paid a pro",Settings!$B$9="Yes"),MAX(0,H883-K883*F883),0)</f>
        <v/>
      </c>
      <c r="N883" s="3">
        <f>IF(C883="","",IF(B883="","Enter the boat number",IF(B883&gt;Settings!$B$6,"Boat number above the boat count",IF(SUMIFS($F$5:$F$1004,$B$5:$B$1004,B883,$C$5:$C$1004,C883)&gt;1.0001,"Shares for this step add up to over 100%",IF(I883="","Waiting for sign-off",IF(AND(Settings!$B$10="Yes",I883=E883),"Needs a different member to sign off","OK"))))))</f>
        <v/>
      </c>
    </row>
    <row r="884">
      <c r="A884" s="9" t="n"/>
      <c r="B884" s="6" t="n"/>
      <c r="C884" s="6" t="n"/>
      <c r="D884" s="3">
        <f>IF(C884="","",IFERROR(INDEX(Steps!$C$5:$C$62,MATCH(C884,Steps!$A$5:$A$62,0)),""))</f>
        <v/>
      </c>
      <c r="E884" s="6" t="n"/>
      <c r="F884" s="8" t="n"/>
      <c r="G884" s="6" t="n"/>
      <c r="H884" s="7" t="n"/>
      <c r="I884" s="6" t="n"/>
      <c r="J884" s="9" t="n"/>
      <c r="K884" s="11">
        <f>IF(C884="","",N(IFERROR(INDEX(Steps!$E$5:$E$62,MATCH(C884,Steps!$A$5:$A$62,0)),"")))</f>
        <v/>
      </c>
      <c r="L884" s="11">
        <f>IF(AND(C884&lt;&gt;"",E884&lt;&gt;"",I884&lt;&gt;"",OR(Settings!$B$10="No",I884&lt;&gt;E884)),K884*F884,0)</f>
        <v/>
      </c>
      <c r="M884" s="11">
        <f>IF(AND(AND(C884&lt;&gt;"",E884&lt;&gt;"",I884&lt;&gt;"",OR(Settings!$B$10="No",I884&lt;&gt;E884)),G884="Paid a pro",Settings!$B$9="Yes"),MAX(0,H884-K884*F884),0)</f>
        <v/>
      </c>
      <c r="N884" s="3">
        <f>IF(C884="","",IF(B884="","Enter the boat number",IF(B884&gt;Settings!$B$6,"Boat number above the boat count",IF(SUMIFS($F$5:$F$1004,$B$5:$B$1004,B884,$C$5:$C$1004,C884)&gt;1.0001,"Shares for this step add up to over 100%",IF(I884="","Waiting for sign-off",IF(AND(Settings!$B$10="Yes",I884=E884),"Needs a different member to sign off","OK"))))))</f>
        <v/>
      </c>
    </row>
    <row r="885">
      <c r="A885" s="9" t="n"/>
      <c r="B885" s="6" t="n"/>
      <c r="C885" s="6" t="n"/>
      <c r="D885" s="3">
        <f>IF(C885="","",IFERROR(INDEX(Steps!$C$5:$C$62,MATCH(C885,Steps!$A$5:$A$62,0)),""))</f>
        <v/>
      </c>
      <c r="E885" s="6" t="n"/>
      <c r="F885" s="8" t="n"/>
      <c r="G885" s="6" t="n"/>
      <c r="H885" s="7" t="n"/>
      <c r="I885" s="6" t="n"/>
      <c r="J885" s="9" t="n"/>
      <c r="K885" s="11">
        <f>IF(C885="","",N(IFERROR(INDEX(Steps!$E$5:$E$62,MATCH(C885,Steps!$A$5:$A$62,0)),"")))</f>
        <v/>
      </c>
      <c r="L885" s="11">
        <f>IF(AND(C885&lt;&gt;"",E885&lt;&gt;"",I885&lt;&gt;"",OR(Settings!$B$10="No",I885&lt;&gt;E885)),K885*F885,0)</f>
        <v/>
      </c>
      <c r="M885" s="11">
        <f>IF(AND(AND(C885&lt;&gt;"",E885&lt;&gt;"",I885&lt;&gt;"",OR(Settings!$B$10="No",I885&lt;&gt;E885)),G885="Paid a pro",Settings!$B$9="Yes"),MAX(0,H885-K885*F885),0)</f>
        <v/>
      </c>
      <c r="N885" s="3">
        <f>IF(C885="","",IF(B885="","Enter the boat number",IF(B885&gt;Settings!$B$6,"Boat number above the boat count",IF(SUMIFS($F$5:$F$1004,$B$5:$B$1004,B885,$C$5:$C$1004,C885)&gt;1.0001,"Shares for this step add up to over 100%",IF(I885="","Waiting for sign-off",IF(AND(Settings!$B$10="Yes",I885=E885),"Needs a different member to sign off","OK"))))))</f>
        <v/>
      </c>
    </row>
    <row r="886">
      <c r="A886" s="9" t="n"/>
      <c r="B886" s="6" t="n"/>
      <c r="C886" s="6" t="n"/>
      <c r="D886" s="3">
        <f>IF(C886="","",IFERROR(INDEX(Steps!$C$5:$C$62,MATCH(C886,Steps!$A$5:$A$62,0)),""))</f>
        <v/>
      </c>
      <c r="E886" s="6" t="n"/>
      <c r="F886" s="8" t="n"/>
      <c r="G886" s="6" t="n"/>
      <c r="H886" s="7" t="n"/>
      <c r="I886" s="6" t="n"/>
      <c r="J886" s="9" t="n"/>
      <c r="K886" s="11">
        <f>IF(C886="","",N(IFERROR(INDEX(Steps!$E$5:$E$62,MATCH(C886,Steps!$A$5:$A$62,0)),"")))</f>
        <v/>
      </c>
      <c r="L886" s="11">
        <f>IF(AND(C886&lt;&gt;"",E886&lt;&gt;"",I886&lt;&gt;"",OR(Settings!$B$10="No",I886&lt;&gt;E886)),K886*F886,0)</f>
        <v/>
      </c>
      <c r="M886" s="11">
        <f>IF(AND(AND(C886&lt;&gt;"",E886&lt;&gt;"",I886&lt;&gt;"",OR(Settings!$B$10="No",I886&lt;&gt;E886)),G886="Paid a pro",Settings!$B$9="Yes"),MAX(0,H886-K886*F886),0)</f>
        <v/>
      </c>
      <c r="N886" s="3">
        <f>IF(C886="","",IF(B886="","Enter the boat number",IF(B886&gt;Settings!$B$6,"Boat number above the boat count",IF(SUMIFS($F$5:$F$1004,$B$5:$B$1004,B886,$C$5:$C$1004,C886)&gt;1.0001,"Shares for this step add up to over 100%",IF(I886="","Waiting for sign-off",IF(AND(Settings!$B$10="Yes",I886=E886),"Needs a different member to sign off","OK"))))))</f>
        <v/>
      </c>
    </row>
    <row r="887">
      <c r="A887" s="9" t="n"/>
      <c r="B887" s="6" t="n"/>
      <c r="C887" s="6" t="n"/>
      <c r="D887" s="3">
        <f>IF(C887="","",IFERROR(INDEX(Steps!$C$5:$C$62,MATCH(C887,Steps!$A$5:$A$62,0)),""))</f>
        <v/>
      </c>
      <c r="E887" s="6" t="n"/>
      <c r="F887" s="8" t="n"/>
      <c r="G887" s="6" t="n"/>
      <c r="H887" s="7" t="n"/>
      <c r="I887" s="6" t="n"/>
      <c r="J887" s="9" t="n"/>
      <c r="K887" s="11">
        <f>IF(C887="","",N(IFERROR(INDEX(Steps!$E$5:$E$62,MATCH(C887,Steps!$A$5:$A$62,0)),"")))</f>
        <v/>
      </c>
      <c r="L887" s="11">
        <f>IF(AND(C887&lt;&gt;"",E887&lt;&gt;"",I887&lt;&gt;"",OR(Settings!$B$10="No",I887&lt;&gt;E887)),K887*F887,0)</f>
        <v/>
      </c>
      <c r="M887" s="11">
        <f>IF(AND(AND(C887&lt;&gt;"",E887&lt;&gt;"",I887&lt;&gt;"",OR(Settings!$B$10="No",I887&lt;&gt;E887)),G887="Paid a pro",Settings!$B$9="Yes"),MAX(0,H887-K887*F887),0)</f>
        <v/>
      </c>
      <c r="N887" s="3">
        <f>IF(C887="","",IF(B887="","Enter the boat number",IF(B887&gt;Settings!$B$6,"Boat number above the boat count",IF(SUMIFS($F$5:$F$1004,$B$5:$B$1004,B887,$C$5:$C$1004,C887)&gt;1.0001,"Shares for this step add up to over 100%",IF(I887="","Waiting for sign-off",IF(AND(Settings!$B$10="Yes",I887=E887),"Needs a different member to sign off","OK"))))))</f>
        <v/>
      </c>
    </row>
    <row r="888">
      <c r="A888" s="9" t="n"/>
      <c r="B888" s="6" t="n"/>
      <c r="C888" s="6" t="n"/>
      <c r="D888" s="3">
        <f>IF(C888="","",IFERROR(INDEX(Steps!$C$5:$C$62,MATCH(C888,Steps!$A$5:$A$62,0)),""))</f>
        <v/>
      </c>
      <c r="E888" s="6" t="n"/>
      <c r="F888" s="8" t="n"/>
      <c r="G888" s="6" t="n"/>
      <c r="H888" s="7" t="n"/>
      <c r="I888" s="6" t="n"/>
      <c r="J888" s="9" t="n"/>
      <c r="K888" s="11">
        <f>IF(C888="","",N(IFERROR(INDEX(Steps!$E$5:$E$62,MATCH(C888,Steps!$A$5:$A$62,0)),"")))</f>
        <v/>
      </c>
      <c r="L888" s="11">
        <f>IF(AND(C888&lt;&gt;"",E888&lt;&gt;"",I888&lt;&gt;"",OR(Settings!$B$10="No",I888&lt;&gt;E888)),K888*F888,0)</f>
        <v/>
      </c>
      <c r="M888" s="11">
        <f>IF(AND(AND(C888&lt;&gt;"",E888&lt;&gt;"",I888&lt;&gt;"",OR(Settings!$B$10="No",I888&lt;&gt;E888)),G888="Paid a pro",Settings!$B$9="Yes"),MAX(0,H888-K888*F888),0)</f>
        <v/>
      </c>
      <c r="N888" s="3">
        <f>IF(C888="","",IF(B888="","Enter the boat number",IF(B888&gt;Settings!$B$6,"Boat number above the boat count",IF(SUMIFS($F$5:$F$1004,$B$5:$B$1004,B888,$C$5:$C$1004,C888)&gt;1.0001,"Shares for this step add up to over 100%",IF(I888="","Waiting for sign-off",IF(AND(Settings!$B$10="Yes",I888=E888),"Needs a different member to sign off","OK"))))))</f>
        <v/>
      </c>
    </row>
    <row r="889">
      <c r="A889" s="9" t="n"/>
      <c r="B889" s="6" t="n"/>
      <c r="C889" s="6" t="n"/>
      <c r="D889" s="3">
        <f>IF(C889="","",IFERROR(INDEX(Steps!$C$5:$C$62,MATCH(C889,Steps!$A$5:$A$62,0)),""))</f>
        <v/>
      </c>
      <c r="E889" s="6" t="n"/>
      <c r="F889" s="8" t="n"/>
      <c r="G889" s="6" t="n"/>
      <c r="H889" s="7" t="n"/>
      <c r="I889" s="6" t="n"/>
      <c r="J889" s="9" t="n"/>
      <c r="K889" s="11">
        <f>IF(C889="","",N(IFERROR(INDEX(Steps!$E$5:$E$62,MATCH(C889,Steps!$A$5:$A$62,0)),"")))</f>
        <v/>
      </c>
      <c r="L889" s="11">
        <f>IF(AND(C889&lt;&gt;"",E889&lt;&gt;"",I889&lt;&gt;"",OR(Settings!$B$10="No",I889&lt;&gt;E889)),K889*F889,0)</f>
        <v/>
      </c>
      <c r="M889" s="11">
        <f>IF(AND(AND(C889&lt;&gt;"",E889&lt;&gt;"",I889&lt;&gt;"",OR(Settings!$B$10="No",I889&lt;&gt;E889)),G889="Paid a pro",Settings!$B$9="Yes"),MAX(0,H889-K889*F889),0)</f>
        <v/>
      </c>
      <c r="N889" s="3">
        <f>IF(C889="","",IF(B889="","Enter the boat number",IF(B889&gt;Settings!$B$6,"Boat number above the boat count",IF(SUMIFS($F$5:$F$1004,$B$5:$B$1004,B889,$C$5:$C$1004,C889)&gt;1.0001,"Shares for this step add up to over 100%",IF(I889="","Waiting for sign-off",IF(AND(Settings!$B$10="Yes",I889=E889),"Needs a different member to sign off","OK"))))))</f>
        <v/>
      </c>
    </row>
    <row r="890">
      <c r="A890" s="9" t="n"/>
      <c r="B890" s="6" t="n"/>
      <c r="C890" s="6" t="n"/>
      <c r="D890" s="3">
        <f>IF(C890="","",IFERROR(INDEX(Steps!$C$5:$C$62,MATCH(C890,Steps!$A$5:$A$62,0)),""))</f>
        <v/>
      </c>
      <c r="E890" s="6" t="n"/>
      <c r="F890" s="8" t="n"/>
      <c r="G890" s="6" t="n"/>
      <c r="H890" s="7" t="n"/>
      <c r="I890" s="6" t="n"/>
      <c r="J890" s="9" t="n"/>
      <c r="K890" s="11">
        <f>IF(C890="","",N(IFERROR(INDEX(Steps!$E$5:$E$62,MATCH(C890,Steps!$A$5:$A$62,0)),"")))</f>
        <v/>
      </c>
      <c r="L890" s="11">
        <f>IF(AND(C890&lt;&gt;"",E890&lt;&gt;"",I890&lt;&gt;"",OR(Settings!$B$10="No",I890&lt;&gt;E890)),K890*F890,0)</f>
        <v/>
      </c>
      <c r="M890" s="11">
        <f>IF(AND(AND(C890&lt;&gt;"",E890&lt;&gt;"",I890&lt;&gt;"",OR(Settings!$B$10="No",I890&lt;&gt;E890)),G890="Paid a pro",Settings!$B$9="Yes"),MAX(0,H890-K890*F890),0)</f>
        <v/>
      </c>
      <c r="N890" s="3">
        <f>IF(C890="","",IF(B890="","Enter the boat number",IF(B890&gt;Settings!$B$6,"Boat number above the boat count",IF(SUMIFS($F$5:$F$1004,$B$5:$B$1004,B890,$C$5:$C$1004,C890)&gt;1.0001,"Shares for this step add up to over 100%",IF(I890="","Waiting for sign-off",IF(AND(Settings!$B$10="Yes",I890=E890),"Needs a different member to sign off","OK"))))))</f>
        <v/>
      </c>
    </row>
    <row r="891">
      <c r="A891" s="9" t="n"/>
      <c r="B891" s="6" t="n"/>
      <c r="C891" s="6" t="n"/>
      <c r="D891" s="3">
        <f>IF(C891="","",IFERROR(INDEX(Steps!$C$5:$C$62,MATCH(C891,Steps!$A$5:$A$62,0)),""))</f>
        <v/>
      </c>
      <c r="E891" s="6" t="n"/>
      <c r="F891" s="8" t="n"/>
      <c r="G891" s="6" t="n"/>
      <c r="H891" s="7" t="n"/>
      <c r="I891" s="6" t="n"/>
      <c r="J891" s="9" t="n"/>
      <c r="K891" s="11">
        <f>IF(C891="","",N(IFERROR(INDEX(Steps!$E$5:$E$62,MATCH(C891,Steps!$A$5:$A$62,0)),"")))</f>
        <v/>
      </c>
      <c r="L891" s="11">
        <f>IF(AND(C891&lt;&gt;"",E891&lt;&gt;"",I891&lt;&gt;"",OR(Settings!$B$10="No",I891&lt;&gt;E891)),K891*F891,0)</f>
        <v/>
      </c>
      <c r="M891" s="11">
        <f>IF(AND(AND(C891&lt;&gt;"",E891&lt;&gt;"",I891&lt;&gt;"",OR(Settings!$B$10="No",I891&lt;&gt;E891)),G891="Paid a pro",Settings!$B$9="Yes"),MAX(0,H891-K891*F891),0)</f>
        <v/>
      </c>
      <c r="N891" s="3">
        <f>IF(C891="","",IF(B891="","Enter the boat number",IF(B891&gt;Settings!$B$6,"Boat number above the boat count",IF(SUMIFS($F$5:$F$1004,$B$5:$B$1004,B891,$C$5:$C$1004,C891)&gt;1.0001,"Shares for this step add up to over 100%",IF(I891="","Waiting for sign-off",IF(AND(Settings!$B$10="Yes",I891=E891),"Needs a different member to sign off","OK"))))))</f>
        <v/>
      </c>
    </row>
    <row r="892">
      <c r="A892" s="9" t="n"/>
      <c r="B892" s="6" t="n"/>
      <c r="C892" s="6" t="n"/>
      <c r="D892" s="3">
        <f>IF(C892="","",IFERROR(INDEX(Steps!$C$5:$C$62,MATCH(C892,Steps!$A$5:$A$62,0)),""))</f>
        <v/>
      </c>
      <c r="E892" s="6" t="n"/>
      <c r="F892" s="8" t="n"/>
      <c r="G892" s="6" t="n"/>
      <c r="H892" s="7" t="n"/>
      <c r="I892" s="6" t="n"/>
      <c r="J892" s="9" t="n"/>
      <c r="K892" s="11">
        <f>IF(C892="","",N(IFERROR(INDEX(Steps!$E$5:$E$62,MATCH(C892,Steps!$A$5:$A$62,0)),"")))</f>
        <v/>
      </c>
      <c r="L892" s="11">
        <f>IF(AND(C892&lt;&gt;"",E892&lt;&gt;"",I892&lt;&gt;"",OR(Settings!$B$10="No",I892&lt;&gt;E892)),K892*F892,0)</f>
        <v/>
      </c>
      <c r="M892" s="11">
        <f>IF(AND(AND(C892&lt;&gt;"",E892&lt;&gt;"",I892&lt;&gt;"",OR(Settings!$B$10="No",I892&lt;&gt;E892)),G892="Paid a pro",Settings!$B$9="Yes"),MAX(0,H892-K892*F892),0)</f>
        <v/>
      </c>
      <c r="N892" s="3">
        <f>IF(C892="","",IF(B892="","Enter the boat number",IF(B892&gt;Settings!$B$6,"Boat number above the boat count",IF(SUMIFS($F$5:$F$1004,$B$5:$B$1004,B892,$C$5:$C$1004,C892)&gt;1.0001,"Shares for this step add up to over 100%",IF(I892="","Waiting for sign-off",IF(AND(Settings!$B$10="Yes",I892=E892),"Needs a different member to sign off","OK"))))))</f>
        <v/>
      </c>
    </row>
    <row r="893">
      <c r="A893" s="9" t="n"/>
      <c r="B893" s="6" t="n"/>
      <c r="C893" s="6" t="n"/>
      <c r="D893" s="3">
        <f>IF(C893="","",IFERROR(INDEX(Steps!$C$5:$C$62,MATCH(C893,Steps!$A$5:$A$62,0)),""))</f>
        <v/>
      </c>
      <c r="E893" s="6" t="n"/>
      <c r="F893" s="8" t="n"/>
      <c r="G893" s="6" t="n"/>
      <c r="H893" s="7" t="n"/>
      <c r="I893" s="6" t="n"/>
      <c r="J893" s="9" t="n"/>
      <c r="K893" s="11">
        <f>IF(C893="","",N(IFERROR(INDEX(Steps!$E$5:$E$62,MATCH(C893,Steps!$A$5:$A$62,0)),"")))</f>
        <v/>
      </c>
      <c r="L893" s="11">
        <f>IF(AND(C893&lt;&gt;"",E893&lt;&gt;"",I893&lt;&gt;"",OR(Settings!$B$10="No",I893&lt;&gt;E893)),K893*F893,0)</f>
        <v/>
      </c>
      <c r="M893" s="11">
        <f>IF(AND(AND(C893&lt;&gt;"",E893&lt;&gt;"",I893&lt;&gt;"",OR(Settings!$B$10="No",I893&lt;&gt;E893)),G893="Paid a pro",Settings!$B$9="Yes"),MAX(0,H893-K893*F893),0)</f>
        <v/>
      </c>
      <c r="N893" s="3">
        <f>IF(C893="","",IF(B893="","Enter the boat number",IF(B893&gt;Settings!$B$6,"Boat number above the boat count",IF(SUMIFS($F$5:$F$1004,$B$5:$B$1004,B893,$C$5:$C$1004,C893)&gt;1.0001,"Shares for this step add up to over 100%",IF(I893="","Waiting for sign-off",IF(AND(Settings!$B$10="Yes",I893=E893),"Needs a different member to sign off","OK"))))))</f>
        <v/>
      </c>
    </row>
    <row r="894">
      <c r="A894" s="9" t="n"/>
      <c r="B894" s="6" t="n"/>
      <c r="C894" s="6" t="n"/>
      <c r="D894" s="3">
        <f>IF(C894="","",IFERROR(INDEX(Steps!$C$5:$C$62,MATCH(C894,Steps!$A$5:$A$62,0)),""))</f>
        <v/>
      </c>
      <c r="E894" s="6" t="n"/>
      <c r="F894" s="8" t="n"/>
      <c r="G894" s="6" t="n"/>
      <c r="H894" s="7" t="n"/>
      <c r="I894" s="6" t="n"/>
      <c r="J894" s="9" t="n"/>
      <c r="K894" s="11">
        <f>IF(C894="","",N(IFERROR(INDEX(Steps!$E$5:$E$62,MATCH(C894,Steps!$A$5:$A$62,0)),"")))</f>
        <v/>
      </c>
      <c r="L894" s="11">
        <f>IF(AND(C894&lt;&gt;"",E894&lt;&gt;"",I894&lt;&gt;"",OR(Settings!$B$10="No",I894&lt;&gt;E894)),K894*F894,0)</f>
        <v/>
      </c>
      <c r="M894" s="11">
        <f>IF(AND(AND(C894&lt;&gt;"",E894&lt;&gt;"",I894&lt;&gt;"",OR(Settings!$B$10="No",I894&lt;&gt;E894)),G894="Paid a pro",Settings!$B$9="Yes"),MAX(0,H894-K894*F894),0)</f>
        <v/>
      </c>
      <c r="N894" s="3">
        <f>IF(C894="","",IF(B894="","Enter the boat number",IF(B894&gt;Settings!$B$6,"Boat number above the boat count",IF(SUMIFS($F$5:$F$1004,$B$5:$B$1004,B894,$C$5:$C$1004,C894)&gt;1.0001,"Shares for this step add up to over 100%",IF(I894="","Waiting for sign-off",IF(AND(Settings!$B$10="Yes",I894=E894),"Needs a different member to sign off","OK"))))))</f>
        <v/>
      </c>
    </row>
    <row r="895">
      <c r="A895" s="9" t="n"/>
      <c r="B895" s="6" t="n"/>
      <c r="C895" s="6" t="n"/>
      <c r="D895" s="3">
        <f>IF(C895="","",IFERROR(INDEX(Steps!$C$5:$C$62,MATCH(C895,Steps!$A$5:$A$62,0)),""))</f>
        <v/>
      </c>
      <c r="E895" s="6" t="n"/>
      <c r="F895" s="8" t="n"/>
      <c r="G895" s="6" t="n"/>
      <c r="H895" s="7" t="n"/>
      <c r="I895" s="6" t="n"/>
      <c r="J895" s="9" t="n"/>
      <c r="K895" s="11">
        <f>IF(C895="","",N(IFERROR(INDEX(Steps!$E$5:$E$62,MATCH(C895,Steps!$A$5:$A$62,0)),"")))</f>
        <v/>
      </c>
      <c r="L895" s="11">
        <f>IF(AND(C895&lt;&gt;"",E895&lt;&gt;"",I895&lt;&gt;"",OR(Settings!$B$10="No",I895&lt;&gt;E895)),K895*F895,0)</f>
        <v/>
      </c>
      <c r="M895" s="11">
        <f>IF(AND(AND(C895&lt;&gt;"",E895&lt;&gt;"",I895&lt;&gt;"",OR(Settings!$B$10="No",I895&lt;&gt;E895)),G895="Paid a pro",Settings!$B$9="Yes"),MAX(0,H895-K895*F895),0)</f>
        <v/>
      </c>
      <c r="N895" s="3">
        <f>IF(C895="","",IF(B895="","Enter the boat number",IF(B895&gt;Settings!$B$6,"Boat number above the boat count",IF(SUMIFS($F$5:$F$1004,$B$5:$B$1004,B895,$C$5:$C$1004,C895)&gt;1.0001,"Shares for this step add up to over 100%",IF(I895="","Waiting for sign-off",IF(AND(Settings!$B$10="Yes",I895=E895),"Needs a different member to sign off","OK"))))))</f>
        <v/>
      </c>
    </row>
    <row r="896">
      <c r="A896" s="9" t="n"/>
      <c r="B896" s="6" t="n"/>
      <c r="C896" s="6" t="n"/>
      <c r="D896" s="3">
        <f>IF(C896="","",IFERROR(INDEX(Steps!$C$5:$C$62,MATCH(C896,Steps!$A$5:$A$62,0)),""))</f>
        <v/>
      </c>
      <c r="E896" s="6" t="n"/>
      <c r="F896" s="8" t="n"/>
      <c r="G896" s="6" t="n"/>
      <c r="H896" s="7" t="n"/>
      <c r="I896" s="6" t="n"/>
      <c r="J896" s="9" t="n"/>
      <c r="K896" s="11">
        <f>IF(C896="","",N(IFERROR(INDEX(Steps!$E$5:$E$62,MATCH(C896,Steps!$A$5:$A$62,0)),"")))</f>
        <v/>
      </c>
      <c r="L896" s="11">
        <f>IF(AND(C896&lt;&gt;"",E896&lt;&gt;"",I896&lt;&gt;"",OR(Settings!$B$10="No",I896&lt;&gt;E896)),K896*F896,0)</f>
        <v/>
      </c>
      <c r="M896" s="11">
        <f>IF(AND(AND(C896&lt;&gt;"",E896&lt;&gt;"",I896&lt;&gt;"",OR(Settings!$B$10="No",I896&lt;&gt;E896)),G896="Paid a pro",Settings!$B$9="Yes"),MAX(0,H896-K896*F896),0)</f>
        <v/>
      </c>
      <c r="N896" s="3">
        <f>IF(C896="","",IF(B896="","Enter the boat number",IF(B896&gt;Settings!$B$6,"Boat number above the boat count",IF(SUMIFS($F$5:$F$1004,$B$5:$B$1004,B896,$C$5:$C$1004,C896)&gt;1.0001,"Shares for this step add up to over 100%",IF(I896="","Waiting for sign-off",IF(AND(Settings!$B$10="Yes",I896=E896),"Needs a different member to sign off","OK"))))))</f>
        <v/>
      </c>
    </row>
    <row r="897">
      <c r="A897" s="9" t="n"/>
      <c r="B897" s="6" t="n"/>
      <c r="C897" s="6" t="n"/>
      <c r="D897" s="3">
        <f>IF(C897="","",IFERROR(INDEX(Steps!$C$5:$C$62,MATCH(C897,Steps!$A$5:$A$62,0)),""))</f>
        <v/>
      </c>
      <c r="E897" s="6" t="n"/>
      <c r="F897" s="8" t="n"/>
      <c r="G897" s="6" t="n"/>
      <c r="H897" s="7" t="n"/>
      <c r="I897" s="6" t="n"/>
      <c r="J897" s="9" t="n"/>
      <c r="K897" s="11">
        <f>IF(C897="","",N(IFERROR(INDEX(Steps!$E$5:$E$62,MATCH(C897,Steps!$A$5:$A$62,0)),"")))</f>
        <v/>
      </c>
      <c r="L897" s="11">
        <f>IF(AND(C897&lt;&gt;"",E897&lt;&gt;"",I897&lt;&gt;"",OR(Settings!$B$10="No",I897&lt;&gt;E897)),K897*F897,0)</f>
        <v/>
      </c>
      <c r="M897" s="11">
        <f>IF(AND(AND(C897&lt;&gt;"",E897&lt;&gt;"",I897&lt;&gt;"",OR(Settings!$B$10="No",I897&lt;&gt;E897)),G897="Paid a pro",Settings!$B$9="Yes"),MAX(0,H897-K897*F897),0)</f>
        <v/>
      </c>
      <c r="N897" s="3">
        <f>IF(C897="","",IF(B897="","Enter the boat number",IF(B897&gt;Settings!$B$6,"Boat number above the boat count",IF(SUMIFS($F$5:$F$1004,$B$5:$B$1004,B897,$C$5:$C$1004,C897)&gt;1.0001,"Shares for this step add up to over 100%",IF(I897="","Waiting for sign-off",IF(AND(Settings!$B$10="Yes",I897=E897),"Needs a different member to sign off","OK"))))))</f>
        <v/>
      </c>
    </row>
    <row r="898">
      <c r="A898" s="9" t="n"/>
      <c r="B898" s="6" t="n"/>
      <c r="C898" s="6" t="n"/>
      <c r="D898" s="3">
        <f>IF(C898="","",IFERROR(INDEX(Steps!$C$5:$C$62,MATCH(C898,Steps!$A$5:$A$62,0)),""))</f>
        <v/>
      </c>
      <c r="E898" s="6" t="n"/>
      <c r="F898" s="8" t="n"/>
      <c r="G898" s="6" t="n"/>
      <c r="H898" s="7" t="n"/>
      <c r="I898" s="6" t="n"/>
      <c r="J898" s="9" t="n"/>
      <c r="K898" s="11">
        <f>IF(C898="","",N(IFERROR(INDEX(Steps!$E$5:$E$62,MATCH(C898,Steps!$A$5:$A$62,0)),"")))</f>
        <v/>
      </c>
      <c r="L898" s="11">
        <f>IF(AND(C898&lt;&gt;"",E898&lt;&gt;"",I898&lt;&gt;"",OR(Settings!$B$10="No",I898&lt;&gt;E898)),K898*F898,0)</f>
        <v/>
      </c>
      <c r="M898" s="11">
        <f>IF(AND(AND(C898&lt;&gt;"",E898&lt;&gt;"",I898&lt;&gt;"",OR(Settings!$B$10="No",I898&lt;&gt;E898)),G898="Paid a pro",Settings!$B$9="Yes"),MAX(0,H898-K898*F898),0)</f>
        <v/>
      </c>
      <c r="N898" s="3">
        <f>IF(C898="","",IF(B898="","Enter the boat number",IF(B898&gt;Settings!$B$6,"Boat number above the boat count",IF(SUMIFS($F$5:$F$1004,$B$5:$B$1004,B898,$C$5:$C$1004,C898)&gt;1.0001,"Shares for this step add up to over 100%",IF(I898="","Waiting for sign-off",IF(AND(Settings!$B$10="Yes",I898=E898),"Needs a different member to sign off","OK"))))))</f>
        <v/>
      </c>
    </row>
    <row r="899">
      <c r="A899" s="9" t="n"/>
      <c r="B899" s="6" t="n"/>
      <c r="C899" s="6" t="n"/>
      <c r="D899" s="3">
        <f>IF(C899="","",IFERROR(INDEX(Steps!$C$5:$C$62,MATCH(C899,Steps!$A$5:$A$62,0)),""))</f>
        <v/>
      </c>
      <c r="E899" s="6" t="n"/>
      <c r="F899" s="8" t="n"/>
      <c r="G899" s="6" t="n"/>
      <c r="H899" s="7" t="n"/>
      <c r="I899" s="6" t="n"/>
      <c r="J899" s="9" t="n"/>
      <c r="K899" s="11">
        <f>IF(C899="","",N(IFERROR(INDEX(Steps!$E$5:$E$62,MATCH(C899,Steps!$A$5:$A$62,0)),"")))</f>
        <v/>
      </c>
      <c r="L899" s="11">
        <f>IF(AND(C899&lt;&gt;"",E899&lt;&gt;"",I899&lt;&gt;"",OR(Settings!$B$10="No",I899&lt;&gt;E899)),K899*F899,0)</f>
        <v/>
      </c>
      <c r="M899" s="11">
        <f>IF(AND(AND(C899&lt;&gt;"",E899&lt;&gt;"",I899&lt;&gt;"",OR(Settings!$B$10="No",I899&lt;&gt;E899)),G899="Paid a pro",Settings!$B$9="Yes"),MAX(0,H899-K899*F899),0)</f>
        <v/>
      </c>
      <c r="N899" s="3">
        <f>IF(C899="","",IF(B899="","Enter the boat number",IF(B899&gt;Settings!$B$6,"Boat number above the boat count",IF(SUMIFS($F$5:$F$1004,$B$5:$B$1004,B899,$C$5:$C$1004,C899)&gt;1.0001,"Shares for this step add up to over 100%",IF(I899="","Waiting for sign-off",IF(AND(Settings!$B$10="Yes",I899=E899),"Needs a different member to sign off","OK"))))))</f>
        <v/>
      </c>
    </row>
    <row r="900">
      <c r="A900" s="9" t="n"/>
      <c r="B900" s="6" t="n"/>
      <c r="C900" s="6" t="n"/>
      <c r="D900" s="3">
        <f>IF(C900="","",IFERROR(INDEX(Steps!$C$5:$C$62,MATCH(C900,Steps!$A$5:$A$62,0)),""))</f>
        <v/>
      </c>
      <c r="E900" s="6" t="n"/>
      <c r="F900" s="8" t="n"/>
      <c r="G900" s="6" t="n"/>
      <c r="H900" s="7" t="n"/>
      <c r="I900" s="6" t="n"/>
      <c r="J900" s="9" t="n"/>
      <c r="K900" s="11">
        <f>IF(C900="","",N(IFERROR(INDEX(Steps!$E$5:$E$62,MATCH(C900,Steps!$A$5:$A$62,0)),"")))</f>
        <v/>
      </c>
      <c r="L900" s="11">
        <f>IF(AND(C900&lt;&gt;"",E900&lt;&gt;"",I900&lt;&gt;"",OR(Settings!$B$10="No",I900&lt;&gt;E900)),K900*F900,0)</f>
        <v/>
      </c>
      <c r="M900" s="11">
        <f>IF(AND(AND(C900&lt;&gt;"",E900&lt;&gt;"",I900&lt;&gt;"",OR(Settings!$B$10="No",I900&lt;&gt;E900)),G900="Paid a pro",Settings!$B$9="Yes"),MAX(0,H900-K900*F900),0)</f>
        <v/>
      </c>
      <c r="N900" s="3">
        <f>IF(C900="","",IF(B900="","Enter the boat number",IF(B900&gt;Settings!$B$6,"Boat number above the boat count",IF(SUMIFS($F$5:$F$1004,$B$5:$B$1004,B900,$C$5:$C$1004,C900)&gt;1.0001,"Shares for this step add up to over 100%",IF(I900="","Waiting for sign-off",IF(AND(Settings!$B$10="Yes",I900=E900),"Needs a different member to sign off","OK"))))))</f>
        <v/>
      </c>
    </row>
    <row r="901">
      <c r="A901" s="9" t="n"/>
      <c r="B901" s="6" t="n"/>
      <c r="C901" s="6" t="n"/>
      <c r="D901" s="3">
        <f>IF(C901="","",IFERROR(INDEX(Steps!$C$5:$C$62,MATCH(C901,Steps!$A$5:$A$62,0)),""))</f>
        <v/>
      </c>
      <c r="E901" s="6" t="n"/>
      <c r="F901" s="8" t="n"/>
      <c r="G901" s="6" t="n"/>
      <c r="H901" s="7" t="n"/>
      <c r="I901" s="6" t="n"/>
      <c r="J901" s="9" t="n"/>
      <c r="K901" s="11">
        <f>IF(C901="","",N(IFERROR(INDEX(Steps!$E$5:$E$62,MATCH(C901,Steps!$A$5:$A$62,0)),"")))</f>
        <v/>
      </c>
      <c r="L901" s="11">
        <f>IF(AND(C901&lt;&gt;"",E901&lt;&gt;"",I901&lt;&gt;"",OR(Settings!$B$10="No",I901&lt;&gt;E901)),K901*F901,0)</f>
        <v/>
      </c>
      <c r="M901" s="11">
        <f>IF(AND(AND(C901&lt;&gt;"",E901&lt;&gt;"",I901&lt;&gt;"",OR(Settings!$B$10="No",I901&lt;&gt;E901)),G901="Paid a pro",Settings!$B$9="Yes"),MAX(0,H901-K901*F901),0)</f>
        <v/>
      </c>
      <c r="N901" s="3">
        <f>IF(C901="","",IF(B901="","Enter the boat number",IF(B901&gt;Settings!$B$6,"Boat number above the boat count",IF(SUMIFS($F$5:$F$1004,$B$5:$B$1004,B901,$C$5:$C$1004,C901)&gt;1.0001,"Shares for this step add up to over 100%",IF(I901="","Waiting for sign-off",IF(AND(Settings!$B$10="Yes",I901=E901),"Needs a different member to sign off","OK"))))))</f>
        <v/>
      </c>
    </row>
    <row r="902">
      <c r="A902" s="9" t="n"/>
      <c r="B902" s="6" t="n"/>
      <c r="C902" s="6" t="n"/>
      <c r="D902" s="3">
        <f>IF(C902="","",IFERROR(INDEX(Steps!$C$5:$C$62,MATCH(C902,Steps!$A$5:$A$62,0)),""))</f>
        <v/>
      </c>
      <c r="E902" s="6" t="n"/>
      <c r="F902" s="8" t="n"/>
      <c r="G902" s="6" t="n"/>
      <c r="H902" s="7" t="n"/>
      <c r="I902" s="6" t="n"/>
      <c r="J902" s="9" t="n"/>
      <c r="K902" s="11">
        <f>IF(C902="","",N(IFERROR(INDEX(Steps!$E$5:$E$62,MATCH(C902,Steps!$A$5:$A$62,0)),"")))</f>
        <v/>
      </c>
      <c r="L902" s="11">
        <f>IF(AND(C902&lt;&gt;"",E902&lt;&gt;"",I902&lt;&gt;"",OR(Settings!$B$10="No",I902&lt;&gt;E902)),K902*F902,0)</f>
        <v/>
      </c>
      <c r="M902" s="11">
        <f>IF(AND(AND(C902&lt;&gt;"",E902&lt;&gt;"",I902&lt;&gt;"",OR(Settings!$B$10="No",I902&lt;&gt;E902)),G902="Paid a pro",Settings!$B$9="Yes"),MAX(0,H902-K902*F902),0)</f>
        <v/>
      </c>
      <c r="N902" s="3">
        <f>IF(C902="","",IF(B902="","Enter the boat number",IF(B902&gt;Settings!$B$6,"Boat number above the boat count",IF(SUMIFS($F$5:$F$1004,$B$5:$B$1004,B902,$C$5:$C$1004,C902)&gt;1.0001,"Shares for this step add up to over 100%",IF(I902="","Waiting for sign-off",IF(AND(Settings!$B$10="Yes",I902=E902),"Needs a different member to sign off","OK"))))))</f>
        <v/>
      </c>
    </row>
    <row r="903">
      <c r="A903" s="9" t="n"/>
      <c r="B903" s="6" t="n"/>
      <c r="C903" s="6" t="n"/>
      <c r="D903" s="3">
        <f>IF(C903="","",IFERROR(INDEX(Steps!$C$5:$C$62,MATCH(C903,Steps!$A$5:$A$62,0)),""))</f>
        <v/>
      </c>
      <c r="E903" s="6" t="n"/>
      <c r="F903" s="8" t="n"/>
      <c r="G903" s="6" t="n"/>
      <c r="H903" s="7" t="n"/>
      <c r="I903" s="6" t="n"/>
      <c r="J903" s="9" t="n"/>
      <c r="K903" s="11">
        <f>IF(C903="","",N(IFERROR(INDEX(Steps!$E$5:$E$62,MATCH(C903,Steps!$A$5:$A$62,0)),"")))</f>
        <v/>
      </c>
      <c r="L903" s="11">
        <f>IF(AND(C903&lt;&gt;"",E903&lt;&gt;"",I903&lt;&gt;"",OR(Settings!$B$10="No",I903&lt;&gt;E903)),K903*F903,0)</f>
        <v/>
      </c>
      <c r="M903" s="11">
        <f>IF(AND(AND(C903&lt;&gt;"",E903&lt;&gt;"",I903&lt;&gt;"",OR(Settings!$B$10="No",I903&lt;&gt;E903)),G903="Paid a pro",Settings!$B$9="Yes"),MAX(0,H903-K903*F903),0)</f>
        <v/>
      </c>
      <c r="N903" s="3">
        <f>IF(C903="","",IF(B903="","Enter the boat number",IF(B903&gt;Settings!$B$6,"Boat number above the boat count",IF(SUMIFS($F$5:$F$1004,$B$5:$B$1004,B903,$C$5:$C$1004,C903)&gt;1.0001,"Shares for this step add up to over 100%",IF(I903="","Waiting for sign-off",IF(AND(Settings!$B$10="Yes",I903=E903),"Needs a different member to sign off","OK"))))))</f>
        <v/>
      </c>
    </row>
    <row r="904">
      <c r="A904" s="9" t="n"/>
      <c r="B904" s="6" t="n"/>
      <c r="C904" s="6" t="n"/>
      <c r="D904" s="3">
        <f>IF(C904="","",IFERROR(INDEX(Steps!$C$5:$C$62,MATCH(C904,Steps!$A$5:$A$62,0)),""))</f>
        <v/>
      </c>
      <c r="E904" s="6" t="n"/>
      <c r="F904" s="8" t="n"/>
      <c r="G904" s="6" t="n"/>
      <c r="H904" s="7" t="n"/>
      <c r="I904" s="6" t="n"/>
      <c r="J904" s="9" t="n"/>
      <c r="K904" s="11">
        <f>IF(C904="","",N(IFERROR(INDEX(Steps!$E$5:$E$62,MATCH(C904,Steps!$A$5:$A$62,0)),"")))</f>
        <v/>
      </c>
      <c r="L904" s="11">
        <f>IF(AND(C904&lt;&gt;"",E904&lt;&gt;"",I904&lt;&gt;"",OR(Settings!$B$10="No",I904&lt;&gt;E904)),K904*F904,0)</f>
        <v/>
      </c>
      <c r="M904" s="11">
        <f>IF(AND(AND(C904&lt;&gt;"",E904&lt;&gt;"",I904&lt;&gt;"",OR(Settings!$B$10="No",I904&lt;&gt;E904)),G904="Paid a pro",Settings!$B$9="Yes"),MAX(0,H904-K904*F904),0)</f>
        <v/>
      </c>
      <c r="N904" s="3">
        <f>IF(C904="","",IF(B904="","Enter the boat number",IF(B904&gt;Settings!$B$6,"Boat number above the boat count",IF(SUMIFS($F$5:$F$1004,$B$5:$B$1004,B904,$C$5:$C$1004,C904)&gt;1.0001,"Shares for this step add up to over 100%",IF(I904="","Waiting for sign-off",IF(AND(Settings!$B$10="Yes",I904=E904),"Needs a different member to sign off","OK"))))))</f>
        <v/>
      </c>
    </row>
    <row r="905">
      <c r="A905" s="9" t="n"/>
      <c r="B905" s="6" t="n"/>
      <c r="C905" s="6" t="n"/>
      <c r="D905" s="3">
        <f>IF(C905="","",IFERROR(INDEX(Steps!$C$5:$C$62,MATCH(C905,Steps!$A$5:$A$62,0)),""))</f>
        <v/>
      </c>
      <c r="E905" s="6" t="n"/>
      <c r="F905" s="8" t="n"/>
      <c r="G905" s="6" t="n"/>
      <c r="H905" s="7" t="n"/>
      <c r="I905" s="6" t="n"/>
      <c r="J905" s="9" t="n"/>
      <c r="K905" s="11">
        <f>IF(C905="","",N(IFERROR(INDEX(Steps!$E$5:$E$62,MATCH(C905,Steps!$A$5:$A$62,0)),"")))</f>
        <v/>
      </c>
      <c r="L905" s="11">
        <f>IF(AND(C905&lt;&gt;"",E905&lt;&gt;"",I905&lt;&gt;"",OR(Settings!$B$10="No",I905&lt;&gt;E905)),K905*F905,0)</f>
        <v/>
      </c>
      <c r="M905" s="11">
        <f>IF(AND(AND(C905&lt;&gt;"",E905&lt;&gt;"",I905&lt;&gt;"",OR(Settings!$B$10="No",I905&lt;&gt;E905)),G905="Paid a pro",Settings!$B$9="Yes"),MAX(0,H905-K905*F905),0)</f>
        <v/>
      </c>
      <c r="N905" s="3">
        <f>IF(C905="","",IF(B905="","Enter the boat number",IF(B905&gt;Settings!$B$6,"Boat number above the boat count",IF(SUMIFS($F$5:$F$1004,$B$5:$B$1004,B905,$C$5:$C$1004,C905)&gt;1.0001,"Shares for this step add up to over 100%",IF(I905="","Waiting for sign-off",IF(AND(Settings!$B$10="Yes",I905=E905),"Needs a different member to sign off","OK"))))))</f>
        <v/>
      </c>
    </row>
    <row r="906">
      <c r="A906" s="9" t="n"/>
      <c r="B906" s="6" t="n"/>
      <c r="C906" s="6" t="n"/>
      <c r="D906" s="3">
        <f>IF(C906="","",IFERROR(INDEX(Steps!$C$5:$C$62,MATCH(C906,Steps!$A$5:$A$62,0)),""))</f>
        <v/>
      </c>
      <c r="E906" s="6" t="n"/>
      <c r="F906" s="8" t="n"/>
      <c r="G906" s="6" t="n"/>
      <c r="H906" s="7" t="n"/>
      <c r="I906" s="6" t="n"/>
      <c r="J906" s="9" t="n"/>
      <c r="K906" s="11">
        <f>IF(C906="","",N(IFERROR(INDEX(Steps!$E$5:$E$62,MATCH(C906,Steps!$A$5:$A$62,0)),"")))</f>
        <v/>
      </c>
      <c r="L906" s="11">
        <f>IF(AND(C906&lt;&gt;"",E906&lt;&gt;"",I906&lt;&gt;"",OR(Settings!$B$10="No",I906&lt;&gt;E906)),K906*F906,0)</f>
        <v/>
      </c>
      <c r="M906" s="11">
        <f>IF(AND(AND(C906&lt;&gt;"",E906&lt;&gt;"",I906&lt;&gt;"",OR(Settings!$B$10="No",I906&lt;&gt;E906)),G906="Paid a pro",Settings!$B$9="Yes"),MAX(0,H906-K906*F906),0)</f>
        <v/>
      </c>
      <c r="N906" s="3">
        <f>IF(C906="","",IF(B906="","Enter the boat number",IF(B906&gt;Settings!$B$6,"Boat number above the boat count",IF(SUMIFS($F$5:$F$1004,$B$5:$B$1004,B906,$C$5:$C$1004,C906)&gt;1.0001,"Shares for this step add up to over 100%",IF(I906="","Waiting for sign-off",IF(AND(Settings!$B$10="Yes",I906=E906),"Needs a different member to sign off","OK"))))))</f>
        <v/>
      </c>
    </row>
    <row r="907">
      <c r="A907" s="9" t="n"/>
      <c r="B907" s="6" t="n"/>
      <c r="C907" s="6" t="n"/>
      <c r="D907" s="3">
        <f>IF(C907="","",IFERROR(INDEX(Steps!$C$5:$C$62,MATCH(C907,Steps!$A$5:$A$62,0)),""))</f>
        <v/>
      </c>
      <c r="E907" s="6" t="n"/>
      <c r="F907" s="8" t="n"/>
      <c r="G907" s="6" t="n"/>
      <c r="H907" s="7" t="n"/>
      <c r="I907" s="6" t="n"/>
      <c r="J907" s="9" t="n"/>
      <c r="K907" s="11">
        <f>IF(C907="","",N(IFERROR(INDEX(Steps!$E$5:$E$62,MATCH(C907,Steps!$A$5:$A$62,0)),"")))</f>
        <v/>
      </c>
      <c r="L907" s="11">
        <f>IF(AND(C907&lt;&gt;"",E907&lt;&gt;"",I907&lt;&gt;"",OR(Settings!$B$10="No",I907&lt;&gt;E907)),K907*F907,0)</f>
        <v/>
      </c>
      <c r="M907" s="11">
        <f>IF(AND(AND(C907&lt;&gt;"",E907&lt;&gt;"",I907&lt;&gt;"",OR(Settings!$B$10="No",I907&lt;&gt;E907)),G907="Paid a pro",Settings!$B$9="Yes"),MAX(0,H907-K907*F907),0)</f>
        <v/>
      </c>
      <c r="N907" s="3">
        <f>IF(C907="","",IF(B907="","Enter the boat number",IF(B907&gt;Settings!$B$6,"Boat number above the boat count",IF(SUMIFS($F$5:$F$1004,$B$5:$B$1004,B907,$C$5:$C$1004,C907)&gt;1.0001,"Shares for this step add up to over 100%",IF(I907="","Waiting for sign-off",IF(AND(Settings!$B$10="Yes",I907=E907),"Needs a different member to sign off","OK"))))))</f>
        <v/>
      </c>
    </row>
    <row r="908">
      <c r="A908" s="9" t="n"/>
      <c r="B908" s="6" t="n"/>
      <c r="C908" s="6" t="n"/>
      <c r="D908" s="3">
        <f>IF(C908="","",IFERROR(INDEX(Steps!$C$5:$C$62,MATCH(C908,Steps!$A$5:$A$62,0)),""))</f>
        <v/>
      </c>
      <c r="E908" s="6" t="n"/>
      <c r="F908" s="8" t="n"/>
      <c r="G908" s="6" t="n"/>
      <c r="H908" s="7" t="n"/>
      <c r="I908" s="6" t="n"/>
      <c r="J908" s="9" t="n"/>
      <c r="K908" s="11">
        <f>IF(C908="","",N(IFERROR(INDEX(Steps!$E$5:$E$62,MATCH(C908,Steps!$A$5:$A$62,0)),"")))</f>
        <v/>
      </c>
      <c r="L908" s="11">
        <f>IF(AND(C908&lt;&gt;"",E908&lt;&gt;"",I908&lt;&gt;"",OR(Settings!$B$10="No",I908&lt;&gt;E908)),K908*F908,0)</f>
        <v/>
      </c>
      <c r="M908" s="11">
        <f>IF(AND(AND(C908&lt;&gt;"",E908&lt;&gt;"",I908&lt;&gt;"",OR(Settings!$B$10="No",I908&lt;&gt;E908)),G908="Paid a pro",Settings!$B$9="Yes"),MAX(0,H908-K908*F908),0)</f>
        <v/>
      </c>
      <c r="N908" s="3">
        <f>IF(C908="","",IF(B908="","Enter the boat number",IF(B908&gt;Settings!$B$6,"Boat number above the boat count",IF(SUMIFS($F$5:$F$1004,$B$5:$B$1004,B908,$C$5:$C$1004,C908)&gt;1.0001,"Shares for this step add up to over 100%",IF(I908="","Waiting for sign-off",IF(AND(Settings!$B$10="Yes",I908=E908),"Needs a different member to sign off","OK"))))))</f>
        <v/>
      </c>
    </row>
    <row r="909">
      <c r="A909" s="9" t="n"/>
      <c r="B909" s="6" t="n"/>
      <c r="C909" s="6" t="n"/>
      <c r="D909" s="3">
        <f>IF(C909="","",IFERROR(INDEX(Steps!$C$5:$C$62,MATCH(C909,Steps!$A$5:$A$62,0)),""))</f>
        <v/>
      </c>
      <c r="E909" s="6" t="n"/>
      <c r="F909" s="8" t="n"/>
      <c r="G909" s="6" t="n"/>
      <c r="H909" s="7" t="n"/>
      <c r="I909" s="6" t="n"/>
      <c r="J909" s="9" t="n"/>
      <c r="K909" s="11">
        <f>IF(C909="","",N(IFERROR(INDEX(Steps!$E$5:$E$62,MATCH(C909,Steps!$A$5:$A$62,0)),"")))</f>
        <v/>
      </c>
      <c r="L909" s="11">
        <f>IF(AND(C909&lt;&gt;"",E909&lt;&gt;"",I909&lt;&gt;"",OR(Settings!$B$10="No",I909&lt;&gt;E909)),K909*F909,0)</f>
        <v/>
      </c>
      <c r="M909" s="11">
        <f>IF(AND(AND(C909&lt;&gt;"",E909&lt;&gt;"",I909&lt;&gt;"",OR(Settings!$B$10="No",I909&lt;&gt;E909)),G909="Paid a pro",Settings!$B$9="Yes"),MAX(0,H909-K909*F909),0)</f>
        <v/>
      </c>
      <c r="N909" s="3">
        <f>IF(C909="","",IF(B909="","Enter the boat number",IF(B909&gt;Settings!$B$6,"Boat number above the boat count",IF(SUMIFS($F$5:$F$1004,$B$5:$B$1004,B909,$C$5:$C$1004,C909)&gt;1.0001,"Shares for this step add up to over 100%",IF(I909="","Waiting for sign-off",IF(AND(Settings!$B$10="Yes",I909=E909),"Needs a different member to sign off","OK"))))))</f>
        <v/>
      </c>
    </row>
    <row r="910">
      <c r="A910" s="9" t="n"/>
      <c r="B910" s="6" t="n"/>
      <c r="C910" s="6" t="n"/>
      <c r="D910" s="3">
        <f>IF(C910="","",IFERROR(INDEX(Steps!$C$5:$C$62,MATCH(C910,Steps!$A$5:$A$62,0)),""))</f>
        <v/>
      </c>
      <c r="E910" s="6" t="n"/>
      <c r="F910" s="8" t="n"/>
      <c r="G910" s="6" t="n"/>
      <c r="H910" s="7" t="n"/>
      <c r="I910" s="6" t="n"/>
      <c r="J910" s="9" t="n"/>
      <c r="K910" s="11">
        <f>IF(C910="","",N(IFERROR(INDEX(Steps!$E$5:$E$62,MATCH(C910,Steps!$A$5:$A$62,0)),"")))</f>
        <v/>
      </c>
      <c r="L910" s="11">
        <f>IF(AND(C910&lt;&gt;"",E910&lt;&gt;"",I910&lt;&gt;"",OR(Settings!$B$10="No",I910&lt;&gt;E910)),K910*F910,0)</f>
        <v/>
      </c>
      <c r="M910" s="11">
        <f>IF(AND(AND(C910&lt;&gt;"",E910&lt;&gt;"",I910&lt;&gt;"",OR(Settings!$B$10="No",I910&lt;&gt;E910)),G910="Paid a pro",Settings!$B$9="Yes"),MAX(0,H910-K910*F910),0)</f>
        <v/>
      </c>
      <c r="N910" s="3">
        <f>IF(C910="","",IF(B910="","Enter the boat number",IF(B910&gt;Settings!$B$6,"Boat number above the boat count",IF(SUMIFS($F$5:$F$1004,$B$5:$B$1004,B910,$C$5:$C$1004,C910)&gt;1.0001,"Shares for this step add up to over 100%",IF(I910="","Waiting for sign-off",IF(AND(Settings!$B$10="Yes",I910=E910),"Needs a different member to sign off","OK"))))))</f>
        <v/>
      </c>
    </row>
    <row r="911">
      <c r="A911" s="9" t="n"/>
      <c r="B911" s="6" t="n"/>
      <c r="C911" s="6" t="n"/>
      <c r="D911" s="3">
        <f>IF(C911="","",IFERROR(INDEX(Steps!$C$5:$C$62,MATCH(C911,Steps!$A$5:$A$62,0)),""))</f>
        <v/>
      </c>
      <c r="E911" s="6" t="n"/>
      <c r="F911" s="8" t="n"/>
      <c r="G911" s="6" t="n"/>
      <c r="H911" s="7" t="n"/>
      <c r="I911" s="6" t="n"/>
      <c r="J911" s="9" t="n"/>
      <c r="K911" s="11">
        <f>IF(C911="","",N(IFERROR(INDEX(Steps!$E$5:$E$62,MATCH(C911,Steps!$A$5:$A$62,0)),"")))</f>
        <v/>
      </c>
      <c r="L911" s="11">
        <f>IF(AND(C911&lt;&gt;"",E911&lt;&gt;"",I911&lt;&gt;"",OR(Settings!$B$10="No",I911&lt;&gt;E911)),K911*F911,0)</f>
        <v/>
      </c>
      <c r="M911" s="11">
        <f>IF(AND(AND(C911&lt;&gt;"",E911&lt;&gt;"",I911&lt;&gt;"",OR(Settings!$B$10="No",I911&lt;&gt;E911)),G911="Paid a pro",Settings!$B$9="Yes"),MAX(0,H911-K911*F911),0)</f>
        <v/>
      </c>
      <c r="N911" s="3">
        <f>IF(C911="","",IF(B911="","Enter the boat number",IF(B911&gt;Settings!$B$6,"Boat number above the boat count",IF(SUMIFS($F$5:$F$1004,$B$5:$B$1004,B911,$C$5:$C$1004,C911)&gt;1.0001,"Shares for this step add up to over 100%",IF(I911="","Waiting for sign-off",IF(AND(Settings!$B$10="Yes",I911=E911),"Needs a different member to sign off","OK"))))))</f>
        <v/>
      </c>
    </row>
    <row r="912">
      <c r="A912" s="9" t="n"/>
      <c r="B912" s="6" t="n"/>
      <c r="C912" s="6" t="n"/>
      <c r="D912" s="3">
        <f>IF(C912="","",IFERROR(INDEX(Steps!$C$5:$C$62,MATCH(C912,Steps!$A$5:$A$62,0)),""))</f>
        <v/>
      </c>
      <c r="E912" s="6" t="n"/>
      <c r="F912" s="8" t="n"/>
      <c r="G912" s="6" t="n"/>
      <c r="H912" s="7" t="n"/>
      <c r="I912" s="6" t="n"/>
      <c r="J912" s="9" t="n"/>
      <c r="K912" s="11">
        <f>IF(C912="","",N(IFERROR(INDEX(Steps!$E$5:$E$62,MATCH(C912,Steps!$A$5:$A$62,0)),"")))</f>
        <v/>
      </c>
      <c r="L912" s="11">
        <f>IF(AND(C912&lt;&gt;"",E912&lt;&gt;"",I912&lt;&gt;"",OR(Settings!$B$10="No",I912&lt;&gt;E912)),K912*F912,0)</f>
        <v/>
      </c>
      <c r="M912" s="11">
        <f>IF(AND(AND(C912&lt;&gt;"",E912&lt;&gt;"",I912&lt;&gt;"",OR(Settings!$B$10="No",I912&lt;&gt;E912)),G912="Paid a pro",Settings!$B$9="Yes"),MAX(0,H912-K912*F912),0)</f>
        <v/>
      </c>
      <c r="N912" s="3">
        <f>IF(C912="","",IF(B912="","Enter the boat number",IF(B912&gt;Settings!$B$6,"Boat number above the boat count",IF(SUMIFS($F$5:$F$1004,$B$5:$B$1004,B912,$C$5:$C$1004,C912)&gt;1.0001,"Shares for this step add up to over 100%",IF(I912="","Waiting for sign-off",IF(AND(Settings!$B$10="Yes",I912=E912),"Needs a different member to sign off","OK"))))))</f>
        <v/>
      </c>
    </row>
    <row r="913">
      <c r="A913" s="9" t="n"/>
      <c r="B913" s="6" t="n"/>
      <c r="C913" s="6" t="n"/>
      <c r="D913" s="3">
        <f>IF(C913="","",IFERROR(INDEX(Steps!$C$5:$C$62,MATCH(C913,Steps!$A$5:$A$62,0)),""))</f>
        <v/>
      </c>
      <c r="E913" s="6" t="n"/>
      <c r="F913" s="8" t="n"/>
      <c r="G913" s="6" t="n"/>
      <c r="H913" s="7" t="n"/>
      <c r="I913" s="6" t="n"/>
      <c r="J913" s="9" t="n"/>
      <c r="K913" s="11">
        <f>IF(C913="","",N(IFERROR(INDEX(Steps!$E$5:$E$62,MATCH(C913,Steps!$A$5:$A$62,0)),"")))</f>
        <v/>
      </c>
      <c r="L913" s="11">
        <f>IF(AND(C913&lt;&gt;"",E913&lt;&gt;"",I913&lt;&gt;"",OR(Settings!$B$10="No",I913&lt;&gt;E913)),K913*F913,0)</f>
        <v/>
      </c>
      <c r="M913" s="11">
        <f>IF(AND(AND(C913&lt;&gt;"",E913&lt;&gt;"",I913&lt;&gt;"",OR(Settings!$B$10="No",I913&lt;&gt;E913)),G913="Paid a pro",Settings!$B$9="Yes"),MAX(0,H913-K913*F913),0)</f>
        <v/>
      </c>
      <c r="N913" s="3">
        <f>IF(C913="","",IF(B913="","Enter the boat number",IF(B913&gt;Settings!$B$6,"Boat number above the boat count",IF(SUMIFS($F$5:$F$1004,$B$5:$B$1004,B913,$C$5:$C$1004,C913)&gt;1.0001,"Shares for this step add up to over 100%",IF(I913="","Waiting for sign-off",IF(AND(Settings!$B$10="Yes",I913=E913),"Needs a different member to sign off","OK"))))))</f>
        <v/>
      </c>
    </row>
    <row r="914">
      <c r="A914" s="9" t="n"/>
      <c r="B914" s="6" t="n"/>
      <c r="C914" s="6" t="n"/>
      <c r="D914" s="3">
        <f>IF(C914="","",IFERROR(INDEX(Steps!$C$5:$C$62,MATCH(C914,Steps!$A$5:$A$62,0)),""))</f>
        <v/>
      </c>
      <c r="E914" s="6" t="n"/>
      <c r="F914" s="8" t="n"/>
      <c r="G914" s="6" t="n"/>
      <c r="H914" s="7" t="n"/>
      <c r="I914" s="6" t="n"/>
      <c r="J914" s="9" t="n"/>
      <c r="K914" s="11">
        <f>IF(C914="","",N(IFERROR(INDEX(Steps!$E$5:$E$62,MATCH(C914,Steps!$A$5:$A$62,0)),"")))</f>
        <v/>
      </c>
      <c r="L914" s="11">
        <f>IF(AND(C914&lt;&gt;"",E914&lt;&gt;"",I914&lt;&gt;"",OR(Settings!$B$10="No",I914&lt;&gt;E914)),K914*F914,0)</f>
        <v/>
      </c>
      <c r="M914" s="11">
        <f>IF(AND(AND(C914&lt;&gt;"",E914&lt;&gt;"",I914&lt;&gt;"",OR(Settings!$B$10="No",I914&lt;&gt;E914)),G914="Paid a pro",Settings!$B$9="Yes"),MAX(0,H914-K914*F914),0)</f>
        <v/>
      </c>
      <c r="N914" s="3">
        <f>IF(C914="","",IF(B914="","Enter the boat number",IF(B914&gt;Settings!$B$6,"Boat number above the boat count",IF(SUMIFS($F$5:$F$1004,$B$5:$B$1004,B914,$C$5:$C$1004,C914)&gt;1.0001,"Shares for this step add up to over 100%",IF(I914="","Waiting for sign-off",IF(AND(Settings!$B$10="Yes",I914=E914),"Needs a different member to sign off","OK"))))))</f>
        <v/>
      </c>
    </row>
    <row r="915">
      <c r="A915" s="9" t="n"/>
      <c r="B915" s="6" t="n"/>
      <c r="C915" s="6" t="n"/>
      <c r="D915" s="3">
        <f>IF(C915="","",IFERROR(INDEX(Steps!$C$5:$C$62,MATCH(C915,Steps!$A$5:$A$62,0)),""))</f>
        <v/>
      </c>
      <c r="E915" s="6" t="n"/>
      <c r="F915" s="8" t="n"/>
      <c r="G915" s="6" t="n"/>
      <c r="H915" s="7" t="n"/>
      <c r="I915" s="6" t="n"/>
      <c r="J915" s="9" t="n"/>
      <c r="K915" s="11">
        <f>IF(C915="","",N(IFERROR(INDEX(Steps!$E$5:$E$62,MATCH(C915,Steps!$A$5:$A$62,0)),"")))</f>
        <v/>
      </c>
      <c r="L915" s="11">
        <f>IF(AND(C915&lt;&gt;"",E915&lt;&gt;"",I915&lt;&gt;"",OR(Settings!$B$10="No",I915&lt;&gt;E915)),K915*F915,0)</f>
        <v/>
      </c>
      <c r="M915" s="11">
        <f>IF(AND(AND(C915&lt;&gt;"",E915&lt;&gt;"",I915&lt;&gt;"",OR(Settings!$B$10="No",I915&lt;&gt;E915)),G915="Paid a pro",Settings!$B$9="Yes"),MAX(0,H915-K915*F915),0)</f>
        <v/>
      </c>
      <c r="N915" s="3">
        <f>IF(C915="","",IF(B915="","Enter the boat number",IF(B915&gt;Settings!$B$6,"Boat number above the boat count",IF(SUMIFS($F$5:$F$1004,$B$5:$B$1004,B915,$C$5:$C$1004,C915)&gt;1.0001,"Shares for this step add up to over 100%",IF(I915="","Waiting for sign-off",IF(AND(Settings!$B$10="Yes",I915=E915),"Needs a different member to sign off","OK"))))))</f>
        <v/>
      </c>
    </row>
    <row r="916">
      <c r="A916" s="9" t="n"/>
      <c r="B916" s="6" t="n"/>
      <c r="C916" s="6" t="n"/>
      <c r="D916" s="3">
        <f>IF(C916="","",IFERROR(INDEX(Steps!$C$5:$C$62,MATCH(C916,Steps!$A$5:$A$62,0)),""))</f>
        <v/>
      </c>
      <c r="E916" s="6" t="n"/>
      <c r="F916" s="8" t="n"/>
      <c r="G916" s="6" t="n"/>
      <c r="H916" s="7" t="n"/>
      <c r="I916" s="6" t="n"/>
      <c r="J916" s="9" t="n"/>
      <c r="K916" s="11">
        <f>IF(C916="","",N(IFERROR(INDEX(Steps!$E$5:$E$62,MATCH(C916,Steps!$A$5:$A$62,0)),"")))</f>
        <v/>
      </c>
      <c r="L916" s="11">
        <f>IF(AND(C916&lt;&gt;"",E916&lt;&gt;"",I916&lt;&gt;"",OR(Settings!$B$10="No",I916&lt;&gt;E916)),K916*F916,0)</f>
        <v/>
      </c>
      <c r="M916" s="11">
        <f>IF(AND(AND(C916&lt;&gt;"",E916&lt;&gt;"",I916&lt;&gt;"",OR(Settings!$B$10="No",I916&lt;&gt;E916)),G916="Paid a pro",Settings!$B$9="Yes"),MAX(0,H916-K916*F916),0)</f>
        <v/>
      </c>
      <c r="N916" s="3">
        <f>IF(C916="","",IF(B916="","Enter the boat number",IF(B916&gt;Settings!$B$6,"Boat number above the boat count",IF(SUMIFS($F$5:$F$1004,$B$5:$B$1004,B916,$C$5:$C$1004,C916)&gt;1.0001,"Shares for this step add up to over 100%",IF(I916="","Waiting for sign-off",IF(AND(Settings!$B$10="Yes",I916=E916),"Needs a different member to sign off","OK"))))))</f>
        <v/>
      </c>
    </row>
    <row r="917">
      <c r="A917" s="9" t="n"/>
      <c r="B917" s="6" t="n"/>
      <c r="C917" s="6" t="n"/>
      <c r="D917" s="3">
        <f>IF(C917="","",IFERROR(INDEX(Steps!$C$5:$C$62,MATCH(C917,Steps!$A$5:$A$62,0)),""))</f>
        <v/>
      </c>
      <c r="E917" s="6" t="n"/>
      <c r="F917" s="8" t="n"/>
      <c r="G917" s="6" t="n"/>
      <c r="H917" s="7" t="n"/>
      <c r="I917" s="6" t="n"/>
      <c r="J917" s="9" t="n"/>
      <c r="K917" s="11">
        <f>IF(C917="","",N(IFERROR(INDEX(Steps!$E$5:$E$62,MATCH(C917,Steps!$A$5:$A$62,0)),"")))</f>
        <v/>
      </c>
      <c r="L917" s="11">
        <f>IF(AND(C917&lt;&gt;"",E917&lt;&gt;"",I917&lt;&gt;"",OR(Settings!$B$10="No",I917&lt;&gt;E917)),K917*F917,0)</f>
        <v/>
      </c>
      <c r="M917" s="11">
        <f>IF(AND(AND(C917&lt;&gt;"",E917&lt;&gt;"",I917&lt;&gt;"",OR(Settings!$B$10="No",I917&lt;&gt;E917)),G917="Paid a pro",Settings!$B$9="Yes"),MAX(0,H917-K917*F917),0)</f>
        <v/>
      </c>
      <c r="N917" s="3">
        <f>IF(C917="","",IF(B917="","Enter the boat number",IF(B917&gt;Settings!$B$6,"Boat number above the boat count",IF(SUMIFS($F$5:$F$1004,$B$5:$B$1004,B917,$C$5:$C$1004,C917)&gt;1.0001,"Shares for this step add up to over 100%",IF(I917="","Waiting for sign-off",IF(AND(Settings!$B$10="Yes",I917=E917),"Needs a different member to sign off","OK"))))))</f>
        <v/>
      </c>
    </row>
    <row r="918">
      <c r="A918" s="9" t="n"/>
      <c r="B918" s="6" t="n"/>
      <c r="C918" s="6" t="n"/>
      <c r="D918" s="3">
        <f>IF(C918="","",IFERROR(INDEX(Steps!$C$5:$C$62,MATCH(C918,Steps!$A$5:$A$62,0)),""))</f>
        <v/>
      </c>
      <c r="E918" s="6" t="n"/>
      <c r="F918" s="8" t="n"/>
      <c r="G918" s="6" t="n"/>
      <c r="H918" s="7" t="n"/>
      <c r="I918" s="6" t="n"/>
      <c r="J918" s="9" t="n"/>
      <c r="K918" s="11">
        <f>IF(C918="","",N(IFERROR(INDEX(Steps!$E$5:$E$62,MATCH(C918,Steps!$A$5:$A$62,0)),"")))</f>
        <v/>
      </c>
      <c r="L918" s="11">
        <f>IF(AND(C918&lt;&gt;"",E918&lt;&gt;"",I918&lt;&gt;"",OR(Settings!$B$10="No",I918&lt;&gt;E918)),K918*F918,0)</f>
        <v/>
      </c>
      <c r="M918" s="11">
        <f>IF(AND(AND(C918&lt;&gt;"",E918&lt;&gt;"",I918&lt;&gt;"",OR(Settings!$B$10="No",I918&lt;&gt;E918)),G918="Paid a pro",Settings!$B$9="Yes"),MAX(0,H918-K918*F918),0)</f>
        <v/>
      </c>
      <c r="N918" s="3">
        <f>IF(C918="","",IF(B918="","Enter the boat number",IF(B918&gt;Settings!$B$6,"Boat number above the boat count",IF(SUMIFS($F$5:$F$1004,$B$5:$B$1004,B918,$C$5:$C$1004,C918)&gt;1.0001,"Shares for this step add up to over 100%",IF(I918="","Waiting for sign-off",IF(AND(Settings!$B$10="Yes",I918=E918),"Needs a different member to sign off","OK"))))))</f>
        <v/>
      </c>
    </row>
    <row r="919">
      <c r="A919" s="9" t="n"/>
      <c r="B919" s="6" t="n"/>
      <c r="C919" s="6" t="n"/>
      <c r="D919" s="3">
        <f>IF(C919="","",IFERROR(INDEX(Steps!$C$5:$C$62,MATCH(C919,Steps!$A$5:$A$62,0)),""))</f>
        <v/>
      </c>
      <c r="E919" s="6" t="n"/>
      <c r="F919" s="8" t="n"/>
      <c r="G919" s="6" t="n"/>
      <c r="H919" s="7" t="n"/>
      <c r="I919" s="6" t="n"/>
      <c r="J919" s="9" t="n"/>
      <c r="K919" s="11">
        <f>IF(C919="","",N(IFERROR(INDEX(Steps!$E$5:$E$62,MATCH(C919,Steps!$A$5:$A$62,0)),"")))</f>
        <v/>
      </c>
      <c r="L919" s="11">
        <f>IF(AND(C919&lt;&gt;"",E919&lt;&gt;"",I919&lt;&gt;"",OR(Settings!$B$10="No",I919&lt;&gt;E919)),K919*F919,0)</f>
        <v/>
      </c>
      <c r="M919" s="11">
        <f>IF(AND(AND(C919&lt;&gt;"",E919&lt;&gt;"",I919&lt;&gt;"",OR(Settings!$B$10="No",I919&lt;&gt;E919)),G919="Paid a pro",Settings!$B$9="Yes"),MAX(0,H919-K919*F919),0)</f>
        <v/>
      </c>
      <c r="N919" s="3">
        <f>IF(C919="","",IF(B919="","Enter the boat number",IF(B919&gt;Settings!$B$6,"Boat number above the boat count",IF(SUMIFS($F$5:$F$1004,$B$5:$B$1004,B919,$C$5:$C$1004,C919)&gt;1.0001,"Shares for this step add up to over 100%",IF(I919="","Waiting for sign-off",IF(AND(Settings!$B$10="Yes",I919=E919),"Needs a different member to sign off","OK"))))))</f>
        <v/>
      </c>
    </row>
    <row r="920">
      <c r="A920" s="9" t="n"/>
      <c r="B920" s="6" t="n"/>
      <c r="C920" s="6" t="n"/>
      <c r="D920" s="3">
        <f>IF(C920="","",IFERROR(INDEX(Steps!$C$5:$C$62,MATCH(C920,Steps!$A$5:$A$62,0)),""))</f>
        <v/>
      </c>
      <c r="E920" s="6" t="n"/>
      <c r="F920" s="8" t="n"/>
      <c r="G920" s="6" t="n"/>
      <c r="H920" s="7" t="n"/>
      <c r="I920" s="6" t="n"/>
      <c r="J920" s="9" t="n"/>
      <c r="K920" s="11">
        <f>IF(C920="","",N(IFERROR(INDEX(Steps!$E$5:$E$62,MATCH(C920,Steps!$A$5:$A$62,0)),"")))</f>
        <v/>
      </c>
      <c r="L920" s="11">
        <f>IF(AND(C920&lt;&gt;"",E920&lt;&gt;"",I920&lt;&gt;"",OR(Settings!$B$10="No",I920&lt;&gt;E920)),K920*F920,0)</f>
        <v/>
      </c>
      <c r="M920" s="11">
        <f>IF(AND(AND(C920&lt;&gt;"",E920&lt;&gt;"",I920&lt;&gt;"",OR(Settings!$B$10="No",I920&lt;&gt;E920)),G920="Paid a pro",Settings!$B$9="Yes"),MAX(0,H920-K920*F920),0)</f>
        <v/>
      </c>
      <c r="N920" s="3">
        <f>IF(C920="","",IF(B920="","Enter the boat number",IF(B920&gt;Settings!$B$6,"Boat number above the boat count",IF(SUMIFS($F$5:$F$1004,$B$5:$B$1004,B920,$C$5:$C$1004,C920)&gt;1.0001,"Shares for this step add up to over 100%",IF(I920="","Waiting for sign-off",IF(AND(Settings!$B$10="Yes",I920=E920),"Needs a different member to sign off","OK"))))))</f>
        <v/>
      </c>
    </row>
    <row r="921">
      <c r="A921" s="9" t="n"/>
      <c r="B921" s="6" t="n"/>
      <c r="C921" s="6" t="n"/>
      <c r="D921" s="3">
        <f>IF(C921="","",IFERROR(INDEX(Steps!$C$5:$C$62,MATCH(C921,Steps!$A$5:$A$62,0)),""))</f>
        <v/>
      </c>
      <c r="E921" s="6" t="n"/>
      <c r="F921" s="8" t="n"/>
      <c r="G921" s="6" t="n"/>
      <c r="H921" s="7" t="n"/>
      <c r="I921" s="6" t="n"/>
      <c r="J921" s="9" t="n"/>
      <c r="K921" s="11">
        <f>IF(C921="","",N(IFERROR(INDEX(Steps!$E$5:$E$62,MATCH(C921,Steps!$A$5:$A$62,0)),"")))</f>
        <v/>
      </c>
      <c r="L921" s="11">
        <f>IF(AND(C921&lt;&gt;"",E921&lt;&gt;"",I921&lt;&gt;"",OR(Settings!$B$10="No",I921&lt;&gt;E921)),K921*F921,0)</f>
        <v/>
      </c>
      <c r="M921" s="11">
        <f>IF(AND(AND(C921&lt;&gt;"",E921&lt;&gt;"",I921&lt;&gt;"",OR(Settings!$B$10="No",I921&lt;&gt;E921)),G921="Paid a pro",Settings!$B$9="Yes"),MAX(0,H921-K921*F921),0)</f>
        <v/>
      </c>
      <c r="N921" s="3">
        <f>IF(C921="","",IF(B921="","Enter the boat number",IF(B921&gt;Settings!$B$6,"Boat number above the boat count",IF(SUMIFS($F$5:$F$1004,$B$5:$B$1004,B921,$C$5:$C$1004,C921)&gt;1.0001,"Shares for this step add up to over 100%",IF(I921="","Waiting for sign-off",IF(AND(Settings!$B$10="Yes",I921=E921),"Needs a different member to sign off","OK"))))))</f>
        <v/>
      </c>
    </row>
    <row r="922">
      <c r="A922" s="9" t="n"/>
      <c r="B922" s="6" t="n"/>
      <c r="C922" s="6" t="n"/>
      <c r="D922" s="3">
        <f>IF(C922="","",IFERROR(INDEX(Steps!$C$5:$C$62,MATCH(C922,Steps!$A$5:$A$62,0)),""))</f>
        <v/>
      </c>
      <c r="E922" s="6" t="n"/>
      <c r="F922" s="8" t="n"/>
      <c r="G922" s="6" t="n"/>
      <c r="H922" s="7" t="n"/>
      <c r="I922" s="6" t="n"/>
      <c r="J922" s="9" t="n"/>
      <c r="K922" s="11">
        <f>IF(C922="","",N(IFERROR(INDEX(Steps!$E$5:$E$62,MATCH(C922,Steps!$A$5:$A$62,0)),"")))</f>
        <v/>
      </c>
      <c r="L922" s="11">
        <f>IF(AND(C922&lt;&gt;"",E922&lt;&gt;"",I922&lt;&gt;"",OR(Settings!$B$10="No",I922&lt;&gt;E922)),K922*F922,0)</f>
        <v/>
      </c>
      <c r="M922" s="11">
        <f>IF(AND(AND(C922&lt;&gt;"",E922&lt;&gt;"",I922&lt;&gt;"",OR(Settings!$B$10="No",I922&lt;&gt;E922)),G922="Paid a pro",Settings!$B$9="Yes"),MAX(0,H922-K922*F922),0)</f>
        <v/>
      </c>
      <c r="N922" s="3">
        <f>IF(C922="","",IF(B922="","Enter the boat number",IF(B922&gt;Settings!$B$6,"Boat number above the boat count",IF(SUMIFS($F$5:$F$1004,$B$5:$B$1004,B922,$C$5:$C$1004,C922)&gt;1.0001,"Shares for this step add up to over 100%",IF(I922="","Waiting for sign-off",IF(AND(Settings!$B$10="Yes",I922=E922),"Needs a different member to sign off","OK"))))))</f>
        <v/>
      </c>
    </row>
    <row r="923">
      <c r="A923" s="9" t="n"/>
      <c r="B923" s="6" t="n"/>
      <c r="C923" s="6" t="n"/>
      <c r="D923" s="3">
        <f>IF(C923="","",IFERROR(INDEX(Steps!$C$5:$C$62,MATCH(C923,Steps!$A$5:$A$62,0)),""))</f>
        <v/>
      </c>
      <c r="E923" s="6" t="n"/>
      <c r="F923" s="8" t="n"/>
      <c r="G923" s="6" t="n"/>
      <c r="H923" s="7" t="n"/>
      <c r="I923" s="6" t="n"/>
      <c r="J923" s="9" t="n"/>
      <c r="K923" s="11">
        <f>IF(C923="","",N(IFERROR(INDEX(Steps!$E$5:$E$62,MATCH(C923,Steps!$A$5:$A$62,0)),"")))</f>
        <v/>
      </c>
      <c r="L923" s="11">
        <f>IF(AND(C923&lt;&gt;"",E923&lt;&gt;"",I923&lt;&gt;"",OR(Settings!$B$10="No",I923&lt;&gt;E923)),K923*F923,0)</f>
        <v/>
      </c>
      <c r="M923" s="11">
        <f>IF(AND(AND(C923&lt;&gt;"",E923&lt;&gt;"",I923&lt;&gt;"",OR(Settings!$B$10="No",I923&lt;&gt;E923)),G923="Paid a pro",Settings!$B$9="Yes"),MAX(0,H923-K923*F923),0)</f>
        <v/>
      </c>
      <c r="N923" s="3">
        <f>IF(C923="","",IF(B923="","Enter the boat number",IF(B923&gt;Settings!$B$6,"Boat number above the boat count",IF(SUMIFS($F$5:$F$1004,$B$5:$B$1004,B923,$C$5:$C$1004,C923)&gt;1.0001,"Shares for this step add up to over 100%",IF(I923="","Waiting for sign-off",IF(AND(Settings!$B$10="Yes",I923=E923),"Needs a different member to sign off","OK"))))))</f>
        <v/>
      </c>
    </row>
    <row r="924">
      <c r="A924" s="9" t="n"/>
      <c r="B924" s="6" t="n"/>
      <c r="C924" s="6" t="n"/>
      <c r="D924" s="3">
        <f>IF(C924="","",IFERROR(INDEX(Steps!$C$5:$C$62,MATCH(C924,Steps!$A$5:$A$62,0)),""))</f>
        <v/>
      </c>
      <c r="E924" s="6" t="n"/>
      <c r="F924" s="8" t="n"/>
      <c r="G924" s="6" t="n"/>
      <c r="H924" s="7" t="n"/>
      <c r="I924" s="6" t="n"/>
      <c r="J924" s="9" t="n"/>
      <c r="K924" s="11">
        <f>IF(C924="","",N(IFERROR(INDEX(Steps!$E$5:$E$62,MATCH(C924,Steps!$A$5:$A$62,0)),"")))</f>
        <v/>
      </c>
      <c r="L924" s="11">
        <f>IF(AND(C924&lt;&gt;"",E924&lt;&gt;"",I924&lt;&gt;"",OR(Settings!$B$10="No",I924&lt;&gt;E924)),K924*F924,0)</f>
        <v/>
      </c>
      <c r="M924" s="11">
        <f>IF(AND(AND(C924&lt;&gt;"",E924&lt;&gt;"",I924&lt;&gt;"",OR(Settings!$B$10="No",I924&lt;&gt;E924)),G924="Paid a pro",Settings!$B$9="Yes"),MAX(0,H924-K924*F924),0)</f>
        <v/>
      </c>
      <c r="N924" s="3">
        <f>IF(C924="","",IF(B924="","Enter the boat number",IF(B924&gt;Settings!$B$6,"Boat number above the boat count",IF(SUMIFS($F$5:$F$1004,$B$5:$B$1004,B924,$C$5:$C$1004,C924)&gt;1.0001,"Shares for this step add up to over 100%",IF(I924="","Waiting for sign-off",IF(AND(Settings!$B$10="Yes",I924=E924),"Needs a different member to sign off","OK"))))))</f>
        <v/>
      </c>
    </row>
    <row r="925">
      <c r="A925" s="9" t="n"/>
      <c r="B925" s="6" t="n"/>
      <c r="C925" s="6" t="n"/>
      <c r="D925" s="3">
        <f>IF(C925="","",IFERROR(INDEX(Steps!$C$5:$C$62,MATCH(C925,Steps!$A$5:$A$62,0)),""))</f>
        <v/>
      </c>
      <c r="E925" s="6" t="n"/>
      <c r="F925" s="8" t="n"/>
      <c r="G925" s="6" t="n"/>
      <c r="H925" s="7" t="n"/>
      <c r="I925" s="6" t="n"/>
      <c r="J925" s="9" t="n"/>
      <c r="K925" s="11">
        <f>IF(C925="","",N(IFERROR(INDEX(Steps!$E$5:$E$62,MATCH(C925,Steps!$A$5:$A$62,0)),"")))</f>
        <v/>
      </c>
      <c r="L925" s="11">
        <f>IF(AND(C925&lt;&gt;"",E925&lt;&gt;"",I925&lt;&gt;"",OR(Settings!$B$10="No",I925&lt;&gt;E925)),K925*F925,0)</f>
        <v/>
      </c>
      <c r="M925" s="11">
        <f>IF(AND(AND(C925&lt;&gt;"",E925&lt;&gt;"",I925&lt;&gt;"",OR(Settings!$B$10="No",I925&lt;&gt;E925)),G925="Paid a pro",Settings!$B$9="Yes"),MAX(0,H925-K925*F925),0)</f>
        <v/>
      </c>
      <c r="N925" s="3">
        <f>IF(C925="","",IF(B925="","Enter the boat number",IF(B925&gt;Settings!$B$6,"Boat number above the boat count",IF(SUMIFS($F$5:$F$1004,$B$5:$B$1004,B925,$C$5:$C$1004,C925)&gt;1.0001,"Shares for this step add up to over 100%",IF(I925="","Waiting for sign-off",IF(AND(Settings!$B$10="Yes",I925=E925),"Needs a different member to sign off","OK"))))))</f>
        <v/>
      </c>
    </row>
    <row r="926">
      <c r="A926" s="9" t="n"/>
      <c r="B926" s="6" t="n"/>
      <c r="C926" s="6" t="n"/>
      <c r="D926" s="3">
        <f>IF(C926="","",IFERROR(INDEX(Steps!$C$5:$C$62,MATCH(C926,Steps!$A$5:$A$62,0)),""))</f>
        <v/>
      </c>
      <c r="E926" s="6" t="n"/>
      <c r="F926" s="8" t="n"/>
      <c r="G926" s="6" t="n"/>
      <c r="H926" s="7" t="n"/>
      <c r="I926" s="6" t="n"/>
      <c r="J926" s="9" t="n"/>
      <c r="K926" s="11">
        <f>IF(C926="","",N(IFERROR(INDEX(Steps!$E$5:$E$62,MATCH(C926,Steps!$A$5:$A$62,0)),"")))</f>
        <v/>
      </c>
      <c r="L926" s="11">
        <f>IF(AND(C926&lt;&gt;"",E926&lt;&gt;"",I926&lt;&gt;"",OR(Settings!$B$10="No",I926&lt;&gt;E926)),K926*F926,0)</f>
        <v/>
      </c>
      <c r="M926" s="11">
        <f>IF(AND(AND(C926&lt;&gt;"",E926&lt;&gt;"",I926&lt;&gt;"",OR(Settings!$B$10="No",I926&lt;&gt;E926)),G926="Paid a pro",Settings!$B$9="Yes"),MAX(0,H926-K926*F926),0)</f>
        <v/>
      </c>
      <c r="N926" s="3">
        <f>IF(C926="","",IF(B926="","Enter the boat number",IF(B926&gt;Settings!$B$6,"Boat number above the boat count",IF(SUMIFS($F$5:$F$1004,$B$5:$B$1004,B926,$C$5:$C$1004,C926)&gt;1.0001,"Shares for this step add up to over 100%",IF(I926="","Waiting for sign-off",IF(AND(Settings!$B$10="Yes",I926=E926),"Needs a different member to sign off","OK"))))))</f>
        <v/>
      </c>
    </row>
    <row r="927">
      <c r="A927" s="9" t="n"/>
      <c r="B927" s="6" t="n"/>
      <c r="C927" s="6" t="n"/>
      <c r="D927" s="3">
        <f>IF(C927="","",IFERROR(INDEX(Steps!$C$5:$C$62,MATCH(C927,Steps!$A$5:$A$62,0)),""))</f>
        <v/>
      </c>
      <c r="E927" s="6" t="n"/>
      <c r="F927" s="8" t="n"/>
      <c r="G927" s="6" t="n"/>
      <c r="H927" s="7" t="n"/>
      <c r="I927" s="6" t="n"/>
      <c r="J927" s="9" t="n"/>
      <c r="K927" s="11">
        <f>IF(C927="","",N(IFERROR(INDEX(Steps!$E$5:$E$62,MATCH(C927,Steps!$A$5:$A$62,0)),"")))</f>
        <v/>
      </c>
      <c r="L927" s="11">
        <f>IF(AND(C927&lt;&gt;"",E927&lt;&gt;"",I927&lt;&gt;"",OR(Settings!$B$10="No",I927&lt;&gt;E927)),K927*F927,0)</f>
        <v/>
      </c>
      <c r="M927" s="11">
        <f>IF(AND(AND(C927&lt;&gt;"",E927&lt;&gt;"",I927&lt;&gt;"",OR(Settings!$B$10="No",I927&lt;&gt;E927)),G927="Paid a pro",Settings!$B$9="Yes"),MAX(0,H927-K927*F927),0)</f>
        <v/>
      </c>
      <c r="N927" s="3">
        <f>IF(C927="","",IF(B927="","Enter the boat number",IF(B927&gt;Settings!$B$6,"Boat number above the boat count",IF(SUMIFS($F$5:$F$1004,$B$5:$B$1004,B927,$C$5:$C$1004,C927)&gt;1.0001,"Shares for this step add up to over 100%",IF(I927="","Waiting for sign-off",IF(AND(Settings!$B$10="Yes",I927=E927),"Needs a different member to sign off","OK"))))))</f>
        <v/>
      </c>
    </row>
    <row r="928">
      <c r="A928" s="9" t="n"/>
      <c r="B928" s="6" t="n"/>
      <c r="C928" s="6" t="n"/>
      <c r="D928" s="3">
        <f>IF(C928="","",IFERROR(INDEX(Steps!$C$5:$C$62,MATCH(C928,Steps!$A$5:$A$62,0)),""))</f>
        <v/>
      </c>
      <c r="E928" s="6" t="n"/>
      <c r="F928" s="8" t="n"/>
      <c r="G928" s="6" t="n"/>
      <c r="H928" s="7" t="n"/>
      <c r="I928" s="6" t="n"/>
      <c r="J928" s="9" t="n"/>
      <c r="K928" s="11">
        <f>IF(C928="","",N(IFERROR(INDEX(Steps!$E$5:$E$62,MATCH(C928,Steps!$A$5:$A$62,0)),"")))</f>
        <v/>
      </c>
      <c r="L928" s="11">
        <f>IF(AND(C928&lt;&gt;"",E928&lt;&gt;"",I928&lt;&gt;"",OR(Settings!$B$10="No",I928&lt;&gt;E928)),K928*F928,0)</f>
        <v/>
      </c>
      <c r="M928" s="11">
        <f>IF(AND(AND(C928&lt;&gt;"",E928&lt;&gt;"",I928&lt;&gt;"",OR(Settings!$B$10="No",I928&lt;&gt;E928)),G928="Paid a pro",Settings!$B$9="Yes"),MAX(0,H928-K928*F928),0)</f>
        <v/>
      </c>
      <c r="N928" s="3">
        <f>IF(C928="","",IF(B928="","Enter the boat number",IF(B928&gt;Settings!$B$6,"Boat number above the boat count",IF(SUMIFS($F$5:$F$1004,$B$5:$B$1004,B928,$C$5:$C$1004,C928)&gt;1.0001,"Shares for this step add up to over 100%",IF(I928="","Waiting for sign-off",IF(AND(Settings!$B$10="Yes",I928=E928),"Needs a different member to sign off","OK"))))))</f>
        <v/>
      </c>
    </row>
    <row r="929">
      <c r="A929" s="9" t="n"/>
      <c r="B929" s="6" t="n"/>
      <c r="C929" s="6" t="n"/>
      <c r="D929" s="3">
        <f>IF(C929="","",IFERROR(INDEX(Steps!$C$5:$C$62,MATCH(C929,Steps!$A$5:$A$62,0)),""))</f>
        <v/>
      </c>
      <c r="E929" s="6" t="n"/>
      <c r="F929" s="8" t="n"/>
      <c r="G929" s="6" t="n"/>
      <c r="H929" s="7" t="n"/>
      <c r="I929" s="6" t="n"/>
      <c r="J929" s="9" t="n"/>
      <c r="K929" s="11">
        <f>IF(C929="","",N(IFERROR(INDEX(Steps!$E$5:$E$62,MATCH(C929,Steps!$A$5:$A$62,0)),"")))</f>
        <v/>
      </c>
      <c r="L929" s="11">
        <f>IF(AND(C929&lt;&gt;"",E929&lt;&gt;"",I929&lt;&gt;"",OR(Settings!$B$10="No",I929&lt;&gt;E929)),K929*F929,0)</f>
        <v/>
      </c>
      <c r="M929" s="11">
        <f>IF(AND(AND(C929&lt;&gt;"",E929&lt;&gt;"",I929&lt;&gt;"",OR(Settings!$B$10="No",I929&lt;&gt;E929)),G929="Paid a pro",Settings!$B$9="Yes"),MAX(0,H929-K929*F929),0)</f>
        <v/>
      </c>
      <c r="N929" s="3">
        <f>IF(C929="","",IF(B929="","Enter the boat number",IF(B929&gt;Settings!$B$6,"Boat number above the boat count",IF(SUMIFS($F$5:$F$1004,$B$5:$B$1004,B929,$C$5:$C$1004,C929)&gt;1.0001,"Shares for this step add up to over 100%",IF(I929="","Waiting for sign-off",IF(AND(Settings!$B$10="Yes",I929=E929),"Needs a different member to sign off","OK"))))))</f>
        <v/>
      </c>
    </row>
    <row r="930">
      <c r="A930" s="9" t="n"/>
      <c r="B930" s="6" t="n"/>
      <c r="C930" s="6" t="n"/>
      <c r="D930" s="3">
        <f>IF(C930="","",IFERROR(INDEX(Steps!$C$5:$C$62,MATCH(C930,Steps!$A$5:$A$62,0)),""))</f>
        <v/>
      </c>
      <c r="E930" s="6" t="n"/>
      <c r="F930" s="8" t="n"/>
      <c r="G930" s="6" t="n"/>
      <c r="H930" s="7" t="n"/>
      <c r="I930" s="6" t="n"/>
      <c r="J930" s="9" t="n"/>
      <c r="K930" s="11">
        <f>IF(C930="","",N(IFERROR(INDEX(Steps!$E$5:$E$62,MATCH(C930,Steps!$A$5:$A$62,0)),"")))</f>
        <v/>
      </c>
      <c r="L930" s="11">
        <f>IF(AND(C930&lt;&gt;"",E930&lt;&gt;"",I930&lt;&gt;"",OR(Settings!$B$10="No",I930&lt;&gt;E930)),K930*F930,0)</f>
        <v/>
      </c>
      <c r="M930" s="11">
        <f>IF(AND(AND(C930&lt;&gt;"",E930&lt;&gt;"",I930&lt;&gt;"",OR(Settings!$B$10="No",I930&lt;&gt;E930)),G930="Paid a pro",Settings!$B$9="Yes"),MAX(0,H930-K930*F930),0)</f>
        <v/>
      </c>
      <c r="N930" s="3">
        <f>IF(C930="","",IF(B930="","Enter the boat number",IF(B930&gt;Settings!$B$6,"Boat number above the boat count",IF(SUMIFS($F$5:$F$1004,$B$5:$B$1004,B930,$C$5:$C$1004,C930)&gt;1.0001,"Shares for this step add up to over 100%",IF(I930="","Waiting for sign-off",IF(AND(Settings!$B$10="Yes",I930=E930),"Needs a different member to sign off","OK"))))))</f>
        <v/>
      </c>
    </row>
    <row r="931">
      <c r="A931" s="9" t="n"/>
      <c r="B931" s="6" t="n"/>
      <c r="C931" s="6" t="n"/>
      <c r="D931" s="3">
        <f>IF(C931="","",IFERROR(INDEX(Steps!$C$5:$C$62,MATCH(C931,Steps!$A$5:$A$62,0)),""))</f>
        <v/>
      </c>
      <c r="E931" s="6" t="n"/>
      <c r="F931" s="8" t="n"/>
      <c r="G931" s="6" t="n"/>
      <c r="H931" s="7" t="n"/>
      <c r="I931" s="6" t="n"/>
      <c r="J931" s="9" t="n"/>
      <c r="K931" s="11">
        <f>IF(C931="","",N(IFERROR(INDEX(Steps!$E$5:$E$62,MATCH(C931,Steps!$A$5:$A$62,0)),"")))</f>
        <v/>
      </c>
      <c r="L931" s="11">
        <f>IF(AND(C931&lt;&gt;"",E931&lt;&gt;"",I931&lt;&gt;"",OR(Settings!$B$10="No",I931&lt;&gt;E931)),K931*F931,0)</f>
        <v/>
      </c>
      <c r="M931" s="11">
        <f>IF(AND(AND(C931&lt;&gt;"",E931&lt;&gt;"",I931&lt;&gt;"",OR(Settings!$B$10="No",I931&lt;&gt;E931)),G931="Paid a pro",Settings!$B$9="Yes"),MAX(0,H931-K931*F931),0)</f>
        <v/>
      </c>
      <c r="N931" s="3">
        <f>IF(C931="","",IF(B931="","Enter the boat number",IF(B931&gt;Settings!$B$6,"Boat number above the boat count",IF(SUMIFS($F$5:$F$1004,$B$5:$B$1004,B931,$C$5:$C$1004,C931)&gt;1.0001,"Shares for this step add up to over 100%",IF(I931="","Waiting for sign-off",IF(AND(Settings!$B$10="Yes",I931=E931),"Needs a different member to sign off","OK"))))))</f>
        <v/>
      </c>
    </row>
    <row r="932">
      <c r="A932" s="9" t="n"/>
      <c r="B932" s="6" t="n"/>
      <c r="C932" s="6" t="n"/>
      <c r="D932" s="3">
        <f>IF(C932="","",IFERROR(INDEX(Steps!$C$5:$C$62,MATCH(C932,Steps!$A$5:$A$62,0)),""))</f>
        <v/>
      </c>
      <c r="E932" s="6" t="n"/>
      <c r="F932" s="8" t="n"/>
      <c r="G932" s="6" t="n"/>
      <c r="H932" s="7" t="n"/>
      <c r="I932" s="6" t="n"/>
      <c r="J932" s="9" t="n"/>
      <c r="K932" s="11">
        <f>IF(C932="","",N(IFERROR(INDEX(Steps!$E$5:$E$62,MATCH(C932,Steps!$A$5:$A$62,0)),"")))</f>
        <v/>
      </c>
      <c r="L932" s="11">
        <f>IF(AND(C932&lt;&gt;"",E932&lt;&gt;"",I932&lt;&gt;"",OR(Settings!$B$10="No",I932&lt;&gt;E932)),K932*F932,0)</f>
        <v/>
      </c>
      <c r="M932" s="11">
        <f>IF(AND(AND(C932&lt;&gt;"",E932&lt;&gt;"",I932&lt;&gt;"",OR(Settings!$B$10="No",I932&lt;&gt;E932)),G932="Paid a pro",Settings!$B$9="Yes"),MAX(0,H932-K932*F932),0)</f>
        <v/>
      </c>
      <c r="N932" s="3">
        <f>IF(C932="","",IF(B932="","Enter the boat number",IF(B932&gt;Settings!$B$6,"Boat number above the boat count",IF(SUMIFS($F$5:$F$1004,$B$5:$B$1004,B932,$C$5:$C$1004,C932)&gt;1.0001,"Shares for this step add up to over 100%",IF(I932="","Waiting for sign-off",IF(AND(Settings!$B$10="Yes",I932=E932),"Needs a different member to sign off","OK"))))))</f>
        <v/>
      </c>
    </row>
    <row r="933">
      <c r="A933" s="9" t="n"/>
      <c r="B933" s="6" t="n"/>
      <c r="C933" s="6" t="n"/>
      <c r="D933" s="3">
        <f>IF(C933="","",IFERROR(INDEX(Steps!$C$5:$C$62,MATCH(C933,Steps!$A$5:$A$62,0)),""))</f>
        <v/>
      </c>
      <c r="E933" s="6" t="n"/>
      <c r="F933" s="8" t="n"/>
      <c r="G933" s="6" t="n"/>
      <c r="H933" s="7" t="n"/>
      <c r="I933" s="6" t="n"/>
      <c r="J933" s="9" t="n"/>
      <c r="K933" s="11">
        <f>IF(C933="","",N(IFERROR(INDEX(Steps!$E$5:$E$62,MATCH(C933,Steps!$A$5:$A$62,0)),"")))</f>
        <v/>
      </c>
      <c r="L933" s="11">
        <f>IF(AND(C933&lt;&gt;"",E933&lt;&gt;"",I933&lt;&gt;"",OR(Settings!$B$10="No",I933&lt;&gt;E933)),K933*F933,0)</f>
        <v/>
      </c>
      <c r="M933" s="11">
        <f>IF(AND(AND(C933&lt;&gt;"",E933&lt;&gt;"",I933&lt;&gt;"",OR(Settings!$B$10="No",I933&lt;&gt;E933)),G933="Paid a pro",Settings!$B$9="Yes"),MAX(0,H933-K933*F933),0)</f>
        <v/>
      </c>
      <c r="N933" s="3">
        <f>IF(C933="","",IF(B933="","Enter the boat number",IF(B933&gt;Settings!$B$6,"Boat number above the boat count",IF(SUMIFS($F$5:$F$1004,$B$5:$B$1004,B933,$C$5:$C$1004,C933)&gt;1.0001,"Shares for this step add up to over 100%",IF(I933="","Waiting for sign-off",IF(AND(Settings!$B$10="Yes",I933=E933),"Needs a different member to sign off","OK"))))))</f>
        <v/>
      </c>
    </row>
    <row r="934">
      <c r="A934" s="9" t="n"/>
      <c r="B934" s="6" t="n"/>
      <c r="C934" s="6" t="n"/>
      <c r="D934" s="3">
        <f>IF(C934="","",IFERROR(INDEX(Steps!$C$5:$C$62,MATCH(C934,Steps!$A$5:$A$62,0)),""))</f>
        <v/>
      </c>
      <c r="E934" s="6" t="n"/>
      <c r="F934" s="8" t="n"/>
      <c r="G934" s="6" t="n"/>
      <c r="H934" s="7" t="n"/>
      <c r="I934" s="6" t="n"/>
      <c r="J934" s="9" t="n"/>
      <c r="K934" s="11">
        <f>IF(C934="","",N(IFERROR(INDEX(Steps!$E$5:$E$62,MATCH(C934,Steps!$A$5:$A$62,0)),"")))</f>
        <v/>
      </c>
      <c r="L934" s="11">
        <f>IF(AND(C934&lt;&gt;"",E934&lt;&gt;"",I934&lt;&gt;"",OR(Settings!$B$10="No",I934&lt;&gt;E934)),K934*F934,0)</f>
        <v/>
      </c>
      <c r="M934" s="11">
        <f>IF(AND(AND(C934&lt;&gt;"",E934&lt;&gt;"",I934&lt;&gt;"",OR(Settings!$B$10="No",I934&lt;&gt;E934)),G934="Paid a pro",Settings!$B$9="Yes"),MAX(0,H934-K934*F934),0)</f>
        <v/>
      </c>
      <c r="N934" s="3">
        <f>IF(C934="","",IF(B934="","Enter the boat number",IF(B934&gt;Settings!$B$6,"Boat number above the boat count",IF(SUMIFS($F$5:$F$1004,$B$5:$B$1004,B934,$C$5:$C$1004,C934)&gt;1.0001,"Shares for this step add up to over 100%",IF(I934="","Waiting for sign-off",IF(AND(Settings!$B$10="Yes",I934=E934),"Needs a different member to sign off","OK"))))))</f>
        <v/>
      </c>
    </row>
    <row r="935">
      <c r="A935" s="9" t="n"/>
      <c r="B935" s="6" t="n"/>
      <c r="C935" s="6" t="n"/>
      <c r="D935" s="3">
        <f>IF(C935="","",IFERROR(INDEX(Steps!$C$5:$C$62,MATCH(C935,Steps!$A$5:$A$62,0)),""))</f>
        <v/>
      </c>
      <c r="E935" s="6" t="n"/>
      <c r="F935" s="8" t="n"/>
      <c r="G935" s="6" t="n"/>
      <c r="H935" s="7" t="n"/>
      <c r="I935" s="6" t="n"/>
      <c r="J935" s="9" t="n"/>
      <c r="K935" s="11">
        <f>IF(C935="","",N(IFERROR(INDEX(Steps!$E$5:$E$62,MATCH(C935,Steps!$A$5:$A$62,0)),"")))</f>
        <v/>
      </c>
      <c r="L935" s="11">
        <f>IF(AND(C935&lt;&gt;"",E935&lt;&gt;"",I935&lt;&gt;"",OR(Settings!$B$10="No",I935&lt;&gt;E935)),K935*F935,0)</f>
        <v/>
      </c>
      <c r="M935" s="11">
        <f>IF(AND(AND(C935&lt;&gt;"",E935&lt;&gt;"",I935&lt;&gt;"",OR(Settings!$B$10="No",I935&lt;&gt;E935)),G935="Paid a pro",Settings!$B$9="Yes"),MAX(0,H935-K935*F935),0)</f>
        <v/>
      </c>
      <c r="N935" s="3">
        <f>IF(C935="","",IF(B935="","Enter the boat number",IF(B935&gt;Settings!$B$6,"Boat number above the boat count",IF(SUMIFS($F$5:$F$1004,$B$5:$B$1004,B935,$C$5:$C$1004,C935)&gt;1.0001,"Shares for this step add up to over 100%",IF(I935="","Waiting for sign-off",IF(AND(Settings!$B$10="Yes",I935=E935),"Needs a different member to sign off","OK"))))))</f>
        <v/>
      </c>
    </row>
    <row r="936">
      <c r="A936" s="9" t="n"/>
      <c r="B936" s="6" t="n"/>
      <c r="C936" s="6" t="n"/>
      <c r="D936" s="3">
        <f>IF(C936="","",IFERROR(INDEX(Steps!$C$5:$C$62,MATCH(C936,Steps!$A$5:$A$62,0)),""))</f>
        <v/>
      </c>
      <c r="E936" s="6" t="n"/>
      <c r="F936" s="8" t="n"/>
      <c r="G936" s="6" t="n"/>
      <c r="H936" s="7" t="n"/>
      <c r="I936" s="6" t="n"/>
      <c r="J936" s="9" t="n"/>
      <c r="K936" s="11">
        <f>IF(C936="","",N(IFERROR(INDEX(Steps!$E$5:$E$62,MATCH(C936,Steps!$A$5:$A$62,0)),"")))</f>
        <v/>
      </c>
      <c r="L936" s="11">
        <f>IF(AND(C936&lt;&gt;"",E936&lt;&gt;"",I936&lt;&gt;"",OR(Settings!$B$10="No",I936&lt;&gt;E936)),K936*F936,0)</f>
        <v/>
      </c>
      <c r="M936" s="11">
        <f>IF(AND(AND(C936&lt;&gt;"",E936&lt;&gt;"",I936&lt;&gt;"",OR(Settings!$B$10="No",I936&lt;&gt;E936)),G936="Paid a pro",Settings!$B$9="Yes"),MAX(0,H936-K936*F936),0)</f>
        <v/>
      </c>
      <c r="N936" s="3">
        <f>IF(C936="","",IF(B936="","Enter the boat number",IF(B936&gt;Settings!$B$6,"Boat number above the boat count",IF(SUMIFS($F$5:$F$1004,$B$5:$B$1004,B936,$C$5:$C$1004,C936)&gt;1.0001,"Shares for this step add up to over 100%",IF(I936="","Waiting for sign-off",IF(AND(Settings!$B$10="Yes",I936=E936),"Needs a different member to sign off","OK"))))))</f>
        <v/>
      </c>
    </row>
    <row r="937">
      <c r="A937" s="9" t="n"/>
      <c r="B937" s="6" t="n"/>
      <c r="C937" s="6" t="n"/>
      <c r="D937" s="3">
        <f>IF(C937="","",IFERROR(INDEX(Steps!$C$5:$C$62,MATCH(C937,Steps!$A$5:$A$62,0)),""))</f>
        <v/>
      </c>
      <c r="E937" s="6" t="n"/>
      <c r="F937" s="8" t="n"/>
      <c r="G937" s="6" t="n"/>
      <c r="H937" s="7" t="n"/>
      <c r="I937" s="6" t="n"/>
      <c r="J937" s="9" t="n"/>
      <c r="K937" s="11">
        <f>IF(C937="","",N(IFERROR(INDEX(Steps!$E$5:$E$62,MATCH(C937,Steps!$A$5:$A$62,0)),"")))</f>
        <v/>
      </c>
      <c r="L937" s="11">
        <f>IF(AND(C937&lt;&gt;"",E937&lt;&gt;"",I937&lt;&gt;"",OR(Settings!$B$10="No",I937&lt;&gt;E937)),K937*F937,0)</f>
        <v/>
      </c>
      <c r="M937" s="11">
        <f>IF(AND(AND(C937&lt;&gt;"",E937&lt;&gt;"",I937&lt;&gt;"",OR(Settings!$B$10="No",I937&lt;&gt;E937)),G937="Paid a pro",Settings!$B$9="Yes"),MAX(0,H937-K937*F937),0)</f>
        <v/>
      </c>
      <c r="N937" s="3">
        <f>IF(C937="","",IF(B937="","Enter the boat number",IF(B937&gt;Settings!$B$6,"Boat number above the boat count",IF(SUMIFS($F$5:$F$1004,$B$5:$B$1004,B937,$C$5:$C$1004,C937)&gt;1.0001,"Shares for this step add up to over 100%",IF(I937="","Waiting for sign-off",IF(AND(Settings!$B$10="Yes",I937=E937),"Needs a different member to sign off","OK"))))))</f>
        <v/>
      </c>
    </row>
    <row r="938">
      <c r="A938" s="9" t="n"/>
      <c r="B938" s="6" t="n"/>
      <c r="C938" s="6" t="n"/>
      <c r="D938" s="3">
        <f>IF(C938="","",IFERROR(INDEX(Steps!$C$5:$C$62,MATCH(C938,Steps!$A$5:$A$62,0)),""))</f>
        <v/>
      </c>
      <c r="E938" s="6" t="n"/>
      <c r="F938" s="8" t="n"/>
      <c r="G938" s="6" t="n"/>
      <c r="H938" s="7" t="n"/>
      <c r="I938" s="6" t="n"/>
      <c r="J938" s="9" t="n"/>
      <c r="K938" s="11">
        <f>IF(C938="","",N(IFERROR(INDEX(Steps!$E$5:$E$62,MATCH(C938,Steps!$A$5:$A$62,0)),"")))</f>
        <v/>
      </c>
      <c r="L938" s="11">
        <f>IF(AND(C938&lt;&gt;"",E938&lt;&gt;"",I938&lt;&gt;"",OR(Settings!$B$10="No",I938&lt;&gt;E938)),K938*F938,0)</f>
        <v/>
      </c>
      <c r="M938" s="11">
        <f>IF(AND(AND(C938&lt;&gt;"",E938&lt;&gt;"",I938&lt;&gt;"",OR(Settings!$B$10="No",I938&lt;&gt;E938)),G938="Paid a pro",Settings!$B$9="Yes"),MAX(0,H938-K938*F938),0)</f>
        <v/>
      </c>
      <c r="N938" s="3">
        <f>IF(C938="","",IF(B938="","Enter the boat number",IF(B938&gt;Settings!$B$6,"Boat number above the boat count",IF(SUMIFS($F$5:$F$1004,$B$5:$B$1004,B938,$C$5:$C$1004,C938)&gt;1.0001,"Shares for this step add up to over 100%",IF(I938="","Waiting for sign-off",IF(AND(Settings!$B$10="Yes",I938=E938),"Needs a different member to sign off","OK"))))))</f>
        <v/>
      </c>
    </row>
    <row r="939">
      <c r="A939" s="9" t="n"/>
      <c r="B939" s="6" t="n"/>
      <c r="C939" s="6" t="n"/>
      <c r="D939" s="3">
        <f>IF(C939="","",IFERROR(INDEX(Steps!$C$5:$C$62,MATCH(C939,Steps!$A$5:$A$62,0)),""))</f>
        <v/>
      </c>
      <c r="E939" s="6" t="n"/>
      <c r="F939" s="8" t="n"/>
      <c r="G939" s="6" t="n"/>
      <c r="H939" s="7" t="n"/>
      <c r="I939" s="6" t="n"/>
      <c r="J939" s="9" t="n"/>
      <c r="K939" s="11">
        <f>IF(C939="","",N(IFERROR(INDEX(Steps!$E$5:$E$62,MATCH(C939,Steps!$A$5:$A$62,0)),"")))</f>
        <v/>
      </c>
      <c r="L939" s="11">
        <f>IF(AND(C939&lt;&gt;"",E939&lt;&gt;"",I939&lt;&gt;"",OR(Settings!$B$10="No",I939&lt;&gt;E939)),K939*F939,0)</f>
        <v/>
      </c>
      <c r="M939" s="11">
        <f>IF(AND(AND(C939&lt;&gt;"",E939&lt;&gt;"",I939&lt;&gt;"",OR(Settings!$B$10="No",I939&lt;&gt;E939)),G939="Paid a pro",Settings!$B$9="Yes"),MAX(0,H939-K939*F939),0)</f>
        <v/>
      </c>
      <c r="N939" s="3">
        <f>IF(C939="","",IF(B939="","Enter the boat number",IF(B939&gt;Settings!$B$6,"Boat number above the boat count",IF(SUMIFS($F$5:$F$1004,$B$5:$B$1004,B939,$C$5:$C$1004,C939)&gt;1.0001,"Shares for this step add up to over 100%",IF(I939="","Waiting for sign-off",IF(AND(Settings!$B$10="Yes",I939=E939),"Needs a different member to sign off","OK"))))))</f>
        <v/>
      </c>
    </row>
    <row r="940">
      <c r="A940" s="9" t="n"/>
      <c r="B940" s="6" t="n"/>
      <c r="C940" s="6" t="n"/>
      <c r="D940" s="3">
        <f>IF(C940="","",IFERROR(INDEX(Steps!$C$5:$C$62,MATCH(C940,Steps!$A$5:$A$62,0)),""))</f>
        <v/>
      </c>
      <c r="E940" s="6" t="n"/>
      <c r="F940" s="8" t="n"/>
      <c r="G940" s="6" t="n"/>
      <c r="H940" s="7" t="n"/>
      <c r="I940" s="6" t="n"/>
      <c r="J940" s="9" t="n"/>
      <c r="K940" s="11">
        <f>IF(C940="","",N(IFERROR(INDEX(Steps!$E$5:$E$62,MATCH(C940,Steps!$A$5:$A$62,0)),"")))</f>
        <v/>
      </c>
      <c r="L940" s="11">
        <f>IF(AND(C940&lt;&gt;"",E940&lt;&gt;"",I940&lt;&gt;"",OR(Settings!$B$10="No",I940&lt;&gt;E940)),K940*F940,0)</f>
        <v/>
      </c>
      <c r="M940" s="11">
        <f>IF(AND(AND(C940&lt;&gt;"",E940&lt;&gt;"",I940&lt;&gt;"",OR(Settings!$B$10="No",I940&lt;&gt;E940)),G940="Paid a pro",Settings!$B$9="Yes"),MAX(0,H940-K940*F940),0)</f>
        <v/>
      </c>
      <c r="N940" s="3">
        <f>IF(C940="","",IF(B940="","Enter the boat number",IF(B940&gt;Settings!$B$6,"Boat number above the boat count",IF(SUMIFS($F$5:$F$1004,$B$5:$B$1004,B940,$C$5:$C$1004,C940)&gt;1.0001,"Shares for this step add up to over 100%",IF(I940="","Waiting for sign-off",IF(AND(Settings!$B$10="Yes",I940=E940),"Needs a different member to sign off","OK"))))))</f>
        <v/>
      </c>
    </row>
    <row r="941">
      <c r="A941" s="9" t="n"/>
      <c r="B941" s="6" t="n"/>
      <c r="C941" s="6" t="n"/>
      <c r="D941" s="3">
        <f>IF(C941="","",IFERROR(INDEX(Steps!$C$5:$C$62,MATCH(C941,Steps!$A$5:$A$62,0)),""))</f>
        <v/>
      </c>
      <c r="E941" s="6" t="n"/>
      <c r="F941" s="8" t="n"/>
      <c r="G941" s="6" t="n"/>
      <c r="H941" s="7" t="n"/>
      <c r="I941" s="6" t="n"/>
      <c r="J941" s="9" t="n"/>
      <c r="K941" s="11">
        <f>IF(C941="","",N(IFERROR(INDEX(Steps!$E$5:$E$62,MATCH(C941,Steps!$A$5:$A$62,0)),"")))</f>
        <v/>
      </c>
      <c r="L941" s="11">
        <f>IF(AND(C941&lt;&gt;"",E941&lt;&gt;"",I941&lt;&gt;"",OR(Settings!$B$10="No",I941&lt;&gt;E941)),K941*F941,0)</f>
        <v/>
      </c>
      <c r="M941" s="11">
        <f>IF(AND(AND(C941&lt;&gt;"",E941&lt;&gt;"",I941&lt;&gt;"",OR(Settings!$B$10="No",I941&lt;&gt;E941)),G941="Paid a pro",Settings!$B$9="Yes"),MAX(0,H941-K941*F941),0)</f>
        <v/>
      </c>
      <c r="N941" s="3">
        <f>IF(C941="","",IF(B941="","Enter the boat number",IF(B941&gt;Settings!$B$6,"Boat number above the boat count",IF(SUMIFS($F$5:$F$1004,$B$5:$B$1004,B941,$C$5:$C$1004,C941)&gt;1.0001,"Shares for this step add up to over 100%",IF(I941="","Waiting for sign-off",IF(AND(Settings!$B$10="Yes",I941=E941),"Needs a different member to sign off","OK"))))))</f>
        <v/>
      </c>
    </row>
    <row r="942">
      <c r="A942" s="9" t="n"/>
      <c r="B942" s="6" t="n"/>
      <c r="C942" s="6" t="n"/>
      <c r="D942" s="3">
        <f>IF(C942="","",IFERROR(INDEX(Steps!$C$5:$C$62,MATCH(C942,Steps!$A$5:$A$62,0)),""))</f>
        <v/>
      </c>
      <c r="E942" s="6" t="n"/>
      <c r="F942" s="8" t="n"/>
      <c r="G942" s="6" t="n"/>
      <c r="H942" s="7" t="n"/>
      <c r="I942" s="6" t="n"/>
      <c r="J942" s="9" t="n"/>
      <c r="K942" s="11">
        <f>IF(C942="","",N(IFERROR(INDEX(Steps!$E$5:$E$62,MATCH(C942,Steps!$A$5:$A$62,0)),"")))</f>
        <v/>
      </c>
      <c r="L942" s="11">
        <f>IF(AND(C942&lt;&gt;"",E942&lt;&gt;"",I942&lt;&gt;"",OR(Settings!$B$10="No",I942&lt;&gt;E942)),K942*F942,0)</f>
        <v/>
      </c>
      <c r="M942" s="11">
        <f>IF(AND(AND(C942&lt;&gt;"",E942&lt;&gt;"",I942&lt;&gt;"",OR(Settings!$B$10="No",I942&lt;&gt;E942)),G942="Paid a pro",Settings!$B$9="Yes"),MAX(0,H942-K942*F942),0)</f>
        <v/>
      </c>
      <c r="N942" s="3">
        <f>IF(C942="","",IF(B942="","Enter the boat number",IF(B942&gt;Settings!$B$6,"Boat number above the boat count",IF(SUMIFS($F$5:$F$1004,$B$5:$B$1004,B942,$C$5:$C$1004,C942)&gt;1.0001,"Shares for this step add up to over 100%",IF(I942="","Waiting for sign-off",IF(AND(Settings!$B$10="Yes",I942=E942),"Needs a different member to sign off","OK"))))))</f>
        <v/>
      </c>
    </row>
    <row r="943">
      <c r="A943" s="9" t="n"/>
      <c r="B943" s="6" t="n"/>
      <c r="C943" s="6" t="n"/>
      <c r="D943" s="3">
        <f>IF(C943="","",IFERROR(INDEX(Steps!$C$5:$C$62,MATCH(C943,Steps!$A$5:$A$62,0)),""))</f>
        <v/>
      </c>
      <c r="E943" s="6" t="n"/>
      <c r="F943" s="8" t="n"/>
      <c r="G943" s="6" t="n"/>
      <c r="H943" s="7" t="n"/>
      <c r="I943" s="6" t="n"/>
      <c r="J943" s="9" t="n"/>
      <c r="K943" s="11">
        <f>IF(C943="","",N(IFERROR(INDEX(Steps!$E$5:$E$62,MATCH(C943,Steps!$A$5:$A$62,0)),"")))</f>
        <v/>
      </c>
      <c r="L943" s="11">
        <f>IF(AND(C943&lt;&gt;"",E943&lt;&gt;"",I943&lt;&gt;"",OR(Settings!$B$10="No",I943&lt;&gt;E943)),K943*F943,0)</f>
        <v/>
      </c>
      <c r="M943" s="11">
        <f>IF(AND(AND(C943&lt;&gt;"",E943&lt;&gt;"",I943&lt;&gt;"",OR(Settings!$B$10="No",I943&lt;&gt;E943)),G943="Paid a pro",Settings!$B$9="Yes"),MAX(0,H943-K943*F943),0)</f>
        <v/>
      </c>
      <c r="N943" s="3">
        <f>IF(C943="","",IF(B943="","Enter the boat number",IF(B943&gt;Settings!$B$6,"Boat number above the boat count",IF(SUMIFS($F$5:$F$1004,$B$5:$B$1004,B943,$C$5:$C$1004,C943)&gt;1.0001,"Shares for this step add up to over 100%",IF(I943="","Waiting for sign-off",IF(AND(Settings!$B$10="Yes",I943=E943),"Needs a different member to sign off","OK"))))))</f>
        <v/>
      </c>
    </row>
    <row r="944">
      <c r="A944" s="9" t="n"/>
      <c r="B944" s="6" t="n"/>
      <c r="C944" s="6" t="n"/>
      <c r="D944" s="3">
        <f>IF(C944="","",IFERROR(INDEX(Steps!$C$5:$C$62,MATCH(C944,Steps!$A$5:$A$62,0)),""))</f>
        <v/>
      </c>
      <c r="E944" s="6" t="n"/>
      <c r="F944" s="8" t="n"/>
      <c r="G944" s="6" t="n"/>
      <c r="H944" s="7" t="n"/>
      <c r="I944" s="6" t="n"/>
      <c r="J944" s="9" t="n"/>
      <c r="K944" s="11">
        <f>IF(C944="","",N(IFERROR(INDEX(Steps!$E$5:$E$62,MATCH(C944,Steps!$A$5:$A$62,0)),"")))</f>
        <v/>
      </c>
      <c r="L944" s="11">
        <f>IF(AND(C944&lt;&gt;"",E944&lt;&gt;"",I944&lt;&gt;"",OR(Settings!$B$10="No",I944&lt;&gt;E944)),K944*F944,0)</f>
        <v/>
      </c>
      <c r="M944" s="11">
        <f>IF(AND(AND(C944&lt;&gt;"",E944&lt;&gt;"",I944&lt;&gt;"",OR(Settings!$B$10="No",I944&lt;&gt;E944)),G944="Paid a pro",Settings!$B$9="Yes"),MAX(0,H944-K944*F944),0)</f>
        <v/>
      </c>
      <c r="N944" s="3">
        <f>IF(C944="","",IF(B944="","Enter the boat number",IF(B944&gt;Settings!$B$6,"Boat number above the boat count",IF(SUMIFS($F$5:$F$1004,$B$5:$B$1004,B944,$C$5:$C$1004,C944)&gt;1.0001,"Shares for this step add up to over 100%",IF(I944="","Waiting for sign-off",IF(AND(Settings!$B$10="Yes",I944=E944),"Needs a different member to sign off","OK"))))))</f>
        <v/>
      </c>
    </row>
    <row r="945">
      <c r="A945" s="9" t="n"/>
      <c r="B945" s="6" t="n"/>
      <c r="C945" s="6" t="n"/>
      <c r="D945" s="3">
        <f>IF(C945="","",IFERROR(INDEX(Steps!$C$5:$C$62,MATCH(C945,Steps!$A$5:$A$62,0)),""))</f>
        <v/>
      </c>
      <c r="E945" s="6" t="n"/>
      <c r="F945" s="8" t="n"/>
      <c r="G945" s="6" t="n"/>
      <c r="H945" s="7" t="n"/>
      <c r="I945" s="6" t="n"/>
      <c r="J945" s="9" t="n"/>
      <c r="K945" s="11">
        <f>IF(C945="","",N(IFERROR(INDEX(Steps!$E$5:$E$62,MATCH(C945,Steps!$A$5:$A$62,0)),"")))</f>
        <v/>
      </c>
      <c r="L945" s="11">
        <f>IF(AND(C945&lt;&gt;"",E945&lt;&gt;"",I945&lt;&gt;"",OR(Settings!$B$10="No",I945&lt;&gt;E945)),K945*F945,0)</f>
        <v/>
      </c>
      <c r="M945" s="11">
        <f>IF(AND(AND(C945&lt;&gt;"",E945&lt;&gt;"",I945&lt;&gt;"",OR(Settings!$B$10="No",I945&lt;&gt;E945)),G945="Paid a pro",Settings!$B$9="Yes"),MAX(0,H945-K945*F945),0)</f>
        <v/>
      </c>
      <c r="N945" s="3">
        <f>IF(C945="","",IF(B945="","Enter the boat number",IF(B945&gt;Settings!$B$6,"Boat number above the boat count",IF(SUMIFS($F$5:$F$1004,$B$5:$B$1004,B945,$C$5:$C$1004,C945)&gt;1.0001,"Shares for this step add up to over 100%",IF(I945="","Waiting for sign-off",IF(AND(Settings!$B$10="Yes",I945=E945),"Needs a different member to sign off","OK"))))))</f>
        <v/>
      </c>
    </row>
    <row r="946">
      <c r="A946" s="9" t="n"/>
      <c r="B946" s="6" t="n"/>
      <c r="C946" s="6" t="n"/>
      <c r="D946" s="3">
        <f>IF(C946="","",IFERROR(INDEX(Steps!$C$5:$C$62,MATCH(C946,Steps!$A$5:$A$62,0)),""))</f>
        <v/>
      </c>
      <c r="E946" s="6" t="n"/>
      <c r="F946" s="8" t="n"/>
      <c r="G946" s="6" t="n"/>
      <c r="H946" s="7" t="n"/>
      <c r="I946" s="6" t="n"/>
      <c r="J946" s="9" t="n"/>
      <c r="K946" s="11">
        <f>IF(C946="","",N(IFERROR(INDEX(Steps!$E$5:$E$62,MATCH(C946,Steps!$A$5:$A$62,0)),"")))</f>
        <v/>
      </c>
      <c r="L946" s="11">
        <f>IF(AND(C946&lt;&gt;"",E946&lt;&gt;"",I946&lt;&gt;"",OR(Settings!$B$10="No",I946&lt;&gt;E946)),K946*F946,0)</f>
        <v/>
      </c>
      <c r="M946" s="11">
        <f>IF(AND(AND(C946&lt;&gt;"",E946&lt;&gt;"",I946&lt;&gt;"",OR(Settings!$B$10="No",I946&lt;&gt;E946)),G946="Paid a pro",Settings!$B$9="Yes"),MAX(0,H946-K946*F946),0)</f>
        <v/>
      </c>
      <c r="N946" s="3">
        <f>IF(C946="","",IF(B946="","Enter the boat number",IF(B946&gt;Settings!$B$6,"Boat number above the boat count",IF(SUMIFS($F$5:$F$1004,$B$5:$B$1004,B946,$C$5:$C$1004,C946)&gt;1.0001,"Shares for this step add up to over 100%",IF(I946="","Waiting for sign-off",IF(AND(Settings!$B$10="Yes",I946=E946),"Needs a different member to sign off","OK"))))))</f>
        <v/>
      </c>
    </row>
    <row r="947">
      <c r="A947" s="9" t="n"/>
      <c r="B947" s="6" t="n"/>
      <c r="C947" s="6" t="n"/>
      <c r="D947" s="3">
        <f>IF(C947="","",IFERROR(INDEX(Steps!$C$5:$C$62,MATCH(C947,Steps!$A$5:$A$62,0)),""))</f>
        <v/>
      </c>
      <c r="E947" s="6" t="n"/>
      <c r="F947" s="8" t="n"/>
      <c r="G947" s="6" t="n"/>
      <c r="H947" s="7" t="n"/>
      <c r="I947" s="6" t="n"/>
      <c r="J947" s="9" t="n"/>
      <c r="K947" s="11">
        <f>IF(C947="","",N(IFERROR(INDEX(Steps!$E$5:$E$62,MATCH(C947,Steps!$A$5:$A$62,0)),"")))</f>
        <v/>
      </c>
      <c r="L947" s="11">
        <f>IF(AND(C947&lt;&gt;"",E947&lt;&gt;"",I947&lt;&gt;"",OR(Settings!$B$10="No",I947&lt;&gt;E947)),K947*F947,0)</f>
        <v/>
      </c>
      <c r="M947" s="11">
        <f>IF(AND(AND(C947&lt;&gt;"",E947&lt;&gt;"",I947&lt;&gt;"",OR(Settings!$B$10="No",I947&lt;&gt;E947)),G947="Paid a pro",Settings!$B$9="Yes"),MAX(0,H947-K947*F947),0)</f>
        <v/>
      </c>
      <c r="N947" s="3">
        <f>IF(C947="","",IF(B947="","Enter the boat number",IF(B947&gt;Settings!$B$6,"Boat number above the boat count",IF(SUMIFS($F$5:$F$1004,$B$5:$B$1004,B947,$C$5:$C$1004,C947)&gt;1.0001,"Shares for this step add up to over 100%",IF(I947="","Waiting for sign-off",IF(AND(Settings!$B$10="Yes",I947=E947),"Needs a different member to sign off","OK"))))))</f>
        <v/>
      </c>
    </row>
    <row r="948">
      <c r="A948" s="9" t="n"/>
      <c r="B948" s="6" t="n"/>
      <c r="C948" s="6" t="n"/>
      <c r="D948" s="3">
        <f>IF(C948="","",IFERROR(INDEX(Steps!$C$5:$C$62,MATCH(C948,Steps!$A$5:$A$62,0)),""))</f>
        <v/>
      </c>
      <c r="E948" s="6" t="n"/>
      <c r="F948" s="8" t="n"/>
      <c r="G948" s="6" t="n"/>
      <c r="H948" s="7" t="n"/>
      <c r="I948" s="6" t="n"/>
      <c r="J948" s="9" t="n"/>
      <c r="K948" s="11">
        <f>IF(C948="","",N(IFERROR(INDEX(Steps!$E$5:$E$62,MATCH(C948,Steps!$A$5:$A$62,0)),"")))</f>
        <v/>
      </c>
      <c r="L948" s="11">
        <f>IF(AND(C948&lt;&gt;"",E948&lt;&gt;"",I948&lt;&gt;"",OR(Settings!$B$10="No",I948&lt;&gt;E948)),K948*F948,0)</f>
        <v/>
      </c>
      <c r="M948" s="11">
        <f>IF(AND(AND(C948&lt;&gt;"",E948&lt;&gt;"",I948&lt;&gt;"",OR(Settings!$B$10="No",I948&lt;&gt;E948)),G948="Paid a pro",Settings!$B$9="Yes"),MAX(0,H948-K948*F948),0)</f>
        <v/>
      </c>
      <c r="N948" s="3">
        <f>IF(C948="","",IF(B948="","Enter the boat number",IF(B948&gt;Settings!$B$6,"Boat number above the boat count",IF(SUMIFS($F$5:$F$1004,$B$5:$B$1004,B948,$C$5:$C$1004,C948)&gt;1.0001,"Shares for this step add up to over 100%",IF(I948="","Waiting for sign-off",IF(AND(Settings!$B$10="Yes",I948=E948),"Needs a different member to sign off","OK"))))))</f>
        <v/>
      </c>
    </row>
    <row r="949">
      <c r="A949" s="9" t="n"/>
      <c r="B949" s="6" t="n"/>
      <c r="C949" s="6" t="n"/>
      <c r="D949" s="3">
        <f>IF(C949="","",IFERROR(INDEX(Steps!$C$5:$C$62,MATCH(C949,Steps!$A$5:$A$62,0)),""))</f>
        <v/>
      </c>
      <c r="E949" s="6" t="n"/>
      <c r="F949" s="8" t="n"/>
      <c r="G949" s="6" t="n"/>
      <c r="H949" s="7" t="n"/>
      <c r="I949" s="6" t="n"/>
      <c r="J949" s="9" t="n"/>
      <c r="K949" s="11">
        <f>IF(C949="","",N(IFERROR(INDEX(Steps!$E$5:$E$62,MATCH(C949,Steps!$A$5:$A$62,0)),"")))</f>
        <v/>
      </c>
      <c r="L949" s="11">
        <f>IF(AND(C949&lt;&gt;"",E949&lt;&gt;"",I949&lt;&gt;"",OR(Settings!$B$10="No",I949&lt;&gt;E949)),K949*F949,0)</f>
        <v/>
      </c>
      <c r="M949" s="11">
        <f>IF(AND(AND(C949&lt;&gt;"",E949&lt;&gt;"",I949&lt;&gt;"",OR(Settings!$B$10="No",I949&lt;&gt;E949)),G949="Paid a pro",Settings!$B$9="Yes"),MAX(0,H949-K949*F949),0)</f>
        <v/>
      </c>
      <c r="N949" s="3">
        <f>IF(C949="","",IF(B949="","Enter the boat number",IF(B949&gt;Settings!$B$6,"Boat number above the boat count",IF(SUMIFS($F$5:$F$1004,$B$5:$B$1004,B949,$C$5:$C$1004,C949)&gt;1.0001,"Shares for this step add up to over 100%",IF(I949="","Waiting for sign-off",IF(AND(Settings!$B$10="Yes",I949=E949),"Needs a different member to sign off","OK"))))))</f>
        <v/>
      </c>
    </row>
    <row r="950">
      <c r="A950" s="9" t="n"/>
      <c r="B950" s="6" t="n"/>
      <c r="C950" s="6" t="n"/>
      <c r="D950" s="3">
        <f>IF(C950="","",IFERROR(INDEX(Steps!$C$5:$C$62,MATCH(C950,Steps!$A$5:$A$62,0)),""))</f>
        <v/>
      </c>
      <c r="E950" s="6" t="n"/>
      <c r="F950" s="8" t="n"/>
      <c r="G950" s="6" t="n"/>
      <c r="H950" s="7" t="n"/>
      <c r="I950" s="6" t="n"/>
      <c r="J950" s="9" t="n"/>
      <c r="K950" s="11">
        <f>IF(C950="","",N(IFERROR(INDEX(Steps!$E$5:$E$62,MATCH(C950,Steps!$A$5:$A$62,0)),"")))</f>
        <v/>
      </c>
      <c r="L950" s="11">
        <f>IF(AND(C950&lt;&gt;"",E950&lt;&gt;"",I950&lt;&gt;"",OR(Settings!$B$10="No",I950&lt;&gt;E950)),K950*F950,0)</f>
        <v/>
      </c>
      <c r="M950" s="11">
        <f>IF(AND(AND(C950&lt;&gt;"",E950&lt;&gt;"",I950&lt;&gt;"",OR(Settings!$B$10="No",I950&lt;&gt;E950)),G950="Paid a pro",Settings!$B$9="Yes"),MAX(0,H950-K950*F950),0)</f>
        <v/>
      </c>
      <c r="N950" s="3">
        <f>IF(C950="","",IF(B950="","Enter the boat number",IF(B950&gt;Settings!$B$6,"Boat number above the boat count",IF(SUMIFS($F$5:$F$1004,$B$5:$B$1004,B950,$C$5:$C$1004,C950)&gt;1.0001,"Shares for this step add up to over 100%",IF(I950="","Waiting for sign-off",IF(AND(Settings!$B$10="Yes",I950=E950),"Needs a different member to sign off","OK"))))))</f>
        <v/>
      </c>
    </row>
    <row r="951">
      <c r="A951" s="9" t="n"/>
      <c r="B951" s="6" t="n"/>
      <c r="C951" s="6" t="n"/>
      <c r="D951" s="3">
        <f>IF(C951="","",IFERROR(INDEX(Steps!$C$5:$C$62,MATCH(C951,Steps!$A$5:$A$62,0)),""))</f>
        <v/>
      </c>
      <c r="E951" s="6" t="n"/>
      <c r="F951" s="8" t="n"/>
      <c r="G951" s="6" t="n"/>
      <c r="H951" s="7" t="n"/>
      <c r="I951" s="6" t="n"/>
      <c r="J951" s="9" t="n"/>
      <c r="K951" s="11">
        <f>IF(C951="","",N(IFERROR(INDEX(Steps!$E$5:$E$62,MATCH(C951,Steps!$A$5:$A$62,0)),"")))</f>
        <v/>
      </c>
      <c r="L951" s="11">
        <f>IF(AND(C951&lt;&gt;"",E951&lt;&gt;"",I951&lt;&gt;"",OR(Settings!$B$10="No",I951&lt;&gt;E951)),K951*F951,0)</f>
        <v/>
      </c>
      <c r="M951" s="11">
        <f>IF(AND(AND(C951&lt;&gt;"",E951&lt;&gt;"",I951&lt;&gt;"",OR(Settings!$B$10="No",I951&lt;&gt;E951)),G951="Paid a pro",Settings!$B$9="Yes"),MAX(0,H951-K951*F951),0)</f>
        <v/>
      </c>
      <c r="N951" s="3">
        <f>IF(C951="","",IF(B951="","Enter the boat number",IF(B951&gt;Settings!$B$6,"Boat number above the boat count",IF(SUMIFS($F$5:$F$1004,$B$5:$B$1004,B951,$C$5:$C$1004,C951)&gt;1.0001,"Shares for this step add up to over 100%",IF(I951="","Waiting for sign-off",IF(AND(Settings!$B$10="Yes",I951=E951),"Needs a different member to sign off","OK"))))))</f>
        <v/>
      </c>
    </row>
    <row r="952">
      <c r="A952" s="9" t="n"/>
      <c r="B952" s="6" t="n"/>
      <c r="C952" s="6" t="n"/>
      <c r="D952" s="3">
        <f>IF(C952="","",IFERROR(INDEX(Steps!$C$5:$C$62,MATCH(C952,Steps!$A$5:$A$62,0)),""))</f>
        <v/>
      </c>
      <c r="E952" s="6" t="n"/>
      <c r="F952" s="8" t="n"/>
      <c r="G952" s="6" t="n"/>
      <c r="H952" s="7" t="n"/>
      <c r="I952" s="6" t="n"/>
      <c r="J952" s="9" t="n"/>
      <c r="K952" s="11">
        <f>IF(C952="","",N(IFERROR(INDEX(Steps!$E$5:$E$62,MATCH(C952,Steps!$A$5:$A$62,0)),"")))</f>
        <v/>
      </c>
      <c r="L952" s="11">
        <f>IF(AND(C952&lt;&gt;"",E952&lt;&gt;"",I952&lt;&gt;"",OR(Settings!$B$10="No",I952&lt;&gt;E952)),K952*F952,0)</f>
        <v/>
      </c>
      <c r="M952" s="11">
        <f>IF(AND(AND(C952&lt;&gt;"",E952&lt;&gt;"",I952&lt;&gt;"",OR(Settings!$B$10="No",I952&lt;&gt;E952)),G952="Paid a pro",Settings!$B$9="Yes"),MAX(0,H952-K952*F952),0)</f>
        <v/>
      </c>
      <c r="N952" s="3">
        <f>IF(C952="","",IF(B952="","Enter the boat number",IF(B952&gt;Settings!$B$6,"Boat number above the boat count",IF(SUMIFS($F$5:$F$1004,$B$5:$B$1004,B952,$C$5:$C$1004,C952)&gt;1.0001,"Shares for this step add up to over 100%",IF(I952="","Waiting for sign-off",IF(AND(Settings!$B$10="Yes",I952=E952),"Needs a different member to sign off","OK"))))))</f>
        <v/>
      </c>
    </row>
    <row r="953">
      <c r="A953" s="9" t="n"/>
      <c r="B953" s="6" t="n"/>
      <c r="C953" s="6" t="n"/>
      <c r="D953" s="3">
        <f>IF(C953="","",IFERROR(INDEX(Steps!$C$5:$C$62,MATCH(C953,Steps!$A$5:$A$62,0)),""))</f>
        <v/>
      </c>
      <c r="E953" s="6" t="n"/>
      <c r="F953" s="8" t="n"/>
      <c r="G953" s="6" t="n"/>
      <c r="H953" s="7" t="n"/>
      <c r="I953" s="6" t="n"/>
      <c r="J953" s="9" t="n"/>
      <c r="K953" s="11">
        <f>IF(C953="","",N(IFERROR(INDEX(Steps!$E$5:$E$62,MATCH(C953,Steps!$A$5:$A$62,0)),"")))</f>
        <v/>
      </c>
      <c r="L953" s="11">
        <f>IF(AND(C953&lt;&gt;"",E953&lt;&gt;"",I953&lt;&gt;"",OR(Settings!$B$10="No",I953&lt;&gt;E953)),K953*F953,0)</f>
        <v/>
      </c>
      <c r="M953" s="11">
        <f>IF(AND(AND(C953&lt;&gt;"",E953&lt;&gt;"",I953&lt;&gt;"",OR(Settings!$B$10="No",I953&lt;&gt;E953)),G953="Paid a pro",Settings!$B$9="Yes"),MAX(0,H953-K953*F953),0)</f>
        <v/>
      </c>
      <c r="N953" s="3">
        <f>IF(C953="","",IF(B953="","Enter the boat number",IF(B953&gt;Settings!$B$6,"Boat number above the boat count",IF(SUMIFS($F$5:$F$1004,$B$5:$B$1004,B953,$C$5:$C$1004,C953)&gt;1.0001,"Shares for this step add up to over 100%",IF(I953="","Waiting for sign-off",IF(AND(Settings!$B$10="Yes",I953=E953),"Needs a different member to sign off","OK"))))))</f>
        <v/>
      </c>
    </row>
    <row r="954">
      <c r="A954" s="9" t="n"/>
      <c r="B954" s="6" t="n"/>
      <c r="C954" s="6" t="n"/>
      <c r="D954" s="3">
        <f>IF(C954="","",IFERROR(INDEX(Steps!$C$5:$C$62,MATCH(C954,Steps!$A$5:$A$62,0)),""))</f>
        <v/>
      </c>
      <c r="E954" s="6" t="n"/>
      <c r="F954" s="8" t="n"/>
      <c r="G954" s="6" t="n"/>
      <c r="H954" s="7" t="n"/>
      <c r="I954" s="6" t="n"/>
      <c r="J954" s="9" t="n"/>
      <c r="K954" s="11">
        <f>IF(C954="","",N(IFERROR(INDEX(Steps!$E$5:$E$62,MATCH(C954,Steps!$A$5:$A$62,0)),"")))</f>
        <v/>
      </c>
      <c r="L954" s="11">
        <f>IF(AND(C954&lt;&gt;"",E954&lt;&gt;"",I954&lt;&gt;"",OR(Settings!$B$10="No",I954&lt;&gt;E954)),K954*F954,0)</f>
        <v/>
      </c>
      <c r="M954" s="11">
        <f>IF(AND(AND(C954&lt;&gt;"",E954&lt;&gt;"",I954&lt;&gt;"",OR(Settings!$B$10="No",I954&lt;&gt;E954)),G954="Paid a pro",Settings!$B$9="Yes"),MAX(0,H954-K954*F954),0)</f>
        <v/>
      </c>
      <c r="N954" s="3">
        <f>IF(C954="","",IF(B954="","Enter the boat number",IF(B954&gt;Settings!$B$6,"Boat number above the boat count",IF(SUMIFS($F$5:$F$1004,$B$5:$B$1004,B954,$C$5:$C$1004,C954)&gt;1.0001,"Shares for this step add up to over 100%",IF(I954="","Waiting for sign-off",IF(AND(Settings!$B$10="Yes",I954=E954),"Needs a different member to sign off","OK"))))))</f>
        <v/>
      </c>
    </row>
    <row r="955">
      <c r="A955" s="9" t="n"/>
      <c r="B955" s="6" t="n"/>
      <c r="C955" s="6" t="n"/>
      <c r="D955" s="3">
        <f>IF(C955="","",IFERROR(INDEX(Steps!$C$5:$C$62,MATCH(C955,Steps!$A$5:$A$62,0)),""))</f>
        <v/>
      </c>
      <c r="E955" s="6" t="n"/>
      <c r="F955" s="8" t="n"/>
      <c r="G955" s="6" t="n"/>
      <c r="H955" s="7" t="n"/>
      <c r="I955" s="6" t="n"/>
      <c r="J955" s="9" t="n"/>
      <c r="K955" s="11">
        <f>IF(C955="","",N(IFERROR(INDEX(Steps!$E$5:$E$62,MATCH(C955,Steps!$A$5:$A$62,0)),"")))</f>
        <v/>
      </c>
      <c r="L955" s="11">
        <f>IF(AND(C955&lt;&gt;"",E955&lt;&gt;"",I955&lt;&gt;"",OR(Settings!$B$10="No",I955&lt;&gt;E955)),K955*F955,0)</f>
        <v/>
      </c>
      <c r="M955" s="11">
        <f>IF(AND(AND(C955&lt;&gt;"",E955&lt;&gt;"",I955&lt;&gt;"",OR(Settings!$B$10="No",I955&lt;&gt;E955)),G955="Paid a pro",Settings!$B$9="Yes"),MAX(0,H955-K955*F955),0)</f>
        <v/>
      </c>
      <c r="N955" s="3">
        <f>IF(C955="","",IF(B955="","Enter the boat number",IF(B955&gt;Settings!$B$6,"Boat number above the boat count",IF(SUMIFS($F$5:$F$1004,$B$5:$B$1004,B955,$C$5:$C$1004,C955)&gt;1.0001,"Shares for this step add up to over 100%",IF(I955="","Waiting for sign-off",IF(AND(Settings!$B$10="Yes",I955=E955),"Needs a different member to sign off","OK"))))))</f>
        <v/>
      </c>
    </row>
    <row r="956">
      <c r="A956" s="9" t="n"/>
      <c r="B956" s="6" t="n"/>
      <c r="C956" s="6" t="n"/>
      <c r="D956" s="3">
        <f>IF(C956="","",IFERROR(INDEX(Steps!$C$5:$C$62,MATCH(C956,Steps!$A$5:$A$62,0)),""))</f>
        <v/>
      </c>
      <c r="E956" s="6" t="n"/>
      <c r="F956" s="8" t="n"/>
      <c r="G956" s="6" t="n"/>
      <c r="H956" s="7" t="n"/>
      <c r="I956" s="6" t="n"/>
      <c r="J956" s="9" t="n"/>
      <c r="K956" s="11">
        <f>IF(C956="","",N(IFERROR(INDEX(Steps!$E$5:$E$62,MATCH(C956,Steps!$A$5:$A$62,0)),"")))</f>
        <v/>
      </c>
      <c r="L956" s="11">
        <f>IF(AND(C956&lt;&gt;"",E956&lt;&gt;"",I956&lt;&gt;"",OR(Settings!$B$10="No",I956&lt;&gt;E956)),K956*F956,0)</f>
        <v/>
      </c>
      <c r="M956" s="11">
        <f>IF(AND(AND(C956&lt;&gt;"",E956&lt;&gt;"",I956&lt;&gt;"",OR(Settings!$B$10="No",I956&lt;&gt;E956)),G956="Paid a pro",Settings!$B$9="Yes"),MAX(0,H956-K956*F956),0)</f>
        <v/>
      </c>
      <c r="N956" s="3">
        <f>IF(C956="","",IF(B956="","Enter the boat number",IF(B956&gt;Settings!$B$6,"Boat number above the boat count",IF(SUMIFS($F$5:$F$1004,$B$5:$B$1004,B956,$C$5:$C$1004,C956)&gt;1.0001,"Shares for this step add up to over 100%",IF(I956="","Waiting for sign-off",IF(AND(Settings!$B$10="Yes",I956=E956),"Needs a different member to sign off","OK"))))))</f>
        <v/>
      </c>
    </row>
    <row r="957">
      <c r="A957" s="9" t="n"/>
      <c r="B957" s="6" t="n"/>
      <c r="C957" s="6" t="n"/>
      <c r="D957" s="3">
        <f>IF(C957="","",IFERROR(INDEX(Steps!$C$5:$C$62,MATCH(C957,Steps!$A$5:$A$62,0)),""))</f>
        <v/>
      </c>
      <c r="E957" s="6" t="n"/>
      <c r="F957" s="8" t="n"/>
      <c r="G957" s="6" t="n"/>
      <c r="H957" s="7" t="n"/>
      <c r="I957" s="6" t="n"/>
      <c r="J957" s="9" t="n"/>
      <c r="K957" s="11">
        <f>IF(C957="","",N(IFERROR(INDEX(Steps!$E$5:$E$62,MATCH(C957,Steps!$A$5:$A$62,0)),"")))</f>
        <v/>
      </c>
      <c r="L957" s="11">
        <f>IF(AND(C957&lt;&gt;"",E957&lt;&gt;"",I957&lt;&gt;"",OR(Settings!$B$10="No",I957&lt;&gt;E957)),K957*F957,0)</f>
        <v/>
      </c>
      <c r="M957" s="11">
        <f>IF(AND(AND(C957&lt;&gt;"",E957&lt;&gt;"",I957&lt;&gt;"",OR(Settings!$B$10="No",I957&lt;&gt;E957)),G957="Paid a pro",Settings!$B$9="Yes"),MAX(0,H957-K957*F957),0)</f>
        <v/>
      </c>
      <c r="N957" s="3">
        <f>IF(C957="","",IF(B957="","Enter the boat number",IF(B957&gt;Settings!$B$6,"Boat number above the boat count",IF(SUMIFS($F$5:$F$1004,$B$5:$B$1004,B957,$C$5:$C$1004,C957)&gt;1.0001,"Shares for this step add up to over 100%",IF(I957="","Waiting for sign-off",IF(AND(Settings!$B$10="Yes",I957=E957),"Needs a different member to sign off","OK"))))))</f>
        <v/>
      </c>
    </row>
    <row r="958">
      <c r="A958" s="9" t="n"/>
      <c r="B958" s="6" t="n"/>
      <c r="C958" s="6" t="n"/>
      <c r="D958" s="3">
        <f>IF(C958="","",IFERROR(INDEX(Steps!$C$5:$C$62,MATCH(C958,Steps!$A$5:$A$62,0)),""))</f>
        <v/>
      </c>
      <c r="E958" s="6" t="n"/>
      <c r="F958" s="8" t="n"/>
      <c r="G958" s="6" t="n"/>
      <c r="H958" s="7" t="n"/>
      <c r="I958" s="6" t="n"/>
      <c r="J958" s="9" t="n"/>
      <c r="K958" s="11">
        <f>IF(C958="","",N(IFERROR(INDEX(Steps!$E$5:$E$62,MATCH(C958,Steps!$A$5:$A$62,0)),"")))</f>
        <v/>
      </c>
      <c r="L958" s="11">
        <f>IF(AND(C958&lt;&gt;"",E958&lt;&gt;"",I958&lt;&gt;"",OR(Settings!$B$10="No",I958&lt;&gt;E958)),K958*F958,0)</f>
        <v/>
      </c>
      <c r="M958" s="11">
        <f>IF(AND(AND(C958&lt;&gt;"",E958&lt;&gt;"",I958&lt;&gt;"",OR(Settings!$B$10="No",I958&lt;&gt;E958)),G958="Paid a pro",Settings!$B$9="Yes"),MAX(0,H958-K958*F958),0)</f>
        <v/>
      </c>
      <c r="N958" s="3">
        <f>IF(C958="","",IF(B958="","Enter the boat number",IF(B958&gt;Settings!$B$6,"Boat number above the boat count",IF(SUMIFS($F$5:$F$1004,$B$5:$B$1004,B958,$C$5:$C$1004,C958)&gt;1.0001,"Shares for this step add up to over 100%",IF(I958="","Waiting for sign-off",IF(AND(Settings!$B$10="Yes",I958=E958),"Needs a different member to sign off","OK"))))))</f>
        <v/>
      </c>
    </row>
    <row r="959">
      <c r="A959" s="9" t="n"/>
      <c r="B959" s="6" t="n"/>
      <c r="C959" s="6" t="n"/>
      <c r="D959" s="3">
        <f>IF(C959="","",IFERROR(INDEX(Steps!$C$5:$C$62,MATCH(C959,Steps!$A$5:$A$62,0)),""))</f>
        <v/>
      </c>
      <c r="E959" s="6" t="n"/>
      <c r="F959" s="8" t="n"/>
      <c r="G959" s="6" t="n"/>
      <c r="H959" s="7" t="n"/>
      <c r="I959" s="6" t="n"/>
      <c r="J959" s="9" t="n"/>
      <c r="K959" s="11">
        <f>IF(C959="","",N(IFERROR(INDEX(Steps!$E$5:$E$62,MATCH(C959,Steps!$A$5:$A$62,0)),"")))</f>
        <v/>
      </c>
      <c r="L959" s="11">
        <f>IF(AND(C959&lt;&gt;"",E959&lt;&gt;"",I959&lt;&gt;"",OR(Settings!$B$10="No",I959&lt;&gt;E959)),K959*F959,0)</f>
        <v/>
      </c>
      <c r="M959" s="11">
        <f>IF(AND(AND(C959&lt;&gt;"",E959&lt;&gt;"",I959&lt;&gt;"",OR(Settings!$B$10="No",I959&lt;&gt;E959)),G959="Paid a pro",Settings!$B$9="Yes"),MAX(0,H959-K959*F959),0)</f>
        <v/>
      </c>
      <c r="N959" s="3">
        <f>IF(C959="","",IF(B959="","Enter the boat number",IF(B959&gt;Settings!$B$6,"Boat number above the boat count",IF(SUMIFS($F$5:$F$1004,$B$5:$B$1004,B959,$C$5:$C$1004,C959)&gt;1.0001,"Shares for this step add up to over 100%",IF(I959="","Waiting for sign-off",IF(AND(Settings!$B$10="Yes",I959=E959),"Needs a different member to sign off","OK"))))))</f>
        <v/>
      </c>
    </row>
    <row r="960">
      <c r="A960" s="9" t="n"/>
      <c r="B960" s="6" t="n"/>
      <c r="C960" s="6" t="n"/>
      <c r="D960" s="3">
        <f>IF(C960="","",IFERROR(INDEX(Steps!$C$5:$C$62,MATCH(C960,Steps!$A$5:$A$62,0)),""))</f>
        <v/>
      </c>
      <c r="E960" s="6" t="n"/>
      <c r="F960" s="8" t="n"/>
      <c r="G960" s="6" t="n"/>
      <c r="H960" s="7" t="n"/>
      <c r="I960" s="6" t="n"/>
      <c r="J960" s="9" t="n"/>
      <c r="K960" s="11">
        <f>IF(C960="","",N(IFERROR(INDEX(Steps!$E$5:$E$62,MATCH(C960,Steps!$A$5:$A$62,0)),"")))</f>
        <v/>
      </c>
      <c r="L960" s="11">
        <f>IF(AND(C960&lt;&gt;"",E960&lt;&gt;"",I960&lt;&gt;"",OR(Settings!$B$10="No",I960&lt;&gt;E960)),K960*F960,0)</f>
        <v/>
      </c>
      <c r="M960" s="11">
        <f>IF(AND(AND(C960&lt;&gt;"",E960&lt;&gt;"",I960&lt;&gt;"",OR(Settings!$B$10="No",I960&lt;&gt;E960)),G960="Paid a pro",Settings!$B$9="Yes"),MAX(0,H960-K960*F960),0)</f>
        <v/>
      </c>
      <c r="N960" s="3">
        <f>IF(C960="","",IF(B960="","Enter the boat number",IF(B960&gt;Settings!$B$6,"Boat number above the boat count",IF(SUMIFS($F$5:$F$1004,$B$5:$B$1004,B960,$C$5:$C$1004,C960)&gt;1.0001,"Shares for this step add up to over 100%",IF(I960="","Waiting for sign-off",IF(AND(Settings!$B$10="Yes",I960=E960),"Needs a different member to sign off","OK"))))))</f>
        <v/>
      </c>
    </row>
    <row r="961">
      <c r="A961" s="9" t="n"/>
      <c r="B961" s="6" t="n"/>
      <c r="C961" s="6" t="n"/>
      <c r="D961" s="3">
        <f>IF(C961="","",IFERROR(INDEX(Steps!$C$5:$C$62,MATCH(C961,Steps!$A$5:$A$62,0)),""))</f>
        <v/>
      </c>
      <c r="E961" s="6" t="n"/>
      <c r="F961" s="8" t="n"/>
      <c r="G961" s="6" t="n"/>
      <c r="H961" s="7" t="n"/>
      <c r="I961" s="6" t="n"/>
      <c r="J961" s="9" t="n"/>
      <c r="K961" s="11">
        <f>IF(C961="","",N(IFERROR(INDEX(Steps!$E$5:$E$62,MATCH(C961,Steps!$A$5:$A$62,0)),"")))</f>
        <v/>
      </c>
      <c r="L961" s="11">
        <f>IF(AND(C961&lt;&gt;"",E961&lt;&gt;"",I961&lt;&gt;"",OR(Settings!$B$10="No",I961&lt;&gt;E961)),K961*F961,0)</f>
        <v/>
      </c>
      <c r="M961" s="11">
        <f>IF(AND(AND(C961&lt;&gt;"",E961&lt;&gt;"",I961&lt;&gt;"",OR(Settings!$B$10="No",I961&lt;&gt;E961)),G961="Paid a pro",Settings!$B$9="Yes"),MAX(0,H961-K961*F961),0)</f>
        <v/>
      </c>
      <c r="N961" s="3">
        <f>IF(C961="","",IF(B961="","Enter the boat number",IF(B961&gt;Settings!$B$6,"Boat number above the boat count",IF(SUMIFS($F$5:$F$1004,$B$5:$B$1004,B961,$C$5:$C$1004,C961)&gt;1.0001,"Shares for this step add up to over 100%",IF(I961="","Waiting for sign-off",IF(AND(Settings!$B$10="Yes",I961=E961),"Needs a different member to sign off","OK"))))))</f>
        <v/>
      </c>
    </row>
    <row r="962">
      <c r="A962" s="9" t="n"/>
      <c r="B962" s="6" t="n"/>
      <c r="C962" s="6" t="n"/>
      <c r="D962" s="3">
        <f>IF(C962="","",IFERROR(INDEX(Steps!$C$5:$C$62,MATCH(C962,Steps!$A$5:$A$62,0)),""))</f>
        <v/>
      </c>
      <c r="E962" s="6" t="n"/>
      <c r="F962" s="8" t="n"/>
      <c r="G962" s="6" t="n"/>
      <c r="H962" s="7" t="n"/>
      <c r="I962" s="6" t="n"/>
      <c r="J962" s="9" t="n"/>
      <c r="K962" s="11">
        <f>IF(C962="","",N(IFERROR(INDEX(Steps!$E$5:$E$62,MATCH(C962,Steps!$A$5:$A$62,0)),"")))</f>
        <v/>
      </c>
      <c r="L962" s="11">
        <f>IF(AND(C962&lt;&gt;"",E962&lt;&gt;"",I962&lt;&gt;"",OR(Settings!$B$10="No",I962&lt;&gt;E962)),K962*F962,0)</f>
        <v/>
      </c>
      <c r="M962" s="11">
        <f>IF(AND(AND(C962&lt;&gt;"",E962&lt;&gt;"",I962&lt;&gt;"",OR(Settings!$B$10="No",I962&lt;&gt;E962)),G962="Paid a pro",Settings!$B$9="Yes"),MAX(0,H962-K962*F962),0)</f>
        <v/>
      </c>
      <c r="N962" s="3">
        <f>IF(C962="","",IF(B962="","Enter the boat number",IF(B962&gt;Settings!$B$6,"Boat number above the boat count",IF(SUMIFS($F$5:$F$1004,$B$5:$B$1004,B962,$C$5:$C$1004,C962)&gt;1.0001,"Shares for this step add up to over 100%",IF(I962="","Waiting for sign-off",IF(AND(Settings!$B$10="Yes",I962=E962),"Needs a different member to sign off","OK"))))))</f>
        <v/>
      </c>
    </row>
    <row r="963">
      <c r="A963" s="9" t="n"/>
      <c r="B963" s="6" t="n"/>
      <c r="C963" s="6" t="n"/>
      <c r="D963" s="3">
        <f>IF(C963="","",IFERROR(INDEX(Steps!$C$5:$C$62,MATCH(C963,Steps!$A$5:$A$62,0)),""))</f>
        <v/>
      </c>
      <c r="E963" s="6" t="n"/>
      <c r="F963" s="8" t="n"/>
      <c r="G963" s="6" t="n"/>
      <c r="H963" s="7" t="n"/>
      <c r="I963" s="6" t="n"/>
      <c r="J963" s="9" t="n"/>
      <c r="K963" s="11">
        <f>IF(C963="","",N(IFERROR(INDEX(Steps!$E$5:$E$62,MATCH(C963,Steps!$A$5:$A$62,0)),"")))</f>
        <v/>
      </c>
      <c r="L963" s="11">
        <f>IF(AND(C963&lt;&gt;"",E963&lt;&gt;"",I963&lt;&gt;"",OR(Settings!$B$10="No",I963&lt;&gt;E963)),K963*F963,0)</f>
        <v/>
      </c>
      <c r="M963" s="11">
        <f>IF(AND(AND(C963&lt;&gt;"",E963&lt;&gt;"",I963&lt;&gt;"",OR(Settings!$B$10="No",I963&lt;&gt;E963)),G963="Paid a pro",Settings!$B$9="Yes"),MAX(0,H963-K963*F963),0)</f>
        <v/>
      </c>
      <c r="N963" s="3">
        <f>IF(C963="","",IF(B963="","Enter the boat number",IF(B963&gt;Settings!$B$6,"Boat number above the boat count",IF(SUMIFS($F$5:$F$1004,$B$5:$B$1004,B963,$C$5:$C$1004,C963)&gt;1.0001,"Shares for this step add up to over 100%",IF(I963="","Waiting for sign-off",IF(AND(Settings!$B$10="Yes",I963=E963),"Needs a different member to sign off","OK"))))))</f>
        <v/>
      </c>
    </row>
    <row r="964">
      <c r="A964" s="9" t="n"/>
      <c r="B964" s="6" t="n"/>
      <c r="C964" s="6" t="n"/>
      <c r="D964" s="3">
        <f>IF(C964="","",IFERROR(INDEX(Steps!$C$5:$C$62,MATCH(C964,Steps!$A$5:$A$62,0)),""))</f>
        <v/>
      </c>
      <c r="E964" s="6" t="n"/>
      <c r="F964" s="8" t="n"/>
      <c r="G964" s="6" t="n"/>
      <c r="H964" s="7" t="n"/>
      <c r="I964" s="6" t="n"/>
      <c r="J964" s="9" t="n"/>
      <c r="K964" s="11">
        <f>IF(C964="","",N(IFERROR(INDEX(Steps!$E$5:$E$62,MATCH(C964,Steps!$A$5:$A$62,0)),"")))</f>
        <v/>
      </c>
      <c r="L964" s="11">
        <f>IF(AND(C964&lt;&gt;"",E964&lt;&gt;"",I964&lt;&gt;"",OR(Settings!$B$10="No",I964&lt;&gt;E964)),K964*F964,0)</f>
        <v/>
      </c>
      <c r="M964" s="11">
        <f>IF(AND(AND(C964&lt;&gt;"",E964&lt;&gt;"",I964&lt;&gt;"",OR(Settings!$B$10="No",I964&lt;&gt;E964)),G964="Paid a pro",Settings!$B$9="Yes"),MAX(0,H964-K964*F964),0)</f>
        <v/>
      </c>
      <c r="N964" s="3">
        <f>IF(C964="","",IF(B964="","Enter the boat number",IF(B964&gt;Settings!$B$6,"Boat number above the boat count",IF(SUMIFS($F$5:$F$1004,$B$5:$B$1004,B964,$C$5:$C$1004,C964)&gt;1.0001,"Shares for this step add up to over 100%",IF(I964="","Waiting for sign-off",IF(AND(Settings!$B$10="Yes",I964=E964),"Needs a different member to sign off","OK"))))))</f>
        <v/>
      </c>
    </row>
    <row r="965">
      <c r="A965" s="9" t="n"/>
      <c r="B965" s="6" t="n"/>
      <c r="C965" s="6" t="n"/>
      <c r="D965" s="3">
        <f>IF(C965="","",IFERROR(INDEX(Steps!$C$5:$C$62,MATCH(C965,Steps!$A$5:$A$62,0)),""))</f>
        <v/>
      </c>
      <c r="E965" s="6" t="n"/>
      <c r="F965" s="8" t="n"/>
      <c r="G965" s="6" t="n"/>
      <c r="H965" s="7" t="n"/>
      <c r="I965" s="6" t="n"/>
      <c r="J965" s="9" t="n"/>
      <c r="K965" s="11">
        <f>IF(C965="","",N(IFERROR(INDEX(Steps!$E$5:$E$62,MATCH(C965,Steps!$A$5:$A$62,0)),"")))</f>
        <v/>
      </c>
      <c r="L965" s="11">
        <f>IF(AND(C965&lt;&gt;"",E965&lt;&gt;"",I965&lt;&gt;"",OR(Settings!$B$10="No",I965&lt;&gt;E965)),K965*F965,0)</f>
        <v/>
      </c>
      <c r="M965" s="11">
        <f>IF(AND(AND(C965&lt;&gt;"",E965&lt;&gt;"",I965&lt;&gt;"",OR(Settings!$B$10="No",I965&lt;&gt;E965)),G965="Paid a pro",Settings!$B$9="Yes"),MAX(0,H965-K965*F965),0)</f>
        <v/>
      </c>
      <c r="N965" s="3">
        <f>IF(C965="","",IF(B965="","Enter the boat number",IF(B965&gt;Settings!$B$6,"Boat number above the boat count",IF(SUMIFS($F$5:$F$1004,$B$5:$B$1004,B965,$C$5:$C$1004,C965)&gt;1.0001,"Shares for this step add up to over 100%",IF(I965="","Waiting for sign-off",IF(AND(Settings!$B$10="Yes",I965=E965),"Needs a different member to sign off","OK"))))))</f>
        <v/>
      </c>
    </row>
    <row r="966">
      <c r="A966" s="9" t="n"/>
      <c r="B966" s="6" t="n"/>
      <c r="C966" s="6" t="n"/>
      <c r="D966" s="3">
        <f>IF(C966="","",IFERROR(INDEX(Steps!$C$5:$C$62,MATCH(C966,Steps!$A$5:$A$62,0)),""))</f>
        <v/>
      </c>
      <c r="E966" s="6" t="n"/>
      <c r="F966" s="8" t="n"/>
      <c r="G966" s="6" t="n"/>
      <c r="H966" s="7" t="n"/>
      <c r="I966" s="6" t="n"/>
      <c r="J966" s="9" t="n"/>
      <c r="K966" s="11">
        <f>IF(C966="","",N(IFERROR(INDEX(Steps!$E$5:$E$62,MATCH(C966,Steps!$A$5:$A$62,0)),"")))</f>
        <v/>
      </c>
      <c r="L966" s="11">
        <f>IF(AND(C966&lt;&gt;"",E966&lt;&gt;"",I966&lt;&gt;"",OR(Settings!$B$10="No",I966&lt;&gt;E966)),K966*F966,0)</f>
        <v/>
      </c>
      <c r="M966" s="11">
        <f>IF(AND(AND(C966&lt;&gt;"",E966&lt;&gt;"",I966&lt;&gt;"",OR(Settings!$B$10="No",I966&lt;&gt;E966)),G966="Paid a pro",Settings!$B$9="Yes"),MAX(0,H966-K966*F966),0)</f>
        <v/>
      </c>
      <c r="N966" s="3">
        <f>IF(C966="","",IF(B966="","Enter the boat number",IF(B966&gt;Settings!$B$6,"Boat number above the boat count",IF(SUMIFS($F$5:$F$1004,$B$5:$B$1004,B966,$C$5:$C$1004,C966)&gt;1.0001,"Shares for this step add up to over 100%",IF(I966="","Waiting for sign-off",IF(AND(Settings!$B$10="Yes",I966=E966),"Needs a different member to sign off","OK"))))))</f>
        <v/>
      </c>
    </row>
    <row r="967">
      <c r="A967" s="9" t="n"/>
      <c r="B967" s="6" t="n"/>
      <c r="C967" s="6" t="n"/>
      <c r="D967" s="3">
        <f>IF(C967="","",IFERROR(INDEX(Steps!$C$5:$C$62,MATCH(C967,Steps!$A$5:$A$62,0)),""))</f>
        <v/>
      </c>
      <c r="E967" s="6" t="n"/>
      <c r="F967" s="8" t="n"/>
      <c r="G967" s="6" t="n"/>
      <c r="H967" s="7" t="n"/>
      <c r="I967" s="6" t="n"/>
      <c r="J967" s="9" t="n"/>
      <c r="K967" s="11">
        <f>IF(C967="","",N(IFERROR(INDEX(Steps!$E$5:$E$62,MATCH(C967,Steps!$A$5:$A$62,0)),"")))</f>
        <v/>
      </c>
      <c r="L967" s="11">
        <f>IF(AND(C967&lt;&gt;"",E967&lt;&gt;"",I967&lt;&gt;"",OR(Settings!$B$10="No",I967&lt;&gt;E967)),K967*F967,0)</f>
        <v/>
      </c>
      <c r="M967" s="11">
        <f>IF(AND(AND(C967&lt;&gt;"",E967&lt;&gt;"",I967&lt;&gt;"",OR(Settings!$B$10="No",I967&lt;&gt;E967)),G967="Paid a pro",Settings!$B$9="Yes"),MAX(0,H967-K967*F967),0)</f>
        <v/>
      </c>
      <c r="N967" s="3">
        <f>IF(C967="","",IF(B967="","Enter the boat number",IF(B967&gt;Settings!$B$6,"Boat number above the boat count",IF(SUMIFS($F$5:$F$1004,$B$5:$B$1004,B967,$C$5:$C$1004,C967)&gt;1.0001,"Shares for this step add up to over 100%",IF(I967="","Waiting for sign-off",IF(AND(Settings!$B$10="Yes",I967=E967),"Needs a different member to sign off","OK"))))))</f>
        <v/>
      </c>
    </row>
    <row r="968">
      <c r="A968" s="9" t="n"/>
      <c r="B968" s="6" t="n"/>
      <c r="C968" s="6" t="n"/>
      <c r="D968" s="3">
        <f>IF(C968="","",IFERROR(INDEX(Steps!$C$5:$C$62,MATCH(C968,Steps!$A$5:$A$62,0)),""))</f>
        <v/>
      </c>
      <c r="E968" s="6" t="n"/>
      <c r="F968" s="8" t="n"/>
      <c r="G968" s="6" t="n"/>
      <c r="H968" s="7" t="n"/>
      <c r="I968" s="6" t="n"/>
      <c r="J968" s="9" t="n"/>
      <c r="K968" s="11">
        <f>IF(C968="","",N(IFERROR(INDEX(Steps!$E$5:$E$62,MATCH(C968,Steps!$A$5:$A$62,0)),"")))</f>
        <v/>
      </c>
      <c r="L968" s="11">
        <f>IF(AND(C968&lt;&gt;"",E968&lt;&gt;"",I968&lt;&gt;"",OR(Settings!$B$10="No",I968&lt;&gt;E968)),K968*F968,0)</f>
        <v/>
      </c>
      <c r="M968" s="11">
        <f>IF(AND(AND(C968&lt;&gt;"",E968&lt;&gt;"",I968&lt;&gt;"",OR(Settings!$B$10="No",I968&lt;&gt;E968)),G968="Paid a pro",Settings!$B$9="Yes"),MAX(0,H968-K968*F968),0)</f>
        <v/>
      </c>
      <c r="N968" s="3">
        <f>IF(C968="","",IF(B968="","Enter the boat number",IF(B968&gt;Settings!$B$6,"Boat number above the boat count",IF(SUMIFS($F$5:$F$1004,$B$5:$B$1004,B968,$C$5:$C$1004,C968)&gt;1.0001,"Shares for this step add up to over 100%",IF(I968="","Waiting for sign-off",IF(AND(Settings!$B$10="Yes",I968=E968),"Needs a different member to sign off","OK"))))))</f>
        <v/>
      </c>
    </row>
    <row r="969">
      <c r="A969" s="9" t="n"/>
      <c r="B969" s="6" t="n"/>
      <c r="C969" s="6" t="n"/>
      <c r="D969" s="3">
        <f>IF(C969="","",IFERROR(INDEX(Steps!$C$5:$C$62,MATCH(C969,Steps!$A$5:$A$62,0)),""))</f>
        <v/>
      </c>
      <c r="E969" s="6" t="n"/>
      <c r="F969" s="8" t="n"/>
      <c r="G969" s="6" t="n"/>
      <c r="H969" s="7" t="n"/>
      <c r="I969" s="6" t="n"/>
      <c r="J969" s="9" t="n"/>
      <c r="K969" s="11">
        <f>IF(C969="","",N(IFERROR(INDEX(Steps!$E$5:$E$62,MATCH(C969,Steps!$A$5:$A$62,0)),"")))</f>
        <v/>
      </c>
      <c r="L969" s="11">
        <f>IF(AND(C969&lt;&gt;"",E969&lt;&gt;"",I969&lt;&gt;"",OR(Settings!$B$10="No",I969&lt;&gt;E969)),K969*F969,0)</f>
        <v/>
      </c>
      <c r="M969" s="11">
        <f>IF(AND(AND(C969&lt;&gt;"",E969&lt;&gt;"",I969&lt;&gt;"",OR(Settings!$B$10="No",I969&lt;&gt;E969)),G969="Paid a pro",Settings!$B$9="Yes"),MAX(0,H969-K969*F969),0)</f>
        <v/>
      </c>
      <c r="N969" s="3">
        <f>IF(C969="","",IF(B969="","Enter the boat number",IF(B969&gt;Settings!$B$6,"Boat number above the boat count",IF(SUMIFS($F$5:$F$1004,$B$5:$B$1004,B969,$C$5:$C$1004,C969)&gt;1.0001,"Shares for this step add up to over 100%",IF(I969="","Waiting for sign-off",IF(AND(Settings!$B$10="Yes",I969=E969),"Needs a different member to sign off","OK"))))))</f>
        <v/>
      </c>
    </row>
    <row r="970">
      <c r="A970" s="9" t="n"/>
      <c r="B970" s="6" t="n"/>
      <c r="C970" s="6" t="n"/>
      <c r="D970" s="3">
        <f>IF(C970="","",IFERROR(INDEX(Steps!$C$5:$C$62,MATCH(C970,Steps!$A$5:$A$62,0)),""))</f>
        <v/>
      </c>
      <c r="E970" s="6" t="n"/>
      <c r="F970" s="8" t="n"/>
      <c r="G970" s="6" t="n"/>
      <c r="H970" s="7" t="n"/>
      <c r="I970" s="6" t="n"/>
      <c r="J970" s="9" t="n"/>
      <c r="K970" s="11">
        <f>IF(C970="","",N(IFERROR(INDEX(Steps!$E$5:$E$62,MATCH(C970,Steps!$A$5:$A$62,0)),"")))</f>
        <v/>
      </c>
      <c r="L970" s="11">
        <f>IF(AND(C970&lt;&gt;"",E970&lt;&gt;"",I970&lt;&gt;"",OR(Settings!$B$10="No",I970&lt;&gt;E970)),K970*F970,0)</f>
        <v/>
      </c>
      <c r="M970" s="11">
        <f>IF(AND(AND(C970&lt;&gt;"",E970&lt;&gt;"",I970&lt;&gt;"",OR(Settings!$B$10="No",I970&lt;&gt;E970)),G970="Paid a pro",Settings!$B$9="Yes"),MAX(0,H970-K970*F970),0)</f>
        <v/>
      </c>
      <c r="N970" s="3">
        <f>IF(C970="","",IF(B970="","Enter the boat number",IF(B970&gt;Settings!$B$6,"Boat number above the boat count",IF(SUMIFS($F$5:$F$1004,$B$5:$B$1004,B970,$C$5:$C$1004,C970)&gt;1.0001,"Shares for this step add up to over 100%",IF(I970="","Waiting for sign-off",IF(AND(Settings!$B$10="Yes",I970=E970),"Needs a different member to sign off","OK"))))))</f>
        <v/>
      </c>
    </row>
    <row r="971">
      <c r="A971" s="9" t="n"/>
      <c r="B971" s="6" t="n"/>
      <c r="C971" s="6" t="n"/>
      <c r="D971" s="3">
        <f>IF(C971="","",IFERROR(INDEX(Steps!$C$5:$C$62,MATCH(C971,Steps!$A$5:$A$62,0)),""))</f>
        <v/>
      </c>
      <c r="E971" s="6" t="n"/>
      <c r="F971" s="8" t="n"/>
      <c r="G971" s="6" t="n"/>
      <c r="H971" s="7" t="n"/>
      <c r="I971" s="6" t="n"/>
      <c r="J971" s="9" t="n"/>
      <c r="K971" s="11">
        <f>IF(C971="","",N(IFERROR(INDEX(Steps!$E$5:$E$62,MATCH(C971,Steps!$A$5:$A$62,0)),"")))</f>
        <v/>
      </c>
      <c r="L971" s="11">
        <f>IF(AND(C971&lt;&gt;"",E971&lt;&gt;"",I971&lt;&gt;"",OR(Settings!$B$10="No",I971&lt;&gt;E971)),K971*F971,0)</f>
        <v/>
      </c>
      <c r="M971" s="11">
        <f>IF(AND(AND(C971&lt;&gt;"",E971&lt;&gt;"",I971&lt;&gt;"",OR(Settings!$B$10="No",I971&lt;&gt;E971)),G971="Paid a pro",Settings!$B$9="Yes"),MAX(0,H971-K971*F971),0)</f>
        <v/>
      </c>
      <c r="N971" s="3">
        <f>IF(C971="","",IF(B971="","Enter the boat number",IF(B971&gt;Settings!$B$6,"Boat number above the boat count",IF(SUMIFS($F$5:$F$1004,$B$5:$B$1004,B971,$C$5:$C$1004,C971)&gt;1.0001,"Shares for this step add up to over 100%",IF(I971="","Waiting for sign-off",IF(AND(Settings!$B$10="Yes",I971=E971),"Needs a different member to sign off","OK"))))))</f>
        <v/>
      </c>
    </row>
    <row r="972">
      <c r="A972" s="9" t="n"/>
      <c r="B972" s="6" t="n"/>
      <c r="C972" s="6" t="n"/>
      <c r="D972" s="3">
        <f>IF(C972="","",IFERROR(INDEX(Steps!$C$5:$C$62,MATCH(C972,Steps!$A$5:$A$62,0)),""))</f>
        <v/>
      </c>
      <c r="E972" s="6" t="n"/>
      <c r="F972" s="8" t="n"/>
      <c r="G972" s="6" t="n"/>
      <c r="H972" s="7" t="n"/>
      <c r="I972" s="6" t="n"/>
      <c r="J972" s="9" t="n"/>
      <c r="K972" s="11">
        <f>IF(C972="","",N(IFERROR(INDEX(Steps!$E$5:$E$62,MATCH(C972,Steps!$A$5:$A$62,0)),"")))</f>
        <v/>
      </c>
      <c r="L972" s="11">
        <f>IF(AND(C972&lt;&gt;"",E972&lt;&gt;"",I972&lt;&gt;"",OR(Settings!$B$10="No",I972&lt;&gt;E972)),K972*F972,0)</f>
        <v/>
      </c>
      <c r="M972" s="11">
        <f>IF(AND(AND(C972&lt;&gt;"",E972&lt;&gt;"",I972&lt;&gt;"",OR(Settings!$B$10="No",I972&lt;&gt;E972)),G972="Paid a pro",Settings!$B$9="Yes"),MAX(0,H972-K972*F972),0)</f>
        <v/>
      </c>
      <c r="N972" s="3">
        <f>IF(C972="","",IF(B972="","Enter the boat number",IF(B972&gt;Settings!$B$6,"Boat number above the boat count",IF(SUMIFS($F$5:$F$1004,$B$5:$B$1004,B972,$C$5:$C$1004,C972)&gt;1.0001,"Shares for this step add up to over 100%",IF(I972="","Waiting for sign-off",IF(AND(Settings!$B$10="Yes",I972=E972),"Needs a different member to sign off","OK"))))))</f>
        <v/>
      </c>
    </row>
    <row r="973">
      <c r="A973" s="9" t="n"/>
      <c r="B973" s="6" t="n"/>
      <c r="C973" s="6" t="n"/>
      <c r="D973" s="3">
        <f>IF(C973="","",IFERROR(INDEX(Steps!$C$5:$C$62,MATCH(C973,Steps!$A$5:$A$62,0)),""))</f>
        <v/>
      </c>
      <c r="E973" s="6" t="n"/>
      <c r="F973" s="8" t="n"/>
      <c r="G973" s="6" t="n"/>
      <c r="H973" s="7" t="n"/>
      <c r="I973" s="6" t="n"/>
      <c r="J973" s="9" t="n"/>
      <c r="K973" s="11">
        <f>IF(C973="","",N(IFERROR(INDEX(Steps!$E$5:$E$62,MATCH(C973,Steps!$A$5:$A$62,0)),"")))</f>
        <v/>
      </c>
      <c r="L973" s="11">
        <f>IF(AND(C973&lt;&gt;"",E973&lt;&gt;"",I973&lt;&gt;"",OR(Settings!$B$10="No",I973&lt;&gt;E973)),K973*F973,0)</f>
        <v/>
      </c>
      <c r="M973" s="11">
        <f>IF(AND(AND(C973&lt;&gt;"",E973&lt;&gt;"",I973&lt;&gt;"",OR(Settings!$B$10="No",I973&lt;&gt;E973)),G973="Paid a pro",Settings!$B$9="Yes"),MAX(0,H973-K973*F973),0)</f>
        <v/>
      </c>
      <c r="N973" s="3">
        <f>IF(C973="","",IF(B973="","Enter the boat number",IF(B973&gt;Settings!$B$6,"Boat number above the boat count",IF(SUMIFS($F$5:$F$1004,$B$5:$B$1004,B973,$C$5:$C$1004,C973)&gt;1.0001,"Shares for this step add up to over 100%",IF(I973="","Waiting for sign-off",IF(AND(Settings!$B$10="Yes",I973=E973),"Needs a different member to sign off","OK"))))))</f>
        <v/>
      </c>
    </row>
    <row r="974">
      <c r="A974" s="9" t="n"/>
      <c r="B974" s="6" t="n"/>
      <c r="C974" s="6" t="n"/>
      <c r="D974" s="3">
        <f>IF(C974="","",IFERROR(INDEX(Steps!$C$5:$C$62,MATCH(C974,Steps!$A$5:$A$62,0)),""))</f>
        <v/>
      </c>
      <c r="E974" s="6" t="n"/>
      <c r="F974" s="8" t="n"/>
      <c r="G974" s="6" t="n"/>
      <c r="H974" s="7" t="n"/>
      <c r="I974" s="6" t="n"/>
      <c r="J974" s="9" t="n"/>
      <c r="K974" s="11">
        <f>IF(C974="","",N(IFERROR(INDEX(Steps!$E$5:$E$62,MATCH(C974,Steps!$A$5:$A$62,0)),"")))</f>
        <v/>
      </c>
      <c r="L974" s="11">
        <f>IF(AND(C974&lt;&gt;"",E974&lt;&gt;"",I974&lt;&gt;"",OR(Settings!$B$10="No",I974&lt;&gt;E974)),K974*F974,0)</f>
        <v/>
      </c>
      <c r="M974" s="11">
        <f>IF(AND(AND(C974&lt;&gt;"",E974&lt;&gt;"",I974&lt;&gt;"",OR(Settings!$B$10="No",I974&lt;&gt;E974)),G974="Paid a pro",Settings!$B$9="Yes"),MAX(0,H974-K974*F974),0)</f>
        <v/>
      </c>
      <c r="N974" s="3">
        <f>IF(C974="","",IF(B974="","Enter the boat number",IF(B974&gt;Settings!$B$6,"Boat number above the boat count",IF(SUMIFS($F$5:$F$1004,$B$5:$B$1004,B974,$C$5:$C$1004,C974)&gt;1.0001,"Shares for this step add up to over 100%",IF(I974="","Waiting for sign-off",IF(AND(Settings!$B$10="Yes",I974=E974),"Needs a different member to sign off","OK"))))))</f>
        <v/>
      </c>
    </row>
    <row r="975">
      <c r="A975" s="9" t="n"/>
      <c r="B975" s="6" t="n"/>
      <c r="C975" s="6" t="n"/>
      <c r="D975" s="3">
        <f>IF(C975="","",IFERROR(INDEX(Steps!$C$5:$C$62,MATCH(C975,Steps!$A$5:$A$62,0)),""))</f>
        <v/>
      </c>
      <c r="E975" s="6" t="n"/>
      <c r="F975" s="8" t="n"/>
      <c r="G975" s="6" t="n"/>
      <c r="H975" s="7" t="n"/>
      <c r="I975" s="6" t="n"/>
      <c r="J975" s="9" t="n"/>
      <c r="K975" s="11">
        <f>IF(C975="","",N(IFERROR(INDEX(Steps!$E$5:$E$62,MATCH(C975,Steps!$A$5:$A$62,0)),"")))</f>
        <v/>
      </c>
      <c r="L975" s="11">
        <f>IF(AND(C975&lt;&gt;"",E975&lt;&gt;"",I975&lt;&gt;"",OR(Settings!$B$10="No",I975&lt;&gt;E975)),K975*F975,0)</f>
        <v/>
      </c>
      <c r="M975" s="11">
        <f>IF(AND(AND(C975&lt;&gt;"",E975&lt;&gt;"",I975&lt;&gt;"",OR(Settings!$B$10="No",I975&lt;&gt;E975)),G975="Paid a pro",Settings!$B$9="Yes"),MAX(0,H975-K975*F975),0)</f>
        <v/>
      </c>
      <c r="N975" s="3">
        <f>IF(C975="","",IF(B975="","Enter the boat number",IF(B975&gt;Settings!$B$6,"Boat number above the boat count",IF(SUMIFS($F$5:$F$1004,$B$5:$B$1004,B975,$C$5:$C$1004,C975)&gt;1.0001,"Shares for this step add up to over 100%",IF(I975="","Waiting for sign-off",IF(AND(Settings!$B$10="Yes",I975=E975),"Needs a different member to sign off","OK"))))))</f>
        <v/>
      </c>
    </row>
    <row r="976">
      <c r="A976" s="9" t="n"/>
      <c r="B976" s="6" t="n"/>
      <c r="C976" s="6" t="n"/>
      <c r="D976" s="3">
        <f>IF(C976="","",IFERROR(INDEX(Steps!$C$5:$C$62,MATCH(C976,Steps!$A$5:$A$62,0)),""))</f>
        <v/>
      </c>
      <c r="E976" s="6" t="n"/>
      <c r="F976" s="8" t="n"/>
      <c r="G976" s="6" t="n"/>
      <c r="H976" s="7" t="n"/>
      <c r="I976" s="6" t="n"/>
      <c r="J976" s="9" t="n"/>
      <c r="K976" s="11">
        <f>IF(C976="","",N(IFERROR(INDEX(Steps!$E$5:$E$62,MATCH(C976,Steps!$A$5:$A$62,0)),"")))</f>
        <v/>
      </c>
      <c r="L976" s="11">
        <f>IF(AND(C976&lt;&gt;"",E976&lt;&gt;"",I976&lt;&gt;"",OR(Settings!$B$10="No",I976&lt;&gt;E976)),K976*F976,0)</f>
        <v/>
      </c>
      <c r="M976" s="11">
        <f>IF(AND(AND(C976&lt;&gt;"",E976&lt;&gt;"",I976&lt;&gt;"",OR(Settings!$B$10="No",I976&lt;&gt;E976)),G976="Paid a pro",Settings!$B$9="Yes"),MAX(0,H976-K976*F976),0)</f>
        <v/>
      </c>
      <c r="N976" s="3">
        <f>IF(C976="","",IF(B976="","Enter the boat number",IF(B976&gt;Settings!$B$6,"Boat number above the boat count",IF(SUMIFS($F$5:$F$1004,$B$5:$B$1004,B976,$C$5:$C$1004,C976)&gt;1.0001,"Shares for this step add up to over 100%",IF(I976="","Waiting for sign-off",IF(AND(Settings!$B$10="Yes",I976=E976),"Needs a different member to sign off","OK"))))))</f>
        <v/>
      </c>
    </row>
    <row r="977">
      <c r="A977" s="9" t="n"/>
      <c r="B977" s="6" t="n"/>
      <c r="C977" s="6" t="n"/>
      <c r="D977" s="3">
        <f>IF(C977="","",IFERROR(INDEX(Steps!$C$5:$C$62,MATCH(C977,Steps!$A$5:$A$62,0)),""))</f>
        <v/>
      </c>
      <c r="E977" s="6" t="n"/>
      <c r="F977" s="8" t="n"/>
      <c r="G977" s="6" t="n"/>
      <c r="H977" s="7" t="n"/>
      <c r="I977" s="6" t="n"/>
      <c r="J977" s="9" t="n"/>
      <c r="K977" s="11">
        <f>IF(C977="","",N(IFERROR(INDEX(Steps!$E$5:$E$62,MATCH(C977,Steps!$A$5:$A$62,0)),"")))</f>
        <v/>
      </c>
      <c r="L977" s="11">
        <f>IF(AND(C977&lt;&gt;"",E977&lt;&gt;"",I977&lt;&gt;"",OR(Settings!$B$10="No",I977&lt;&gt;E977)),K977*F977,0)</f>
        <v/>
      </c>
      <c r="M977" s="11">
        <f>IF(AND(AND(C977&lt;&gt;"",E977&lt;&gt;"",I977&lt;&gt;"",OR(Settings!$B$10="No",I977&lt;&gt;E977)),G977="Paid a pro",Settings!$B$9="Yes"),MAX(0,H977-K977*F977),0)</f>
        <v/>
      </c>
      <c r="N977" s="3">
        <f>IF(C977="","",IF(B977="","Enter the boat number",IF(B977&gt;Settings!$B$6,"Boat number above the boat count",IF(SUMIFS($F$5:$F$1004,$B$5:$B$1004,B977,$C$5:$C$1004,C977)&gt;1.0001,"Shares for this step add up to over 100%",IF(I977="","Waiting for sign-off",IF(AND(Settings!$B$10="Yes",I977=E977),"Needs a different member to sign off","OK"))))))</f>
        <v/>
      </c>
    </row>
    <row r="978">
      <c r="A978" s="9" t="n"/>
      <c r="B978" s="6" t="n"/>
      <c r="C978" s="6" t="n"/>
      <c r="D978" s="3">
        <f>IF(C978="","",IFERROR(INDEX(Steps!$C$5:$C$62,MATCH(C978,Steps!$A$5:$A$62,0)),""))</f>
        <v/>
      </c>
      <c r="E978" s="6" t="n"/>
      <c r="F978" s="8" t="n"/>
      <c r="G978" s="6" t="n"/>
      <c r="H978" s="7" t="n"/>
      <c r="I978" s="6" t="n"/>
      <c r="J978" s="9" t="n"/>
      <c r="K978" s="11">
        <f>IF(C978="","",N(IFERROR(INDEX(Steps!$E$5:$E$62,MATCH(C978,Steps!$A$5:$A$62,0)),"")))</f>
        <v/>
      </c>
      <c r="L978" s="11">
        <f>IF(AND(C978&lt;&gt;"",E978&lt;&gt;"",I978&lt;&gt;"",OR(Settings!$B$10="No",I978&lt;&gt;E978)),K978*F978,0)</f>
        <v/>
      </c>
      <c r="M978" s="11">
        <f>IF(AND(AND(C978&lt;&gt;"",E978&lt;&gt;"",I978&lt;&gt;"",OR(Settings!$B$10="No",I978&lt;&gt;E978)),G978="Paid a pro",Settings!$B$9="Yes"),MAX(0,H978-K978*F978),0)</f>
        <v/>
      </c>
      <c r="N978" s="3">
        <f>IF(C978="","",IF(B978="","Enter the boat number",IF(B978&gt;Settings!$B$6,"Boat number above the boat count",IF(SUMIFS($F$5:$F$1004,$B$5:$B$1004,B978,$C$5:$C$1004,C978)&gt;1.0001,"Shares for this step add up to over 100%",IF(I978="","Waiting for sign-off",IF(AND(Settings!$B$10="Yes",I978=E978),"Needs a different member to sign off","OK"))))))</f>
        <v/>
      </c>
    </row>
    <row r="979">
      <c r="A979" s="9" t="n"/>
      <c r="B979" s="6" t="n"/>
      <c r="C979" s="6" t="n"/>
      <c r="D979" s="3">
        <f>IF(C979="","",IFERROR(INDEX(Steps!$C$5:$C$62,MATCH(C979,Steps!$A$5:$A$62,0)),""))</f>
        <v/>
      </c>
      <c r="E979" s="6" t="n"/>
      <c r="F979" s="8" t="n"/>
      <c r="G979" s="6" t="n"/>
      <c r="H979" s="7" t="n"/>
      <c r="I979" s="6" t="n"/>
      <c r="J979" s="9" t="n"/>
      <c r="K979" s="11">
        <f>IF(C979="","",N(IFERROR(INDEX(Steps!$E$5:$E$62,MATCH(C979,Steps!$A$5:$A$62,0)),"")))</f>
        <v/>
      </c>
      <c r="L979" s="11">
        <f>IF(AND(C979&lt;&gt;"",E979&lt;&gt;"",I979&lt;&gt;"",OR(Settings!$B$10="No",I979&lt;&gt;E979)),K979*F979,0)</f>
        <v/>
      </c>
      <c r="M979" s="11">
        <f>IF(AND(AND(C979&lt;&gt;"",E979&lt;&gt;"",I979&lt;&gt;"",OR(Settings!$B$10="No",I979&lt;&gt;E979)),G979="Paid a pro",Settings!$B$9="Yes"),MAX(0,H979-K979*F979),0)</f>
        <v/>
      </c>
      <c r="N979" s="3">
        <f>IF(C979="","",IF(B979="","Enter the boat number",IF(B979&gt;Settings!$B$6,"Boat number above the boat count",IF(SUMIFS($F$5:$F$1004,$B$5:$B$1004,B979,$C$5:$C$1004,C979)&gt;1.0001,"Shares for this step add up to over 100%",IF(I979="","Waiting for sign-off",IF(AND(Settings!$B$10="Yes",I979=E979),"Needs a different member to sign off","OK"))))))</f>
        <v/>
      </c>
    </row>
    <row r="980">
      <c r="A980" s="9" t="n"/>
      <c r="B980" s="6" t="n"/>
      <c r="C980" s="6" t="n"/>
      <c r="D980" s="3">
        <f>IF(C980="","",IFERROR(INDEX(Steps!$C$5:$C$62,MATCH(C980,Steps!$A$5:$A$62,0)),""))</f>
        <v/>
      </c>
      <c r="E980" s="6" t="n"/>
      <c r="F980" s="8" t="n"/>
      <c r="G980" s="6" t="n"/>
      <c r="H980" s="7" t="n"/>
      <c r="I980" s="6" t="n"/>
      <c r="J980" s="9" t="n"/>
      <c r="K980" s="11">
        <f>IF(C980="","",N(IFERROR(INDEX(Steps!$E$5:$E$62,MATCH(C980,Steps!$A$5:$A$62,0)),"")))</f>
        <v/>
      </c>
      <c r="L980" s="11">
        <f>IF(AND(C980&lt;&gt;"",E980&lt;&gt;"",I980&lt;&gt;"",OR(Settings!$B$10="No",I980&lt;&gt;E980)),K980*F980,0)</f>
        <v/>
      </c>
      <c r="M980" s="11">
        <f>IF(AND(AND(C980&lt;&gt;"",E980&lt;&gt;"",I980&lt;&gt;"",OR(Settings!$B$10="No",I980&lt;&gt;E980)),G980="Paid a pro",Settings!$B$9="Yes"),MAX(0,H980-K980*F980),0)</f>
        <v/>
      </c>
      <c r="N980" s="3">
        <f>IF(C980="","",IF(B980="","Enter the boat number",IF(B980&gt;Settings!$B$6,"Boat number above the boat count",IF(SUMIFS($F$5:$F$1004,$B$5:$B$1004,B980,$C$5:$C$1004,C980)&gt;1.0001,"Shares for this step add up to over 100%",IF(I980="","Waiting for sign-off",IF(AND(Settings!$B$10="Yes",I980=E980),"Needs a different member to sign off","OK"))))))</f>
        <v/>
      </c>
    </row>
    <row r="981">
      <c r="A981" s="9" t="n"/>
      <c r="B981" s="6" t="n"/>
      <c r="C981" s="6" t="n"/>
      <c r="D981" s="3">
        <f>IF(C981="","",IFERROR(INDEX(Steps!$C$5:$C$62,MATCH(C981,Steps!$A$5:$A$62,0)),""))</f>
        <v/>
      </c>
      <c r="E981" s="6" t="n"/>
      <c r="F981" s="8" t="n"/>
      <c r="G981" s="6" t="n"/>
      <c r="H981" s="7" t="n"/>
      <c r="I981" s="6" t="n"/>
      <c r="J981" s="9" t="n"/>
      <c r="K981" s="11">
        <f>IF(C981="","",N(IFERROR(INDEX(Steps!$E$5:$E$62,MATCH(C981,Steps!$A$5:$A$62,0)),"")))</f>
        <v/>
      </c>
      <c r="L981" s="11">
        <f>IF(AND(C981&lt;&gt;"",E981&lt;&gt;"",I981&lt;&gt;"",OR(Settings!$B$10="No",I981&lt;&gt;E981)),K981*F981,0)</f>
        <v/>
      </c>
      <c r="M981" s="11">
        <f>IF(AND(AND(C981&lt;&gt;"",E981&lt;&gt;"",I981&lt;&gt;"",OR(Settings!$B$10="No",I981&lt;&gt;E981)),G981="Paid a pro",Settings!$B$9="Yes"),MAX(0,H981-K981*F981),0)</f>
        <v/>
      </c>
      <c r="N981" s="3">
        <f>IF(C981="","",IF(B981="","Enter the boat number",IF(B981&gt;Settings!$B$6,"Boat number above the boat count",IF(SUMIFS($F$5:$F$1004,$B$5:$B$1004,B981,$C$5:$C$1004,C981)&gt;1.0001,"Shares for this step add up to over 100%",IF(I981="","Waiting for sign-off",IF(AND(Settings!$B$10="Yes",I981=E981),"Needs a different member to sign off","OK"))))))</f>
        <v/>
      </c>
    </row>
    <row r="982">
      <c r="A982" s="9" t="n"/>
      <c r="B982" s="6" t="n"/>
      <c r="C982" s="6" t="n"/>
      <c r="D982" s="3">
        <f>IF(C982="","",IFERROR(INDEX(Steps!$C$5:$C$62,MATCH(C982,Steps!$A$5:$A$62,0)),""))</f>
        <v/>
      </c>
      <c r="E982" s="6" t="n"/>
      <c r="F982" s="8" t="n"/>
      <c r="G982" s="6" t="n"/>
      <c r="H982" s="7" t="n"/>
      <c r="I982" s="6" t="n"/>
      <c r="J982" s="9" t="n"/>
      <c r="K982" s="11">
        <f>IF(C982="","",N(IFERROR(INDEX(Steps!$E$5:$E$62,MATCH(C982,Steps!$A$5:$A$62,0)),"")))</f>
        <v/>
      </c>
      <c r="L982" s="11">
        <f>IF(AND(C982&lt;&gt;"",E982&lt;&gt;"",I982&lt;&gt;"",OR(Settings!$B$10="No",I982&lt;&gt;E982)),K982*F982,0)</f>
        <v/>
      </c>
      <c r="M982" s="11">
        <f>IF(AND(AND(C982&lt;&gt;"",E982&lt;&gt;"",I982&lt;&gt;"",OR(Settings!$B$10="No",I982&lt;&gt;E982)),G982="Paid a pro",Settings!$B$9="Yes"),MAX(0,H982-K982*F982),0)</f>
        <v/>
      </c>
      <c r="N982" s="3">
        <f>IF(C982="","",IF(B982="","Enter the boat number",IF(B982&gt;Settings!$B$6,"Boat number above the boat count",IF(SUMIFS($F$5:$F$1004,$B$5:$B$1004,B982,$C$5:$C$1004,C982)&gt;1.0001,"Shares for this step add up to over 100%",IF(I982="","Waiting for sign-off",IF(AND(Settings!$B$10="Yes",I982=E982),"Needs a different member to sign off","OK"))))))</f>
        <v/>
      </c>
    </row>
    <row r="983">
      <c r="A983" s="9" t="n"/>
      <c r="B983" s="6" t="n"/>
      <c r="C983" s="6" t="n"/>
      <c r="D983" s="3">
        <f>IF(C983="","",IFERROR(INDEX(Steps!$C$5:$C$62,MATCH(C983,Steps!$A$5:$A$62,0)),""))</f>
        <v/>
      </c>
      <c r="E983" s="6" t="n"/>
      <c r="F983" s="8" t="n"/>
      <c r="G983" s="6" t="n"/>
      <c r="H983" s="7" t="n"/>
      <c r="I983" s="6" t="n"/>
      <c r="J983" s="9" t="n"/>
      <c r="K983" s="11">
        <f>IF(C983="","",N(IFERROR(INDEX(Steps!$E$5:$E$62,MATCH(C983,Steps!$A$5:$A$62,0)),"")))</f>
        <v/>
      </c>
      <c r="L983" s="11">
        <f>IF(AND(C983&lt;&gt;"",E983&lt;&gt;"",I983&lt;&gt;"",OR(Settings!$B$10="No",I983&lt;&gt;E983)),K983*F983,0)</f>
        <v/>
      </c>
      <c r="M983" s="11">
        <f>IF(AND(AND(C983&lt;&gt;"",E983&lt;&gt;"",I983&lt;&gt;"",OR(Settings!$B$10="No",I983&lt;&gt;E983)),G983="Paid a pro",Settings!$B$9="Yes"),MAX(0,H983-K983*F983),0)</f>
        <v/>
      </c>
      <c r="N983" s="3">
        <f>IF(C983="","",IF(B983="","Enter the boat number",IF(B983&gt;Settings!$B$6,"Boat number above the boat count",IF(SUMIFS($F$5:$F$1004,$B$5:$B$1004,B983,$C$5:$C$1004,C983)&gt;1.0001,"Shares for this step add up to over 100%",IF(I983="","Waiting for sign-off",IF(AND(Settings!$B$10="Yes",I983=E983),"Needs a different member to sign off","OK"))))))</f>
        <v/>
      </c>
    </row>
    <row r="984">
      <c r="A984" s="9" t="n"/>
      <c r="B984" s="6" t="n"/>
      <c r="C984" s="6" t="n"/>
      <c r="D984" s="3">
        <f>IF(C984="","",IFERROR(INDEX(Steps!$C$5:$C$62,MATCH(C984,Steps!$A$5:$A$62,0)),""))</f>
        <v/>
      </c>
      <c r="E984" s="6" t="n"/>
      <c r="F984" s="8" t="n"/>
      <c r="G984" s="6" t="n"/>
      <c r="H984" s="7" t="n"/>
      <c r="I984" s="6" t="n"/>
      <c r="J984" s="9" t="n"/>
      <c r="K984" s="11">
        <f>IF(C984="","",N(IFERROR(INDEX(Steps!$E$5:$E$62,MATCH(C984,Steps!$A$5:$A$62,0)),"")))</f>
        <v/>
      </c>
      <c r="L984" s="11">
        <f>IF(AND(C984&lt;&gt;"",E984&lt;&gt;"",I984&lt;&gt;"",OR(Settings!$B$10="No",I984&lt;&gt;E984)),K984*F984,0)</f>
        <v/>
      </c>
      <c r="M984" s="11">
        <f>IF(AND(AND(C984&lt;&gt;"",E984&lt;&gt;"",I984&lt;&gt;"",OR(Settings!$B$10="No",I984&lt;&gt;E984)),G984="Paid a pro",Settings!$B$9="Yes"),MAX(0,H984-K984*F984),0)</f>
        <v/>
      </c>
      <c r="N984" s="3">
        <f>IF(C984="","",IF(B984="","Enter the boat number",IF(B984&gt;Settings!$B$6,"Boat number above the boat count",IF(SUMIFS($F$5:$F$1004,$B$5:$B$1004,B984,$C$5:$C$1004,C984)&gt;1.0001,"Shares for this step add up to over 100%",IF(I984="","Waiting for sign-off",IF(AND(Settings!$B$10="Yes",I984=E984),"Needs a different member to sign off","OK"))))))</f>
        <v/>
      </c>
    </row>
    <row r="985">
      <c r="A985" s="9" t="n"/>
      <c r="B985" s="6" t="n"/>
      <c r="C985" s="6" t="n"/>
      <c r="D985" s="3">
        <f>IF(C985="","",IFERROR(INDEX(Steps!$C$5:$C$62,MATCH(C985,Steps!$A$5:$A$62,0)),""))</f>
        <v/>
      </c>
      <c r="E985" s="6" t="n"/>
      <c r="F985" s="8" t="n"/>
      <c r="G985" s="6" t="n"/>
      <c r="H985" s="7" t="n"/>
      <c r="I985" s="6" t="n"/>
      <c r="J985" s="9" t="n"/>
      <c r="K985" s="11">
        <f>IF(C985="","",N(IFERROR(INDEX(Steps!$E$5:$E$62,MATCH(C985,Steps!$A$5:$A$62,0)),"")))</f>
        <v/>
      </c>
      <c r="L985" s="11">
        <f>IF(AND(C985&lt;&gt;"",E985&lt;&gt;"",I985&lt;&gt;"",OR(Settings!$B$10="No",I985&lt;&gt;E985)),K985*F985,0)</f>
        <v/>
      </c>
      <c r="M985" s="11">
        <f>IF(AND(AND(C985&lt;&gt;"",E985&lt;&gt;"",I985&lt;&gt;"",OR(Settings!$B$10="No",I985&lt;&gt;E985)),G985="Paid a pro",Settings!$B$9="Yes"),MAX(0,H985-K985*F985),0)</f>
        <v/>
      </c>
      <c r="N985" s="3">
        <f>IF(C985="","",IF(B985="","Enter the boat number",IF(B985&gt;Settings!$B$6,"Boat number above the boat count",IF(SUMIFS($F$5:$F$1004,$B$5:$B$1004,B985,$C$5:$C$1004,C985)&gt;1.0001,"Shares for this step add up to over 100%",IF(I985="","Waiting for sign-off",IF(AND(Settings!$B$10="Yes",I985=E985),"Needs a different member to sign off","OK"))))))</f>
        <v/>
      </c>
    </row>
    <row r="986">
      <c r="A986" s="9" t="n"/>
      <c r="B986" s="6" t="n"/>
      <c r="C986" s="6" t="n"/>
      <c r="D986" s="3">
        <f>IF(C986="","",IFERROR(INDEX(Steps!$C$5:$C$62,MATCH(C986,Steps!$A$5:$A$62,0)),""))</f>
        <v/>
      </c>
      <c r="E986" s="6" t="n"/>
      <c r="F986" s="8" t="n"/>
      <c r="G986" s="6" t="n"/>
      <c r="H986" s="7" t="n"/>
      <c r="I986" s="6" t="n"/>
      <c r="J986" s="9" t="n"/>
      <c r="K986" s="11">
        <f>IF(C986="","",N(IFERROR(INDEX(Steps!$E$5:$E$62,MATCH(C986,Steps!$A$5:$A$62,0)),"")))</f>
        <v/>
      </c>
      <c r="L986" s="11">
        <f>IF(AND(C986&lt;&gt;"",E986&lt;&gt;"",I986&lt;&gt;"",OR(Settings!$B$10="No",I986&lt;&gt;E986)),K986*F986,0)</f>
        <v/>
      </c>
      <c r="M986" s="11">
        <f>IF(AND(AND(C986&lt;&gt;"",E986&lt;&gt;"",I986&lt;&gt;"",OR(Settings!$B$10="No",I986&lt;&gt;E986)),G986="Paid a pro",Settings!$B$9="Yes"),MAX(0,H986-K986*F986),0)</f>
        <v/>
      </c>
      <c r="N986" s="3">
        <f>IF(C986="","",IF(B986="","Enter the boat number",IF(B986&gt;Settings!$B$6,"Boat number above the boat count",IF(SUMIFS($F$5:$F$1004,$B$5:$B$1004,B986,$C$5:$C$1004,C986)&gt;1.0001,"Shares for this step add up to over 100%",IF(I986="","Waiting for sign-off",IF(AND(Settings!$B$10="Yes",I986=E986),"Needs a different member to sign off","OK"))))))</f>
        <v/>
      </c>
    </row>
    <row r="987">
      <c r="A987" s="9" t="n"/>
      <c r="B987" s="6" t="n"/>
      <c r="C987" s="6" t="n"/>
      <c r="D987" s="3">
        <f>IF(C987="","",IFERROR(INDEX(Steps!$C$5:$C$62,MATCH(C987,Steps!$A$5:$A$62,0)),""))</f>
        <v/>
      </c>
      <c r="E987" s="6" t="n"/>
      <c r="F987" s="8" t="n"/>
      <c r="G987" s="6" t="n"/>
      <c r="H987" s="7" t="n"/>
      <c r="I987" s="6" t="n"/>
      <c r="J987" s="9" t="n"/>
      <c r="K987" s="11">
        <f>IF(C987="","",N(IFERROR(INDEX(Steps!$E$5:$E$62,MATCH(C987,Steps!$A$5:$A$62,0)),"")))</f>
        <v/>
      </c>
      <c r="L987" s="11">
        <f>IF(AND(C987&lt;&gt;"",E987&lt;&gt;"",I987&lt;&gt;"",OR(Settings!$B$10="No",I987&lt;&gt;E987)),K987*F987,0)</f>
        <v/>
      </c>
      <c r="M987" s="11">
        <f>IF(AND(AND(C987&lt;&gt;"",E987&lt;&gt;"",I987&lt;&gt;"",OR(Settings!$B$10="No",I987&lt;&gt;E987)),G987="Paid a pro",Settings!$B$9="Yes"),MAX(0,H987-K987*F987),0)</f>
        <v/>
      </c>
      <c r="N987" s="3">
        <f>IF(C987="","",IF(B987="","Enter the boat number",IF(B987&gt;Settings!$B$6,"Boat number above the boat count",IF(SUMIFS($F$5:$F$1004,$B$5:$B$1004,B987,$C$5:$C$1004,C987)&gt;1.0001,"Shares for this step add up to over 100%",IF(I987="","Waiting for sign-off",IF(AND(Settings!$B$10="Yes",I987=E987),"Needs a different member to sign off","OK"))))))</f>
        <v/>
      </c>
    </row>
    <row r="988">
      <c r="A988" s="9" t="n"/>
      <c r="B988" s="6" t="n"/>
      <c r="C988" s="6" t="n"/>
      <c r="D988" s="3">
        <f>IF(C988="","",IFERROR(INDEX(Steps!$C$5:$C$62,MATCH(C988,Steps!$A$5:$A$62,0)),""))</f>
        <v/>
      </c>
      <c r="E988" s="6" t="n"/>
      <c r="F988" s="8" t="n"/>
      <c r="G988" s="6" t="n"/>
      <c r="H988" s="7" t="n"/>
      <c r="I988" s="6" t="n"/>
      <c r="J988" s="9" t="n"/>
      <c r="K988" s="11">
        <f>IF(C988="","",N(IFERROR(INDEX(Steps!$E$5:$E$62,MATCH(C988,Steps!$A$5:$A$62,0)),"")))</f>
        <v/>
      </c>
      <c r="L988" s="11">
        <f>IF(AND(C988&lt;&gt;"",E988&lt;&gt;"",I988&lt;&gt;"",OR(Settings!$B$10="No",I988&lt;&gt;E988)),K988*F988,0)</f>
        <v/>
      </c>
      <c r="M988" s="11">
        <f>IF(AND(AND(C988&lt;&gt;"",E988&lt;&gt;"",I988&lt;&gt;"",OR(Settings!$B$10="No",I988&lt;&gt;E988)),G988="Paid a pro",Settings!$B$9="Yes"),MAX(0,H988-K988*F988),0)</f>
        <v/>
      </c>
      <c r="N988" s="3">
        <f>IF(C988="","",IF(B988="","Enter the boat number",IF(B988&gt;Settings!$B$6,"Boat number above the boat count",IF(SUMIFS($F$5:$F$1004,$B$5:$B$1004,B988,$C$5:$C$1004,C988)&gt;1.0001,"Shares for this step add up to over 100%",IF(I988="","Waiting for sign-off",IF(AND(Settings!$B$10="Yes",I988=E988),"Needs a different member to sign off","OK"))))))</f>
        <v/>
      </c>
    </row>
    <row r="989">
      <c r="A989" s="9" t="n"/>
      <c r="B989" s="6" t="n"/>
      <c r="C989" s="6" t="n"/>
      <c r="D989" s="3">
        <f>IF(C989="","",IFERROR(INDEX(Steps!$C$5:$C$62,MATCH(C989,Steps!$A$5:$A$62,0)),""))</f>
        <v/>
      </c>
      <c r="E989" s="6" t="n"/>
      <c r="F989" s="8" t="n"/>
      <c r="G989" s="6" t="n"/>
      <c r="H989" s="7" t="n"/>
      <c r="I989" s="6" t="n"/>
      <c r="J989" s="9" t="n"/>
      <c r="K989" s="11">
        <f>IF(C989="","",N(IFERROR(INDEX(Steps!$E$5:$E$62,MATCH(C989,Steps!$A$5:$A$62,0)),"")))</f>
        <v/>
      </c>
      <c r="L989" s="11">
        <f>IF(AND(C989&lt;&gt;"",E989&lt;&gt;"",I989&lt;&gt;"",OR(Settings!$B$10="No",I989&lt;&gt;E989)),K989*F989,0)</f>
        <v/>
      </c>
      <c r="M989" s="11">
        <f>IF(AND(AND(C989&lt;&gt;"",E989&lt;&gt;"",I989&lt;&gt;"",OR(Settings!$B$10="No",I989&lt;&gt;E989)),G989="Paid a pro",Settings!$B$9="Yes"),MAX(0,H989-K989*F989),0)</f>
        <v/>
      </c>
      <c r="N989" s="3">
        <f>IF(C989="","",IF(B989="","Enter the boat number",IF(B989&gt;Settings!$B$6,"Boat number above the boat count",IF(SUMIFS($F$5:$F$1004,$B$5:$B$1004,B989,$C$5:$C$1004,C989)&gt;1.0001,"Shares for this step add up to over 100%",IF(I989="","Waiting for sign-off",IF(AND(Settings!$B$10="Yes",I989=E989),"Needs a different member to sign off","OK"))))))</f>
        <v/>
      </c>
    </row>
    <row r="990">
      <c r="A990" s="9" t="n"/>
      <c r="B990" s="6" t="n"/>
      <c r="C990" s="6" t="n"/>
      <c r="D990" s="3">
        <f>IF(C990="","",IFERROR(INDEX(Steps!$C$5:$C$62,MATCH(C990,Steps!$A$5:$A$62,0)),""))</f>
        <v/>
      </c>
      <c r="E990" s="6" t="n"/>
      <c r="F990" s="8" t="n"/>
      <c r="G990" s="6" t="n"/>
      <c r="H990" s="7" t="n"/>
      <c r="I990" s="6" t="n"/>
      <c r="J990" s="9" t="n"/>
      <c r="K990" s="11">
        <f>IF(C990="","",N(IFERROR(INDEX(Steps!$E$5:$E$62,MATCH(C990,Steps!$A$5:$A$62,0)),"")))</f>
        <v/>
      </c>
      <c r="L990" s="11">
        <f>IF(AND(C990&lt;&gt;"",E990&lt;&gt;"",I990&lt;&gt;"",OR(Settings!$B$10="No",I990&lt;&gt;E990)),K990*F990,0)</f>
        <v/>
      </c>
      <c r="M990" s="11">
        <f>IF(AND(AND(C990&lt;&gt;"",E990&lt;&gt;"",I990&lt;&gt;"",OR(Settings!$B$10="No",I990&lt;&gt;E990)),G990="Paid a pro",Settings!$B$9="Yes"),MAX(0,H990-K990*F990),0)</f>
        <v/>
      </c>
      <c r="N990" s="3">
        <f>IF(C990="","",IF(B990="","Enter the boat number",IF(B990&gt;Settings!$B$6,"Boat number above the boat count",IF(SUMIFS($F$5:$F$1004,$B$5:$B$1004,B990,$C$5:$C$1004,C990)&gt;1.0001,"Shares for this step add up to over 100%",IF(I990="","Waiting for sign-off",IF(AND(Settings!$B$10="Yes",I990=E990),"Needs a different member to sign off","OK"))))))</f>
        <v/>
      </c>
    </row>
    <row r="991">
      <c r="A991" s="9" t="n"/>
      <c r="B991" s="6" t="n"/>
      <c r="C991" s="6" t="n"/>
      <c r="D991" s="3">
        <f>IF(C991="","",IFERROR(INDEX(Steps!$C$5:$C$62,MATCH(C991,Steps!$A$5:$A$62,0)),""))</f>
        <v/>
      </c>
      <c r="E991" s="6" t="n"/>
      <c r="F991" s="8" t="n"/>
      <c r="G991" s="6" t="n"/>
      <c r="H991" s="7" t="n"/>
      <c r="I991" s="6" t="n"/>
      <c r="J991" s="9" t="n"/>
      <c r="K991" s="11">
        <f>IF(C991="","",N(IFERROR(INDEX(Steps!$E$5:$E$62,MATCH(C991,Steps!$A$5:$A$62,0)),"")))</f>
        <v/>
      </c>
      <c r="L991" s="11">
        <f>IF(AND(C991&lt;&gt;"",E991&lt;&gt;"",I991&lt;&gt;"",OR(Settings!$B$10="No",I991&lt;&gt;E991)),K991*F991,0)</f>
        <v/>
      </c>
      <c r="M991" s="11">
        <f>IF(AND(AND(C991&lt;&gt;"",E991&lt;&gt;"",I991&lt;&gt;"",OR(Settings!$B$10="No",I991&lt;&gt;E991)),G991="Paid a pro",Settings!$B$9="Yes"),MAX(0,H991-K991*F991),0)</f>
        <v/>
      </c>
      <c r="N991" s="3">
        <f>IF(C991="","",IF(B991="","Enter the boat number",IF(B991&gt;Settings!$B$6,"Boat number above the boat count",IF(SUMIFS($F$5:$F$1004,$B$5:$B$1004,B991,$C$5:$C$1004,C991)&gt;1.0001,"Shares for this step add up to over 100%",IF(I991="","Waiting for sign-off",IF(AND(Settings!$B$10="Yes",I991=E991),"Needs a different member to sign off","OK"))))))</f>
        <v/>
      </c>
    </row>
    <row r="992">
      <c r="A992" s="9" t="n"/>
      <c r="B992" s="6" t="n"/>
      <c r="C992" s="6" t="n"/>
      <c r="D992" s="3">
        <f>IF(C992="","",IFERROR(INDEX(Steps!$C$5:$C$62,MATCH(C992,Steps!$A$5:$A$62,0)),""))</f>
        <v/>
      </c>
      <c r="E992" s="6" t="n"/>
      <c r="F992" s="8" t="n"/>
      <c r="G992" s="6" t="n"/>
      <c r="H992" s="7" t="n"/>
      <c r="I992" s="6" t="n"/>
      <c r="J992" s="9" t="n"/>
      <c r="K992" s="11">
        <f>IF(C992="","",N(IFERROR(INDEX(Steps!$E$5:$E$62,MATCH(C992,Steps!$A$5:$A$62,0)),"")))</f>
        <v/>
      </c>
      <c r="L992" s="11">
        <f>IF(AND(C992&lt;&gt;"",E992&lt;&gt;"",I992&lt;&gt;"",OR(Settings!$B$10="No",I992&lt;&gt;E992)),K992*F992,0)</f>
        <v/>
      </c>
      <c r="M992" s="11">
        <f>IF(AND(AND(C992&lt;&gt;"",E992&lt;&gt;"",I992&lt;&gt;"",OR(Settings!$B$10="No",I992&lt;&gt;E992)),G992="Paid a pro",Settings!$B$9="Yes"),MAX(0,H992-K992*F992),0)</f>
        <v/>
      </c>
      <c r="N992" s="3">
        <f>IF(C992="","",IF(B992="","Enter the boat number",IF(B992&gt;Settings!$B$6,"Boat number above the boat count",IF(SUMIFS($F$5:$F$1004,$B$5:$B$1004,B992,$C$5:$C$1004,C992)&gt;1.0001,"Shares for this step add up to over 100%",IF(I992="","Waiting for sign-off",IF(AND(Settings!$B$10="Yes",I992=E992),"Needs a different member to sign off","OK"))))))</f>
        <v/>
      </c>
    </row>
    <row r="993">
      <c r="A993" s="9" t="n"/>
      <c r="B993" s="6" t="n"/>
      <c r="C993" s="6" t="n"/>
      <c r="D993" s="3">
        <f>IF(C993="","",IFERROR(INDEX(Steps!$C$5:$C$62,MATCH(C993,Steps!$A$5:$A$62,0)),""))</f>
        <v/>
      </c>
      <c r="E993" s="6" t="n"/>
      <c r="F993" s="8" t="n"/>
      <c r="G993" s="6" t="n"/>
      <c r="H993" s="7" t="n"/>
      <c r="I993" s="6" t="n"/>
      <c r="J993" s="9" t="n"/>
      <c r="K993" s="11">
        <f>IF(C993="","",N(IFERROR(INDEX(Steps!$E$5:$E$62,MATCH(C993,Steps!$A$5:$A$62,0)),"")))</f>
        <v/>
      </c>
      <c r="L993" s="11">
        <f>IF(AND(C993&lt;&gt;"",E993&lt;&gt;"",I993&lt;&gt;"",OR(Settings!$B$10="No",I993&lt;&gt;E993)),K993*F993,0)</f>
        <v/>
      </c>
      <c r="M993" s="11">
        <f>IF(AND(AND(C993&lt;&gt;"",E993&lt;&gt;"",I993&lt;&gt;"",OR(Settings!$B$10="No",I993&lt;&gt;E993)),G993="Paid a pro",Settings!$B$9="Yes"),MAX(0,H993-K993*F993),0)</f>
        <v/>
      </c>
      <c r="N993" s="3">
        <f>IF(C993="","",IF(B993="","Enter the boat number",IF(B993&gt;Settings!$B$6,"Boat number above the boat count",IF(SUMIFS($F$5:$F$1004,$B$5:$B$1004,B993,$C$5:$C$1004,C993)&gt;1.0001,"Shares for this step add up to over 100%",IF(I993="","Waiting for sign-off",IF(AND(Settings!$B$10="Yes",I993=E993),"Needs a different member to sign off","OK"))))))</f>
        <v/>
      </c>
    </row>
    <row r="994">
      <c r="A994" s="9" t="n"/>
      <c r="B994" s="6" t="n"/>
      <c r="C994" s="6" t="n"/>
      <c r="D994" s="3">
        <f>IF(C994="","",IFERROR(INDEX(Steps!$C$5:$C$62,MATCH(C994,Steps!$A$5:$A$62,0)),""))</f>
        <v/>
      </c>
      <c r="E994" s="6" t="n"/>
      <c r="F994" s="8" t="n"/>
      <c r="G994" s="6" t="n"/>
      <c r="H994" s="7" t="n"/>
      <c r="I994" s="6" t="n"/>
      <c r="J994" s="9" t="n"/>
      <c r="K994" s="11">
        <f>IF(C994="","",N(IFERROR(INDEX(Steps!$E$5:$E$62,MATCH(C994,Steps!$A$5:$A$62,0)),"")))</f>
        <v/>
      </c>
      <c r="L994" s="11">
        <f>IF(AND(C994&lt;&gt;"",E994&lt;&gt;"",I994&lt;&gt;"",OR(Settings!$B$10="No",I994&lt;&gt;E994)),K994*F994,0)</f>
        <v/>
      </c>
      <c r="M994" s="11">
        <f>IF(AND(AND(C994&lt;&gt;"",E994&lt;&gt;"",I994&lt;&gt;"",OR(Settings!$B$10="No",I994&lt;&gt;E994)),G994="Paid a pro",Settings!$B$9="Yes"),MAX(0,H994-K994*F994),0)</f>
        <v/>
      </c>
      <c r="N994" s="3">
        <f>IF(C994="","",IF(B994="","Enter the boat number",IF(B994&gt;Settings!$B$6,"Boat number above the boat count",IF(SUMIFS($F$5:$F$1004,$B$5:$B$1004,B994,$C$5:$C$1004,C994)&gt;1.0001,"Shares for this step add up to over 100%",IF(I994="","Waiting for sign-off",IF(AND(Settings!$B$10="Yes",I994=E994),"Needs a different member to sign off","OK"))))))</f>
        <v/>
      </c>
    </row>
    <row r="995">
      <c r="A995" s="9" t="n"/>
      <c r="B995" s="6" t="n"/>
      <c r="C995" s="6" t="n"/>
      <c r="D995" s="3">
        <f>IF(C995="","",IFERROR(INDEX(Steps!$C$5:$C$62,MATCH(C995,Steps!$A$5:$A$62,0)),""))</f>
        <v/>
      </c>
      <c r="E995" s="6" t="n"/>
      <c r="F995" s="8" t="n"/>
      <c r="G995" s="6" t="n"/>
      <c r="H995" s="7" t="n"/>
      <c r="I995" s="6" t="n"/>
      <c r="J995" s="9" t="n"/>
      <c r="K995" s="11">
        <f>IF(C995="","",N(IFERROR(INDEX(Steps!$E$5:$E$62,MATCH(C995,Steps!$A$5:$A$62,0)),"")))</f>
        <v/>
      </c>
      <c r="L995" s="11">
        <f>IF(AND(C995&lt;&gt;"",E995&lt;&gt;"",I995&lt;&gt;"",OR(Settings!$B$10="No",I995&lt;&gt;E995)),K995*F995,0)</f>
        <v/>
      </c>
      <c r="M995" s="11">
        <f>IF(AND(AND(C995&lt;&gt;"",E995&lt;&gt;"",I995&lt;&gt;"",OR(Settings!$B$10="No",I995&lt;&gt;E995)),G995="Paid a pro",Settings!$B$9="Yes"),MAX(0,H995-K995*F995),0)</f>
        <v/>
      </c>
      <c r="N995" s="3">
        <f>IF(C995="","",IF(B995="","Enter the boat number",IF(B995&gt;Settings!$B$6,"Boat number above the boat count",IF(SUMIFS($F$5:$F$1004,$B$5:$B$1004,B995,$C$5:$C$1004,C995)&gt;1.0001,"Shares for this step add up to over 100%",IF(I995="","Waiting for sign-off",IF(AND(Settings!$B$10="Yes",I995=E995),"Needs a different member to sign off","OK"))))))</f>
        <v/>
      </c>
    </row>
    <row r="996">
      <c r="A996" s="9" t="n"/>
      <c r="B996" s="6" t="n"/>
      <c r="C996" s="6" t="n"/>
      <c r="D996" s="3">
        <f>IF(C996="","",IFERROR(INDEX(Steps!$C$5:$C$62,MATCH(C996,Steps!$A$5:$A$62,0)),""))</f>
        <v/>
      </c>
      <c r="E996" s="6" t="n"/>
      <c r="F996" s="8" t="n"/>
      <c r="G996" s="6" t="n"/>
      <c r="H996" s="7" t="n"/>
      <c r="I996" s="6" t="n"/>
      <c r="J996" s="9" t="n"/>
      <c r="K996" s="11">
        <f>IF(C996="","",N(IFERROR(INDEX(Steps!$E$5:$E$62,MATCH(C996,Steps!$A$5:$A$62,0)),"")))</f>
        <v/>
      </c>
      <c r="L996" s="11">
        <f>IF(AND(C996&lt;&gt;"",E996&lt;&gt;"",I996&lt;&gt;"",OR(Settings!$B$10="No",I996&lt;&gt;E996)),K996*F996,0)</f>
        <v/>
      </c>
      <c r="M996" s="11">
        <f>IF(AND(AND(C996&lt;&gt;"",E996&lt;&gt;"",I996&lt;&gt;"",OR(Settings!$B$10="No",I996&lt;&gt;E996)),G996="Paid a pro",Settings!$B$9="Yes"),MAX(0,H996-K996*F996),0)</f>
        <v/>
      </c>
      <c r="N996" s="3">
        <f>IF(C996="","",IF(B996="","Enter the boat number",IF(B996&gt;Settings!$B$6,"Boat number above the boat count",IF(SUMIFS($F$5:$F$1004,$B$5:$B$1004,B996,$C$5:$C$1004,C996)&gt;1.0001,"Shares for this step add up to over 100%",IF(I996="","Waiting for sign-off",IF(AND(Settings!$B$10="Yes",I996=E996),"Needs a different member to sign off","OK"))))))</f>
        <v/>
      </c>
    </row>
    <row r="997">
      <c r="A997" s="9" t="n"/>
      <c r="B997" s="6" t="n"/>
      <c r="C997" s="6" t="n"/>
      <c r="D997" s="3">
        <f>IF(C997="","",IFERROR(INDEX(Steps!$C$5:$C$62,MATCH(C997,Steps!$A$5:$A$62,0)),""))</f>
        <v/>
      </c>
      <c r="E997" s="6" t="n"/>
      <c r="F997" s="8" t="n"/>
      <c r="G997" s="6" t="n"/>
      <c r="H997" s="7" t="n"/>
      <c r="I997" s="6" t="n"/>
      <c r="J997" s="9" t="n"/>
      <c r="K997" s="11">
        <f>IF(C997="","",N(IFERROR(INDEX(Steps!$E$5:$E$62,MATCH(C997,Steps!$A$5:$A$62,0)),"")))</f>
        <v/>
      </c>
      <c r="L997" s="11">
        <f>IF(AND(C997&lt;&gt;"",E997&lt;&gt;"",I997&lt;&gt;"",OR(Settings!$B$10="No",I997&lt;&gt;E997)),K997*F997,0)</f>
        <v/>
      </c>
      <c r="M997" s="11">
        <f>IF(AND(AND(C997&lt;&gt;"",E997&lt;&gt;"",I997&lt;&gt;"",OR(Settings!$B$10="No",I997&lt;&gt;E997)),G997="Paid a pro",Settings!$B$9="Yes"),MAX(0,H997-K997*F997),0)</f>
        <v/>
      </c>
      <c r="N997" s="3">
        <f>IF(C997="","",IF(B997="","Enter the boat number",IF(B997&gt;Settings!$B$6,"Boat number above the boat count",IF(SUMIFS($F$5:$F$1004,$B$5:$B$1004,B997,$C$5:$C$1004,C997)&gt;1.0001,"Shares for this step add up to over 100%",IF(I997="","Waiting for sign-off",IF(AND(Settings!$B$10="Yes",I997=E997),"Needs a different member to sign off","OK"))))))</f>
        <v/>
      </c>
    </row>
    <row r="998">
      <c r="A998" s="9" t="n"/>
      <c r="B998" s="6" t="n"/>
      <c r="C998" s="6" t="n"/>
      <c r="D998" s="3">
        <f>IF(C998="","",IFERROR(INDEX(Steps!$C$5:$C$62,MATCH(C998,Steps!$A$5:$A$62,0)),""))</f>
        <v/>
      </c>
      <c r="E998" s="6" t="n"/>
      <c r="F998" s="8" t="n"/>
      <c r="G998" s="6" t="n"/>
      <c r="H998" s="7" t="n"/>
      <c r="I998" s="6" t="n"/>
      <c r="J998" s="9" t="n"/>
      <c r="K998" s="11">
        <f>IF(C998="","",N(IFERROR(INDEX(Steps!$E$5:$E$62,MATCH(C998,Steps!$A$5:$A$62,0)),"")))</f>
        <v/>
      </c>
      <c r="L998" s="11">
        <f>IF(AND(C998&lt;&gt;"",E998&lt;&gt;"",I998&lt;&gt;"",OR(Settings!$B$10="No",I998&lt;&gt;E998)),K998*F998,0)</f>
        <v/>
      </c>
      <c r="M998" s="11">
        <f>IF(AND(AND(C998&lt;&gt;"",E998&lt;&gt;"",I998&lt;&gt;"",OR(Settings!$B$10="No",I998&lt;&gt;E998)),G998="Paid a pro",Settings!$B$9="Yes"),MAX(0,H998-K998*F998),0)</f>
        <v/>
      </c>
      <c r="N998" s="3">
        <f>IF(C998="","",IF(B998="","Enter the boat number",IF(B998&gt;Settings!$B$6,"Boat number above the boat count",IF(SUMIFS($F$5:$F$1004,$B$5:$B$1004,B998,$C$5:$C$1004,C998)&gt;1.0001,"Shares for this step add up to over 100%",IF(I998="","Waiting for sign-off",IF(AND(Settings!$B$10="Yes",I998=E998),"Needs a different member to sign off","OK"))))))</f>
        <v/>
      </c>
    </row>
    <row r="999">
      <c r="A999" s="9" t="n"/>
      <c r="B999" s="6" t="n"/>
      <c r="C999" s="6" t="n"/>
      <c r="D999" s="3">
        <f>IF(C999="","",IFERROR(INDEX(Steps!$C$5:$C$62,MATCH(C999,Steps!$A$5:$A$62,0)),""))</f>
        <v/>
      </c>
      <c r="E999" s="6" t="n"/>
      <c r="F999" s="8" t="n"/>
      <c r="G999" s="6" t="n"/>
      <c r="H999" s="7" t="n"/>
      <c r="I999" s="6" t="n"/>
      <c r="J999" s="9" t="n"/>
      <c r="K999" s="11">
        <f>IF(C999="","",N(IFERROR(INDEX(Steps!$E$5:$E$62,MATCH(C999,Steps!$A$5:$A$62,0)),"")))</f>
        <v/>
      </c>
      <c r="L999" s="11">
        <f>IF(AND(C999&lt;&gt;"",E999&lt;&gt;"",I999&lt;&gt;"",OR(Settings!$B$10="No",I999&lt;&gt;E999)),K999*F999,0)</f>
        <v/>
      </c>
      <c r="M999" s="11">
        <f>IF(AND(AND(C999&lt;&gt;"",E999&lt;&gt;"",I999&lt;&gt;"",OR(Settings!$B$10="No",I999&lt;&gt;E999)),G999="Paid a pro",Settings!$B$9="Yes"),MAX(0,H999-K999*F999),0)</f>
        <v/>
      </c>
      <c r="N999" s="3">
        <f>IF(C999="","",IF(B999="","Enter the boat number",IF(B999&gt;Settings!$B$6,"Boat number above the boat count",IF(SUMIFS($F$5:$F$1004,$B$5:$B$1004,B999,$C$5:$C$1004,C999)&gt;1.0001,"Shares for this step add up to over 100%",IF(I999="","Waiting for sign-off",IF(AND(Settings!$B$10="Yes",I999=E999),"Needs a different member to sign off","OK"))))))</f>
        <v/>
      </c>
    </row>
    <row r="1000">
      <c r="A1000" s="9" t="n"/>
      <c r="B1000" s="6" t="n"/>
      <c r="C1000" s="6" t="n"/>
      <c r="D1000" s="3">
        <f>IF(C1000="","",IFERROR(INDEX(Steps!$C$5:$C$62,MATCH(C1000,Steps!$A$5:$A$62,0)),""))</f>
        <v/>
      </c>
      <c r="E1000" s="6" t="n"/>
      <c r="F1000" s="8" t="n"/>
      <c r="G1000" s="6" t="n"/>
      <c r="H1000" s="7" t="n"/>
      <c r="I1000" s="6" t="n"/>
      <c r="J1000" s="9" t="n"/>
      <c r="K1000" s="11">
        <f>IF(C1000="","",N(IFERROR(INDEX(Steps!$E$5:$E$62,MATCH(C1000,Steps!$A$5:$A$62,0)),"")))</f>
        <v/>
      </c>
      <c r="L1000" s="11">
        <f>IF(AND(C1000&lt;&gt;"",E1000&lt;&gt;"",I1000&lt;&gt;"",OR(Settings!$B$10="No",I1000&lt;&gt;E1000)),K1000*F1000,0)</f>
        <v/>
      </c>
      <c r="M1000" s="11">
        <f>IF(AND(AND(C1000&lt;&gt;"",E1000&lt;&gt;"",I1000&lt;&gt;"",OR(Settings!$B$10="No",I1000&lt;&gt;E1000)),G1000="Paid a pro",Settings!$B$9="Yes"),MAX(0,H1000-K1000*F1000),0)</f>
        <v/>
      </c>
      <c r="N1000" s="3">
        <f>IF(C1000="","",IF(B1000="","Enter the boat number",IF(B1000&gt;Settings!$B$6,"Boat number above the boat count",IF(SUMIFS($F$5:$F$1004,$B$5:$B$1004,B1000,$C$5:$C$1004,C1000)&gt;1.0001,"Shares for this step add up to over 100%",IF(I1000="","Waiting for sign-off",IF(AND(Settings!$B$10="Yes",I1000=E1000),"Needs a different member to sign off","OK"))))))</f>
        <v/>
      </c>
    </row>
    <row r="1001">
      <c r="A1001" s="9" t="n"/>
      <c r="B1001" s="6" t="n"/>
      <c r="C1001" s="6" t="n"/>
      <c r="D1001" s="3">
        <f>IF(C1001="","",IFERROR(INDEX(Steps!$C$5:$C$62,MATCH(C1001,Steps!$A$5:$A$62,0)),""))</f>
        <v/>
      </c>
      <c r="E1001" s="6" t="n"/>
      <c r="F1001" s="8" t="n"/>
      <c r="G1001" s="6" t="n"/>
      <c r="H1001" s="7" t="n"/>
      <c r="I1001" s="6" t="n"/>
      <c r="J1001" s="9" t="n"/>
      <c r="K1001" s="11">
        <f>IF(C1001="","",N(IFERROR(INDEX(Steps!$E$5:$E$62,MATCH(C1001,Steps!$A$5:$A$62,0)),"")))</f>
        <v/>
      </c>
      <c r="L1001" s="11">
        <f>IF(AND(C1001&lt;&gt;"",E1001&lt;&gt;"",I1001&lt;&gt;"",OR(Settings!$B$10="No",I1001&lt;&gt;E1001)),K1001*F1001,0)</f>
        <v/>
      </c>
      <c r="M1001" s="11">
        <f>IF(AND(AND(C1001&lt;&gt;"",E1001&lt;&gt;"",I1001&lt;&gt;"",OR(Settings!$B$10="No",I1001&lt;&gt;E1001)),G1001="Paid a pro",Settings!$B$9="Yes"),MAX(0,H1001-K1001*F1001),0)</f>
        <v/>
      </c>
      <c r="N1001" s="3">
        <f>IF(C1001="","",IF(B1001="","Enter the boat number",IF(B1001&gt;Settings!$B$6,"Boat number above the boat count",IF(SUMIFS($F$5:$F$1004,$B$5:$B$1004,B1001,$C$5:$C$1004,C1001)&gt;1.0001,"Shares for this step add up to over 100%",IF(I1001="","Waiting for sign-off",IF(AND(Settings!$B$10="Yes",I1001=E1001),"Needs a different member to sign off","OK"))))))</f>
        <v/>
      </c>
    </row>
    <row r="1002">
      <c r="A1002" s="9" t="n"/>
      <c r="B1002" s="6" t="n"/>
      <c r="C1002" s="6" t="n"/>
      <c r="D1002" s="3">
        <f>IF(C1002="","",IFERROR(INDEX(Steps!$C$5:$C$62,MATCH(C1002,Steps!$A$5:$A$62,0)),""))</f>
        <v/>
      </c>
      <c r="E1002" s="6" t="n"/>
      <c r="F1002" s="8" t="n"/>
      <c r="G1002" s="6" t="n"/>
      <c r="H1002" s="7" t="n"/>
      <c r="I1002" s="6" t="n"/>
      <c r="J1002" s="9" t="n"/>
      <c r="K1002" s="11">
        <f>IF(C1002="","",N(IFERROR(INDEX(Steps!$E$5:$E$62,MATCH(C1002,Steps!$A$5:$A$62,0)),"")))</f>
        <v/>
      </c>
      <c r="L1002" s="11">
        <f>IF(AND(C1002&lt;&gt;"",E1002&lt;&gt;"",I1002&lt;&gt;"",OR(Settings!$B$10="No",I1002&lt;&gt;E1002)),K1002*F1002,0)</f>
        <v/>
      </c>
      <c r="M1002" s="11">
        <f>IF(AND(AND(C1002&lt;&gt;"",E1002&lt;&gt;"",I1002&lt;&gt;"",OR(Settings!$B$10="No",I1002&lt;&gt;E1002)),G1002="Paid a pro",Settings!$B$9="Yes"),MAX(0,H1002-K1002*F1002),0)</f>
        <v/>
      </c>
      <c r="N1002" s="3">
        <f>IF(C1002="","",IF(B1002="","Enter the boat number",IF(B1002&gt;Settings!$B$6,"Boat number above the boat count",IF(SUMIFS($F$5:$F$1004,$B$5:$B$1004,B1002,$C$5:$C$1004,C1002)&gt;1.0001,"Shares for this step add up to over 100%",IF(I1002="","Waiting for sign-off",IF(AND(Settings!$B$10="Yes",I1002=E1002),"Needs a different member to sign off","OK"))))))</f>
        <v/>
      </c>
    </row>
    <row r="1003">
      <c r="A1003" s="9" t="n"/>
      <c r="B1003" s="6" t="n"/>
      <c r="C1003" s="6" t="n"/>
      <c r="D1003" s="3">
        <f>IF(C1003="","",IFERROR(INDEX(Steps!$C$5:$C$62,MATCH(C1003,Steps!$A$5:$A$62,0)),""))</f>
        <v/>
      </c>
      <c r="E1003" s="6" t="n"/>
      <c r="F1003" s="8" t="n"/>
      <c r="G1003" s="6" t="n"/>
      <c r="H1003" s="7" t="n"/>
      <c r="I1003" s="6" t="n"/>
      <c r="J1003" s="9" t="n"/>
      <c r="K1003" s="11">
        <f>IF(C1003="","",N(IFERROR(INDEX(Steps!$E$5:$E$62,MATCH(C1003,Steps!$A$5:$A$62,0)),"")))</f>
        <v/>
      </c>
      <c r="L1003" s="11">
        <f>IF(AND(C1003&lt;&gt;"",E1003&lt;&gt;"",I1003&lt;&gt;"",OR(Settings!$B$10="No",I1003&lt;&gt;E1003)),K1003*F1003,0)</f>
        <v/>
      </c>
      <c r="M1003" s="11">
        <f>IF(AND(AND(C1003&lt;&gt;"",E1003&lt;&gt;"",I1003&lt;&gt;"",OR(Settings!$B$10="No",I1003&lt;&gt;E1003)),G1003="Paid a pro",Settings!$B$9="Yes"),MAX(0,H1003-K1003*F1003),0)</f>
        <v/>
      </c>
      <c r="N1003" s="3">
        <f>IF(C1003="","",IF(B1003="","Enter the boat number",IF(B1003&gt;Settings!$B$6,"Boat number above the boat count",IF(SUMIFS($F$5:$F$1004,$B$5:$B$1004,B1003,$C$5:$C$1004,C1003)&gt;1.0001,"Shares for this step add up to over 100%",IF(I1003="","Waiting for sign-off",IF(AND(Settings!$B$10="Yes",I1003=E1003),"Needs a different member to sign off","OK"))))))</f>
        <v/>
      </c>
    </row>
    <row r="1004">
      <c r="A1004" s="9" t="n"/>
      <c r="B1004" s="6" t="n"/>
      <c r="C1004" s="6" t="n"/>
      <c r="D1004" s="3">
        <f>IF(C1004="","",IFERROR(INDEX(Steps!$C$5:$C$62,MATCH(C1004,Steps!$A$5:$A$62,0)),""))</f>
        <v/>
      </c>
      <c r="E1004" s="6" t="n"/>
      <c r="F1004" s="8" t="n"/>
      <c r="G1004" s="6" t="n"/>
      <c r="H1004" s="7" t="n"/>
      <c r="I1004" s="6" t="n"/>
      <c r="J1004" s="9" t="n"/>
      <c r="K1004" s="11">
        <f>IF(C1004="","",N(IFERROR(INDEX(Steps!$E$5:$E$62,MATCH(C1004,Steps!$A$5:$A$62,0)),"")))</f>
        <v/>
      </c>
      <c r="L1004" s="11">
        <f>IF(AND(C1004&lt;&gt;"",E1004&lt;&gt;"",I1004&lt;&gt;"",OR(Settings!$B$10="No",I1004&lt;&gt;E1004)),K1004*F1004,0)</f>
        <v/>
      </c>
      <c r="M1004" s="11">
        <f>IF(AND(AND(C1004&lt;&gt;"",E1004&lt;&gt;"",I1004&lt;&gt;"",OR(Settings!$B$10="No",I1004&lt;&gt;E1004)),G1004="Paid a pro",Settings!$B$9="Yes"),MAX(0,H1004-K1004*F1004),0)</f>
        <v/>
      </c>
      <c r="N1004" s="3">
        <f>IF(C1004="","",IF(B1004="","Enter the boat number",IF(B1004&gt;Settings!$B$6,"Boat number above the boat count",IF(SUMIFS($F$5:$F$1004,$B$5:$B$1004,B1004,$C$5:$C$1004,C1004)&gt;1.0001,"Shares for this step add up to over 100%",IF(I1004="","Waiting for sign-off",IF(AND(Settings!$B$10="Yes",I1004=E1004),"Needs a different member to sign off","OK"))))))</f>
        <v/>
      </c>
    </row>
  </sheetData>
  <conditionalFormatting sqref="N5:N1004">
    <cfRule type="expression" priority="1" dxfId="0">
      <formula>AND(N5&lt;&gt;"",N5&lt;&gt;"OK")</formula>
    </cfRule>
  </conditionalFormatting>
  <dataValidations count="5">
    <dataValidation sqref="B5:B1004" showDropDown="0" showInputMessage="0" showErrorMessage="0" allowBlank="1" type="whole" operator="between">
      <formula1>1</formula1>
      <formula2>8</formula2>
    </dataValidation>
    <dataValidation sqref="C5:C1004" showDropDown="0" showInputMessage="0" showErrorMessage="0" allowBlank="1" type="list">
      <formula1>=Steps!$A$5:$A$62</formula1>
    </dataValidation>
    <dataValidation sqref="E5:E1004" showDropDown="0" showInputMessage="0" showErrorMessage="0" allowBlank="1" type="list">
      <formula1>=Members!$B$5:$B$16</formula1>
    </dataValidation>
    <dataValidation sqref="I5:I1004" showDropDown="0" showInputMessage="0" showErrorMessage="0" allowBlank="1" type="list">
      <formula1>=Members!$B$5:$B$16</formula1>
    </dataValidation>
    <dataValidation sqref="G5:G1004" showDropDown="0" showInputMessage="0" showErrorMessage="0" allowBlank="1" type="list">
      <formula1>"Did it myself,Paid a pro"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50" customWidth="1" min="4" max="4"/>
    <col width="14" customWidth="1" min="5" max="5"/>
    <col width="22" customWidth="1" min="6" max="6"/>
    <col width="12" customWidth="1" min="7" max="7"/>
  </cols>
  <sheetData>
    <row r="1">
      <c r="A1" s="1" t="inlineStr">
        <is>
          <t>Contributions</t>
        </is>
      </c>
    </row>
    <row r="2">
      <c r="A2" s="2" t="inlineStr">
        <is>
          <t>Cash, materials, tools and shop space at their agreed value. Counts once a different member approves it.</t>
        </is>
      </c>
    </row>
    <row r="4">
      <c r="A4" s="5" t="inlineStr">
        <is>
          <t>Date</t>
        </is>
      </c>
      <c r="B4" s="5" t="inlineStr">
        <is>
          <t>Member</t>
        </is>
      </c>
      <c r="C4" s="5" t="inlineStr">
        <is>
          <t>Type</t>
        </is>
      </c>
      <c r="D4" s="5" t="inlineStr">
        <is>
          <t>Description</t>
        </is>
      </c>
      <c r="E4" s="5" t="inlineStr">
        <is>
          <t>Agreed value ($)</t>
        </is>
      </c>
      <c r="F4" s="5" t="inlineStr">
        <is>
          <t>Approved by</t>
        </is>
      </c>
      <c r="G4" s="5" t="inlineStr">
        <is>
          <t>Credit ($)</t>
        </is>
      </c>
    </row>
    <row r="5">
      <c r="A5" s="9" t="n">
        <v>46392</v>
      </c>
      <c r="B5" s="6" t="inlineStr">
        <is>
          <t>Alex (example)</t>
        </is>
      </c>
      <c r="C5" s="6" t="inlineStr">
        <is>
          <t>Cash</t>
        </is>
      </c>
      <c r="D5" s="6" t="inlineStr">
        <is>
          <t>Prototype fund</t>
        </is>
      </c>
      <c r="E5" s="7" t="n">
        <v>1000</v>
      </c>
      <c r="F5" s="6" t="inlineStr">
        <is>
          <t>Bea (example)</t>
        </is>
      </c>
      <c r="G5" s="11">
        <f>IF(AND(B5&lt;&gt;"",F5&lt;&gt;"",OR(Settings!$B$10="No",F5&lt;&gt;B5)),N(E5),0)</f>
        <v/>
      </c>
    </row>
    <row r="6">
      <c r="A6" s="9" t="n">
        <v>46396</v>
      </c>
      <c r="B6" s="6" t="inlineStr">
        <is>
          <t>Cruz (example)</t>
        </is>
      </c>
      <c r="C6" s="6" t="inlineStr">
        <is>
          <t>Tools or equipment</t>
        </is>
      </c>
      <c r="D6" s="6" t="inlineStr">
        <is>
          <t>Rivet gun and cleco set, kept by the team</t>
        </is>
      </c>
      <c r="E6" s="7" t="n">
        <v>300</v>
      </c>
      <c r="F6" s="6" t="inlineStr">
        <is>
          <t>Alex (example)</t>
        </is>
      </c>
      <c r="G6" s="11">
        <f>IF(AND(B6&lt;&gt;"",F6&lt;&gt;"",OR(Settings!$B$10="No",F6&lt;&gt;B6)),N(E6),0)</f>
        <v/>
      </c>
    </row>
    <row r="7">
      <c r="A7" s="9" t="n"/>
      <c r="B7" s="6" t="n"/>
      <c r="C7" s="6" t="n"/>
      <c r="D7" s="6" t="n"/>
      <c r="E7" s="7" t="n"/>
      <c r="F7" s="6" t="n"/>
      <c r="G7" s="11">
        <f>IF(AND(B7&lt;&gt;"",F7&lt;&gt;"",OR(Settings!$B$10="No",F7&lt;&gt;B7)),N(E7),0)</f>
        <v/>
      </c>
    </row>
    <row r="8">
      <c r="A8" s="9" t="n"/>
      <c r="B8" s="6" t="n"/>
      <c r="C8" s="6" t="n"/>
      <c r="D8" s="6" t="n"/>
      <c r="E8" s="7" t="n"/>
      <c r="F8" s="6" t="n"/>
      <c r="G8" s="11">
        <f>IF(AND(B8&lt;&gt;"",F8&lt;&gt;"",OR(Settings!$B$10="No",F8&lt;&gt;B8)),N(E8),0)</f>
        <v/>
      </c>
    </row>
    <row r="9">
      <c r="A9" s="9" t="n"/>
      <c r="B9" s="6" t="n"/>
      <c r="C9" s="6" t="n"/>
      <c r="D9" s="6" t="n"/>
      <c r="E9" s="7" t="n"/>
      <c r="F9" s="6" t="n"/>
      <c r="G9" s="11">
        <f>IF(AND(B9&lt;&gt;"",F9&lt;&gt;"",OR(Settings!$B$10="No",F9&lt;&gt;B9)),N(E9),0)</f>
        <v/>
      </c>
    </row>
    <row r="10">
      <c r="A10" s="9" t="n"/>
      <c r="B10" s="6" t="n"/>
      <c r="C10" s="6" t="n"/>
      <c r="D10" s="6" t="n"/>
      <c r="E10" s="7" t="n"/>
      <c r="F10" s="6" t="n"/>
      <c r="G10" s="11">
        <f>IF(AND(B10&lt;&gt;"",F10&lt;&gt;"",OR(Settings!$B$10="No",F10&lt;&gt;B10)),N(E10),0)</f>
        <v/>
      </c>
    </row>
    <row r="11">
      <c r="A11" s="9" t="n"/>
      <c r="B11" s="6" t="n"/>
      <c r="C11" s="6" t="n"/>
      <c r="D11" s="6" t="n"/>
      <c r="E11" s="7" t="n"/>
      <c r="F11" s="6" t="n"/>
      <c r="G11" s="11">
        <f>IF(AND(B11&lt;&gt;"",F11&lt;&gt;"",OR(Settings!$B$10="No",F11&lt;&gt;B11)),N(E11),0)</f>
        <v/>
      </c>
    </row>
    <row r="12">
      <c r="A12" s="9" t="n"/>
      <c r="B12" s="6" t="n"/>
      <c r="C12" s="6" t="n"/>
      <c r="D12" s="6" t="n"/>
      <c r="E12" s="7" t="n"/>
      <c r="F12" s="6" t="n"/>
      <c r="G12" s="11">
        <f>IF(AND(B12&lt;&gt;"",F12&lt;&gt;"",OR(Settings!$B$10="No",F12&lt;&gt;B12)),N(E12),0)</f>
        <v/>
      </c>
    </row>
    <row r="13">
      <c r="A13" s="9" t="n"/>
      <c r="B13" s="6" t="n"/>
      <c r="C13" s="6" t="n"/>
      <c r="D13" s="6" t="n"/>
      <c r="E13" s="7" t="n"/>
      <c r="F13" s="6" t="n"/>
      <c r="G13" s="11">
        <f>IF(AND(B13&lt;&gt;"",F13&lt;&gt;"",OR(Settings!$B$10="No",F13&lt;&gt;B13)),N(E13),0)</f>
        <v/>
      </c>
    </row>
    <row r="14">
      <c r="A14" s="9" t="n"/>
      <c r="B14" s="6" t="n"/>
      <c r="C14" s="6" t="n"/>
      <c r="D14" s="6" t="n"/>
      <c r="E14" s="7" t="n"/>
      <c r="F14" s="6" t="n"/>
      <c r="G14" s="11">
        <f>IF(AND(B14&lt;&gt;"",F14&lt;&gt;"",OR(Settings!$B$10="No",F14&lt;&gt;B14)),N(E14),0)</f>
        <v/>
      </c>
    </row>
    <row r="15">
      <c r="A15" s="9" t="n"/>
      <c r="B15" s="6" t="n"/>
      <c r="C15" s="6" t="n"/>
      <c r="D15" s="6" t="n"/>
      <c r="E15" s="7" t="n"/>
      <c r="F15" s="6" t="n"/>
      <c r="G15" s="11">
        <f>IF(AND(B15&lt;&gt;"",F15&lt;&gt;"",OR(Settings!$B$10="No",F15&lt;&gt;B15)),N(E15),0)</f>
        <v/>
      </c>
    </row>
    <row r="16">
      <c r="A16" s="9" t="n"/>
      <c r="B16" s="6" t="n"/>
      <c r="C16" s="6" t="n"/>
      <c r="D16" s="6" t="n"/>
      <c r="E16" s="7" t="n"/>
      <c r="F16" s="6" t="n"/>
      <c r="G16" s="11">
        <f>IF(AND(B16&lt;&gt;"",F16&lt;&gt;"",OR(Settings!$B$10="No",F16&lt;&gt;B16)),N(E16),0)</f>
        <v/>
      </c>
    </row>
    <row r="17">
      <c r="A17" s="9" t="n"/>
      <c r="B17" s="6" t="n"/>
      <c r="C17" s="6" t="n"/>
      <c r="D17" s="6" t="n"/>
      <c r="E17" s="7" t="n"/>
      <c r="F17" s="6" t="n"/>
      <c r="G17" s="11">
        <f>IF(AND(B17&lt;&gt;"",F17&lt;&gt;"",OR(Settings!$B$10="No",F17&lt;&gt;B17)),N(E17),0)</f>
        <v/>
      </c>
    </row>
    <row r="18">
      <c r="A18" s="9" t="n"/>
      <c r="B18" s="6" t="n"/>
      <c r="C18" s="6" t="n"/>
      <c r="D18" s="6" t="n"/>
      <c r="E18" s="7" t="n"/>
      <c r="F18" s="6" t="n"/>
      <c r="G18" s="11">
        <f>IF(AND(B18&lt;&gt;"",F18&lt;&gt;"",OR(Settings!$B$10="No",F18&lt;&gt;B18)),N(E18),0)</f>
        <v/>
      </c>
    </row>
    <row r="19">
      <c r="A19" s="9" t="n"/>
      <c r="B19" s="6" t="n"/>
      <c r="C19" s="6" t="n"/>
      <c r="D19" s="6" t="n"/>
      <c r="E19" s="7" t="n"/>
      <c r="F19" s="6" t="n"/>
      <c r="G19" s="11">
        <f>IF(AND(B19&lt;&gt;"",F19&lt;&gt;"",OR(Settings!$B$10="No",F19&lt;&gt;B19)),N(E19),0)</f>
        <v/>
      </c>
    </row>
    <row r="20">
      <c r="A20" s="9" t="n"/>
      <c r="B20" s="6" t="n"/>
      <c r="C20" s="6" t="n"/>
      <c r="D20" s="6" t="n"/>
      <c r="E20" s="7" t="n"/>
      <c r="F20" s="6" t="n"/>
      <c r="G20" s="11">
        <f>IF(AND(B20&lt;&gt;"",F20&lt;&gt;"",OR(Settings!$B$10="No",F20&lt;&gt;B20)),N(E20),0)</f>
        <v/>
      </c>
    </row>
    <row r="21">
      <c r="A21" s="9" t="n"/>
      <c r="B21" s="6" t="n"/>
      <c r="C21" s="6" t="n"/>
      <c r="D21" s="6" t="n"/>
      <c r="E21" s="7" t="n"/>
      <c r="F21" s="6" t="n"/>
      <c r="G21" s="11">
        <f>IF(AND(B21&lt;&gt;"",F21&lt;&gt;"",OR(Settings!$B$10="No",F21&lt;&gt;B21)),N(E21),0)</f>
        <v/>
      </c>
    </row>
    <row r="22">
      <c r="A22" s="9" t="n"/>
      <c r="B22" s="6" t="n"/>
      <c r="C22" s="6" t="n"/>
      <c r="D22" s="6" t="n"/>
      <c r="E22" s="7" t="n"/>
      <c r="F22" s="6" t="n"/>
      <c r="G22" s="11">
        <f>IF(AND(B22&lt;&gt;"",F22&lt;&gt;"",OR(Settings!$B$10="No",F22&lt;&gt;B22)),N(E22),0)</f>
        <v/>
      </c>
    </row>
    <row r="23">
      <c r="A23" s="9" t="n"/>
      <c r="B23" s="6" t="n"/>
      <c r="C23" s="6" t="n"/>
      <c r="D23" s="6" t="n"/>
      <c r="E23" s="7" t="n"/>
      <c r="F23" s="6" t="n"/>
      <c r="G23" s="11">
        <f>IF(AND(B23&lt;&gt;"",F23&lt;&gt;"",OR(Settings!$B$10="No",F23&lt;&gt;B23)),N(E23),0)</f>
        <v/>
      </c>
    </row>
    <row r="24">
      <c r="A24" s="9" t="n"/>
      <c r="B24" s="6" t="n"/>
      <c r="C24" s="6" t="n"/>
      <c r="D24" s="6" t="n"/>
      <c r="E24" s="7" t="n"/>
      <c r="F24" s="6" t="n"/>
      <c r="G24" s="11">
        <f>IF(AND(B24&lt;&gt;"",F24&lt;&gt;"",OR(Settings!$B$10="No",F24&lt;&gt;B24)),N(E24),0)</f>
        <v/>
      </c>
    </row>
    <row r="25">
      <c r="A25" s="9" t="n"/>
      <c r="B25" s="6" t="n"/>
      <c r="C25" s="6" t="n"/>
      <c r="D25" s="6" t="n"/>
      <c r="E25" s="7" t="n"/>
      <c r="F25" s="6" t="n"/>
      <c r="G25" s="11">
        <f>IF(AND(B25&lt;&gt;"",F25&lt;&gt;"",OR(Settings!$B$10="No",F25&lt;&gt;B25)),N(E25),0)</f>
        <v/>
      </c>
    </row>
    <row r="26">
      <c r="A26" s="9" t="n"/>
      <c r="B26" s="6" t="n"/>
      <c r="C26" s="6" t="n"/>
      <c r="D26" s="6" t="n"/>
      <c r="E26" s="7" t="n"/>
      <c r="F26" s="6" t="n"/>
      <c r="G26" s="11">
        <f>IF(AND(B26&lt;&gt;"",F26&lt;&gt;"",OR(Settings!$B$10="No",F26&lt;&gt;B26)),N(E26),0)</f>
        <v/>
      </c>
    </row>
    <row r="27">
      <c r="A27" s="9" t="n"/>
      <c r="B27" s="6" t="n"/>
      <c r="C27" s="6" t="n"/>
      <c r="D27" s="6" t="n"/>
      <c r="E27" s="7" t="n"/>
      <c r="F27" s="6" t="n"/>
      <c r="G27" s="11">
        <f>IF(AND(B27&lt;&gt;"",F27&lt;&gt;"",OR(Settings!$B$10="No",F27&lt;&gt;B27)),N(E27),0)</f>
        <v/>
      </c>
    </row>
    <row r="28">
      <c r="A28" s="9" t="n"/>
      <c r="B28" s="6" t="n"/>
      <c r="C28" s="6" t="n"/>
      <c r="D28" s="6" t="n"/>
      <c r="E28" s="7" t="n"/>
      <c r="F28" s="6" t="n"/>
      <c r="G28" s="11">
        <f>IF(AND(B28&lt;&gt;"",F28&lt;&gt;"",OR(Settings!$B$10="No",F28&lt;&gt;B28)),N(E28),0)</f>
        <v/>
      </c>
    </row>
    <row r="29">
      <c r="A29" s="9" t="n"/>
      <c r="B29" s="6" t="n"/>
      <c r="C29" s="6" t="n"/>
      <c r="D29" s="6" t="n"/>
      <c r="E29" s="7" t="n"/>
      <c r="F29" s="6" t="n"/>
      <c r="G29" s="11">
        <f>IF(AND(B29&lt;&gt;"",F29&lt;&gt;"",OR(Settings!$B$10="No",F29&lt;&gt;B29)),N(E29),0)</f>
        <v/>
      </c>
    </row>
    <row r="30">
      <c r="A30" s="9" t="n"/>
      <c r="B30" s="6" t="n"/>
      <c r="C30" s="6" t="n"/>
      <c r="D30" s="6" t="n"/>
      <c r="E30" s="7" t="n"/>
      <c r="F30" s="6" t="n"/>
      <c r="G30" s="11">
        <f>IF(AND(B30&lt;&gt;"",F30&lt;&gt;"",OR(Settings!$B$10="No",F30&lt;&gt;B30)),N(E30),0)</f>
        <v/>
      </c>
    </row>
    <row r="31">
      <c r="A31" s="9" t="n"/>
      <c r="B31" s="6" t="n"/>
      <c r="C31" s="6" t="n"/>
      <c r="D31" s="6" t="n"/>
      <c r="E31" s="7" t="n"/>
      <c r="F31" s="6" t="n"/>
      <c r="G31" s="11">
        <f>IF(AND(B31&lt;&gt;"",F31&lt;&gt;"",OR(Settings!$B$10="No",F31&lt;&gt;B31)),N(E31),0)</f>
        <v/>
      </c>
    </row>
    <row r="32">
      <c r="A32" s="9" t="n"/>
      <c r="B32" s="6" t="n"/>
      <c r="C32" s="6" t="n"/>
      <c r="D32" s="6" t="n"/>
      <c r="E32" s="7" t="n"/>
      <c r="F32" s="6" t="n"/>
      <c r="G32" s="11">
        <f>IF(AND(B32&lt;&gt;"",F32&lt;&gt;"",OR(Settings!$B$10="No",F32&lt;&gt;B32)),N(E32),0)</f>
        <v/>
      </c>
    </row>
    <row r="33">
      <c r="A33" s="9" t="n"/>
      <c r="B33" s="6" t="n"/>
      <c r="C33" s="6" t="n"/>
      <c r="D33" s="6" t="n"/>
      <c r="E33" s="7" t="n"/>
      <c r="F33" s="6" t="n"/>
      <c r="G33" s="11">
        <f>IF(AND(B33&lt;&gt;"",F33&lt;&gt;"",OR(Settings!$B$10="No",F33&lt;&gt;B33)),N(E33),0)</f>
        <v/>
      </c>
    </row>
    <row r="34">
      <c r="A34" s="9" t="n"/>
      <c r="B34" s="6" t="n"/>
      <c r="C34" s="6" t="n"/>
      <c r="D34" s="6" t="n"/>
      <c r="E34" s="7" t="n"/>
      <c r="F34" s="6" t="n"/>
      <c r="G34" s="11">
        <f>IF(AND(B34&lt;&gt;"",F34&lt;&gt;"",OR(Settings!$B$10="No",F34&lt;&gt;B34)),N(E34),0)</f>
        <v/>
      </c>
    </row>
    <row r="35">
      <c r="A35" s="9" t="n"/>
      <c r="B35" s="6" t="n"/>
      <c r="C35" s="6" t="n"/>
      <c r="D35" s="6" t="n"/>
      <c r="E35" s="7" t="n"/>
      <c r="F35" s="6" t="n"/>
      <c r="G35" s="11">
        <f>IF(AND(B35&lt;&gt;"",F35&lt;&gt;"",OR(Settings!$B$10="No",F35&lt;&gt;B35)),N(E35),0)</f>
        <v/>
      </c>
    </row>
    <row r="36">
      <c r="A36" s="9" t="n"/>
      <c r="B36" s="6" t="n"/>
      <c r="C36" s="6" t="n"/>
      <c r="D36" s="6" t="n"/>
      <c r="E36" s="7" t="n"/>
      <c r="F36" s="6" t="n"/>
      <c r="G36" s="11">
        <f>IF(AND(B36&lt;&gt;"",F36&lt;&gt;"",OR(Settings!$B$10="No",F36&lt;&gt;B36)),N(E36),0)</f>
        <v/>
      </c>
    </row>
    <row r="37">
      <c r="A37" s="9" t="n"/>
      <c r="B37" s="6" t="n"/>
      <c r="C37" s="6" t="n"/>
      <c r="D37" s="6" t="n"/>
      <c r="E37" s="7" t="n"/>
      <c r="F37" s="6" t="n"/>
      <c r="G37" s="11">
        <f>IF(AND(B37&lt;&gt;"",F37&lt;&gt;"",OR(Settings!$B$10="No",F37&lt;&gt;B37)),N(E37),0)</f>
        <v/>
      </c>
    </row>
    <row r="38">
      <c r="A38" s="9" t="n"/>
      <c r="B38" s="6" t="n"/>
      <c r="C38" s="6" t="n"/>
      <c r="D38" s="6" t="n"/>
      <c r="E38" s="7" t="n"/>
      <c r="F38" s="6" t="n"/>
      <c r="G38" s="11">
        <f>IF(AND(B38&lt;&gt;"",F38&lt;&gt;"",OR(Settings!$B$10="No",F38&lt;&gt;B38)),N(E38),0)</f>
        <v/>
      </c>
    </row>
    <row r="39">
      <c r="A39" s="9" t="n"/>
      <c r="B39" s="6" t="n"/>
      <c r="C39" s="6" t="n"/>
      <c r="D39" s="6" t="n"/>
      <c r="E39" s="7" t="n"/>
      <c r="F39" s="6" t="n"/>
      <c r="G39" s="11">
        <f>IF(AND(B39&lt;&gt;"",F39&lt;&gt;"",OR(Settings!$B$10="No",F39&lt;&gt;B39)),N(E39),0)</f>
        <v/>
      </c>
    </row>
    <row r="40">
      <c r="A40" s="9" t="n"/>
      <c r="B40" s="6" t="n"/>
      <c r="C40" s="6" t="n"/>
      <c r="D40" s="6" t="n"/>
      <c r="E40" s="7" t="n"/>
      <c r="F40" s="6" t="n"/>
      <c r="G40" s="11">
        <f>IF(AND(B40&lt;&gt;"",F40&lt;&gt;"",OR(Settings!$B$10="No",F40&lt;&gt;B40)),N(E40),0)</f>
        <v/>
      </c>
    </row>
    <row r="41">
      <c r="A41" s="9" t="n"/>
      <c r="B41" s="6" t="n"/>
      <c r="C41" s="6" t="n"/>
      <c r="D41" s="6" t="n"/>
      <c r="E41" s="7" t="n"/>
      <c r="F41" s="6" t="n"/>
      <c r="G41" s="11">
        <f>IF(AND(B41&lt;&gt;"",F41&lt;&gt;"",OR(Settings!$B$10="No",F41&lt;&gt;B41)),N(E41),0)</f>
        <v/>
      </c>
    </row>
    <row r="42">
      <c r="A42" s="9" t="n"/>
      <c r="B42" s="6" t="n"/>
      <c r="C42" s="6" t="n"/>
      <c r="D42" s="6" t="n"/>
      <c r="E42" s="7" t="n"/>
      <c r="F42" s="6" t="n"/>
      <c r="G42" s="11">
        <f>IF(AND(B42&lt;&gt;"",F42&lt;&gt;"",OR(Settings!$B$10="No",F42&lt;&gt;B42)),N(E42),0)</f>
        <v/>
      </c>
    </row>
    <row r="43">
      <c r="A43" s="9" t="n"/>
      <c r="B43" s="6" t="n"/>
      <c r="C43" s="6" t="n"/>
      <c r="D43" s="6" t="n"/>
      <c r="E43" s="7" t="n"/>
      <c r="F43" s="6" t="n"/>
      <c r="G43" s="11">
        <f>IF(AND(B43&lt;&gt;"",F43&lt;&gt;"",OR(Settings!$B$10="No",F43&lt;&gt;B43)),N(E43),0)</f>
        <v/>
      </c>
    </row>
    <row r="44">
      <c r="A44" s="9" t="n"/>
      <c r="B44" s="6" t="n"/>
      <c r="C44" s="6" t="n"/>
      <c r="D44" s="6" t="n"/>
      <c r="E44" s="7" t="n"/>
      <c r="F44" s="6" t="n"/>
      <c r="G44" s="11">
        <f>IF(AND(B44&lt;&gt;"",F44&lt;&gt;"",OR(Settings!$B$10="No",F44&lt;&gt;B44)),N(E44),0)</f>
        <v/>
      </c>
    </row>
    <row r="45">
      <c r="A45" s="9" t="n"/>
      <c r="B45" s="6" t="n"/>
      <c r="C45" s="6" t="n"/>
      <c r="D45" s="6" t="n"/>
      <c r="E45" s="7" t="n"/>
      <c r="F45" s="6" t="n"/>
      <c r="G45" s="11">
        <f>IF(AND(B45&lt;&gt;"",F45&lt;&gt;"",OR(Settings!$B$10="No",F45&lt;&gt;B45)),N(E45),0)</f>
        <v/>
      </c>
    </row>
    <row r="46">
      <c r="A46" s="9" t="n"/>
      <c r="B46" s="6" t="n"/>
      <c r="C46" s="6" t="n"/>
      <c r="D46" s="6" t="n"/>
      <c r="E46" s="7" t="n"/>
      <c r="F46" s="6" t="n"/>
      <c r="G46" s="11">
        <f>IF(AND(B46&lt;&gt;"",F46&lt;&gt;"",OR(Settings!$B$10="No",F46&lt;&gt;B46)),N(E46),0)</f>
        <v/>
      </c>
    </row>
    <row r="47">
      <c r="A47" s="9" t="n"/>
      <c r="B47" s="6" t="n"/>
      <c r="C47" s="6" t="n"/>
      <c r="D47" s="6" t="n"/>
      <c r="E47" s="7" t="n"/>
      <c r="F47" s="6" t="n"/>
      <c r="G47" s="11">
        <f>IF(AND(B47&lt;&gt;"",F47&lt;&gt;"",OR(Settings!$B$10="No",F47&lt;&gt;B47)),N(E47),0)</f>
        <v/>
      </c>
    </row>
    <row r="48">
      <c r="A48" s="9" t="n"/>
      <c r="B48" s="6" t="n"/>
      <c r="C48" s="6" t="n"/>
      <c r="D48" s="6" t="n"/>
      <c r="E48" s="7" t="n"/>
      <c r="F48" s="6" t="n"/>
      <c r="G48" s="11">
        <f>IF(AND(B48&lt;&gt;"",F48&lt;&gt;"",OR(Settings!$B$10="No",F48&lt;&gt;B48)),N(E48),0)</f>
        <v/>
      </c>
    </row>
    <row r="49">
      <c r="A49" s="9" t="n"/>
      <c r="B49" s="6" t="n"/>
      <c r="C49" s="6" t="n"/>
      <c r="D49" s="6" t="n"/>
      <c r="E49" s="7" t="n"/>
      <c r="F49" s="6" t="n"/>
      <c r="G49" s="11">
        <f>IF(AND(B49&lt;&gt;"",F49&lt;&gt;"",OR(Settings!$B$10="No",F49&lt;&gt;B49)),N(E49),0)</f>
        <v/>
      </c>
    </row>
    <row r="50">
      <c r="A50" s="9" t="n"/>
      <c r="B50" s="6" t="n"/>
      <c r="C50" s="6" t="n"/>
      <c r="D50" s="6" t="n"/>
      <c r="E50" s="7" t="n"/>
      <c r="F50" s="6" t="n"/>
      <c r="G50" s="11">
        <f>IF(AND(B50&lt;&gt;"",F50&lt;&gt;"",OR(Settings!$B$10="No",F50&lt;&gt;B50)),N(E50),0)</f>
        <v/>
      </c>
    </row>
    <row r="51">
      <c r="A51" s="9" t="n"/>
      <c r="B51" s="6" t="n"/>
      <c r="C51" s="6" t="n"/>
      <c r="D51" s="6" t="n"/>
      <c r="E51" s="7" t="n"/>
      <c r="F51" s="6" t="n"/>
      <c r="G51" s="11">
        <f>IF(AND(B51&lt;&gt;"",F51&lt;&gt;"",OR(Settings!$B$10="No",F51&lt;&gt;B51)),N(E51),0)</f>
        <v/>
      </c>
    </row>
    <row r="52">
      <c r="A52" s="9" t="n"/>
      <c r="B52" s="6" t="n"/>
      <c r="C52" s="6" t="n"/>
      <c r="D52" s="6" t="n"/>
      <c r="E52" s="7" t="n"/>
      <c r="F52" s="6" t="n"/>
      <c r="G52" s="11">
        <f>IF(AND(B52&lt;&gt;"",F52&lt;&gt;"",OR(Settings!$B$10="No",F52&lt;&gt;B52)),N(E52),0)</f>
        <v/>
      </c>
    </row>
    <row r="53">
      <c r="A53" s="9" t="n"/>
      <c r="B53" s="6" t="n"/>
      <c r="C53" s="6" t="n"/>
      <c r="D53" s="6" t="n"/>
      <c r="E53" s="7" t="n"/>
      <c r="F53" s="6" t="n"/>
      <c r="G53" s="11">
        <f>IF(AND(B53&lt;&gt;"",F53&lt;&gt;"",OR(Settings!$B$10="No",F53&lt;&gt;B53)),N(E53),0)</f>
        <v/>
      </c>
    </row>
    <row r="54">
      <c r="A54" s="9" t="n"/>
      <c r="B54" s="6" t="n"/>
      <c r="C54" s="6" t="n"/>
      <c r="D54" s="6" t="n"/>
      <c r="E54" s="7" t="n"/>
      <c r="F54" s="6" t="n"/>
      <c r="G54" s="11">
        <f>IF(AND(B54&lt;&gt;"",F54&lt;&gt;"",OR(Settings!$B$10="No",F54&lt;&gt;B54)),N(E54),0)</f>
        <v/>
      </c>
    </row>
    <row r="55">
      <c r="A55" s="9" t="n"/>
      <c r="B55" s="6" t="n"/>
      <c r="C55" s="6" t="n"/>
      <c r="D55" s="6" t="n"/>
      <c r="E55" s="7" t="n"/>
      <c r="F55" s="6" t="n"/>
      <c r="G55" s="11">
        <f>IF(AND(B55&lt;&gt;"",F55&lt;&gt;"",OR(Settings!$B$10="No",F55&lt;&gt;B55)),N(E55),0)</f>
        <v/>
      </c>
    </row>
    <row r="56">
      <c r="A56" s="9" t="n"/>
      <c r="B56" s="6" t="n"/>
      <c r="C56" s="6" t="n"/>
      <c r="D56" s="6" t="n"/>
      <c r="E56" s="7" t="n"/>
      <c r="F56" s="6" t="n"/>
      <c r="G56" s="11">
        <f>IF(AND(B56&lt;&gt;"",F56&lt;&gt;"",OR(Settings!$B$10="No",F56&lt;&gt;B56)),N(E56),0)</f>
        <v/>
      </c>
    </row>
    <row r="57">
      <c r="A57" s="9" t="n"/>
      <c r="B57" s="6" t="n"/>
      <c r="C57" s="6" t="n"/>
      <c r="D57" s="6" t="n"/>
      <c r="E57" s="7" t="n"/>
      <c r="F57" s="6" t="n"/>
      <c r="G57" s="11">
        <f>IF(AND(B57&lt;&gt;"",F57&lt;&gt;"",OR(Settings!$B$10="No",F57&lt;&gt;B57)),N(E57),0)</f>
        <v/>
      </c>
    </row>
    <row r="58">
      <c r="A58" s="9" t="n"/>
      <c r="B58" s="6" t="n"/>
      <c r="C58" s="6" t="n"/>
      <c r="D58" s="6" t="n"/>
      <c r="E58" s="7" t="n"/>
      <c r="F58" s="6" t="n"/>
      <c r="G58" s="11">
        <f>IF(AND(B58&lt;&gt;"",F58&lt;&gt;"",OR(Settings!$B$10="No",F58&lt;&gt;B58)),N(E58),0)</f>
        <v/>
      </c>
    </row>
    <row r="59">
      <c r="A59" s="9" t="n"/>
      <c r="B59" s="6" t="n"/>
      <c r="C59" s="6" t="n"/>
      <c r="D59" s="6" t="n"/>
      <c r="E59" s="7" t="n"/>
      <c r="F59" s="6" t="n"/>
      <c r="G59" s="11">
        <f>IF(AND(B59&lt;&gt;"",F59&lt;&gt;"",OR(Settings!$B$10="No",F59&lt;&gt;B59)),N(E59),0)</f>
        <v/>
      </c>
    </row>
    <row r="60">
      <c r="A60" s="9" t="n"/>
      <c r="B60" s="6" t="n"/>
      <c r="C60" s="6" t="n"/>
      <c r="D60" s="6" t="n"/>
      <c r="E60" s="7" t="n"/>
      <c r="F60" s="6" t="n"/>
      <c r="G60" s="11">
        <f>IF(AND(B60&lt;&gt;"",F60&lt;&gt;"",OR(Settings!$B$10="No",F60&lt;&gt;B60)),N(E60),0)</f>
        <v/>
      </c>
    </row>
    <row r="61">
      <c r="A61" s="9" t="n"/>
      <c r="B61" s="6" t="n"/>
      <c r="C61" s="6" t="n"/>
      <c r="D61" s="6" t="n"/>
      <c r="E61" s="7" t="n"/>
      <c r="F61" s="6" t="n"/>
      <c r="G61" s="11">
        <f>IF(AND(B61&lt;&gt;"",F61&lt;&gt;"",OR(Settings!$B$10="No",F61&lt;&gt;B61)),N(E61),0)</f>
        <v/>
      </c>
    </row>
    <row r="62">
      <c r="A62" s="9" t="n"/>
      <c r="B62" s="6" t="n"/>
      <c r="C62" s="6" t="n"/>
      <c r="D62" s="6" t="n"/>
      <c r="E62" s="7" t="n"/>
      <c r="F62" s="6" t="n"/>
      <c r="G62" s="11">
        <f>IF(AND(B62&lt;&gt;"",F62&lt;&gt;"",OR(Settings!$B$10="No",F62&lt;&gt;B62)),N(E62),0)</f>
        <v/>
      </c>
    </row>
    <row r="63">
      <c r="A63" s="9" t="n"/>
      <c r="B63" s="6" t="n"/>
      <c r="C63" s="6" t="n"/>
      <c r="D63" s="6" t="n"/>
      <c r="E63" s="7" t="n"/>
      <c r="F63" s="6" t="n"/>
      <c r="G63" s="11">
        <f>IF(AND(B63&lt;&gt;"",F63&lt;&gt;"",OR(Settings!$B$10="No",F63&lt;&gt;B63)),N(E63),0)</f>
        <v/>
      </c>
    </row>
    <row r="64">
      <c r="A64" s="9" t="n"/>
      <c r="B64" s="6" t="n"/>
      <c r="C64" s="6" t="n"/>
      <c r="D64" s="6" t="n"/>
      <c r="E64" s="7" t="n"/>
      <c r="F64" s="6" t="n"/>
      <c r="G64" s="11">
        <f>IF(AND(B64&lt;&gt;"",F64&lt;&gt;"",OR(Settings!$B$10="No",F64&lt;&gt;B64)),N(E64),0)</f>
        <v/>
      </c>
    </row>
    <row r="65">
      <c r="A65" s="9" t="n"/>
      <c r="B65" s="6" t="n"/>
      <c r="C65" s="6" t="n"/>
      <c r="D65" s="6" t="n"/>
      <c r="E65" s="7" t="n"/>
      <c r="F65" s="6" t="n"/>
      <c r="G65" s="11">
        <f>IF(AND(B65&lt;&gt;"",F65&lt;&gt;"",OR(Settings!$B$10="No",F65&lt;&gt;B65)),N(E65),0)</f>
        <v/>
      </c>
    </row>
    <row r="66">
      <c r="A66" s="9" t="n"/>
      <c r="B66" s="6" t="n"/>
      <c r="C66" s="6" t="n"/>
      <c r="D66" s="6" t="n"/>
      <c r="E66" s="7" t="n"/>
      <c r="F66" s="6" t="n"/>
      <c r="G66" s="11">
        <f>IF(AND(B66&lt;&gt;"",F66&lt;&gt;"",OR(Settings!$B$10="No",F66&lt;&gt;B66)),N(E66),0)</f>
        <v/>
      </c>
    </row>
    <row r="67">
      <c r="A67" s="9" t="n"/>
      <c r="B67" s="6" t="n"/>
      <c r="C67" s="6" t="n"/>
      <c r="D67" s="6" t="n"/>
      <c r="E67" s="7" t="n"/>
      <c r="F67" s="6" t="n"/>
      <c r="G67" s="11">
        <f>IF(AND(B67&lt;&gt;"",F67&lt;&gt;"",OR(Settings!$B$10="No",F67&lt;&gt;B67)),N(E67),0)</f>
        <v/>
      </c>
    </row>
    <row r="68">
      <c r="A68" s="9" t="n"/>
      <c r="B68" s="6" t="n"/>
      <c r="C68" s="6" t="n"/>
      <c r="D68" s="6" t="n"/>
      <c r="E68" s="7" t="n"/>
      <c r="F68" s="6" t="n"/>
      <c r="G68" s="11">
        <f>IF(AND(B68&lt;&gt;"",F68&lt;&gt;"",OR(Settings!$B$10="No",F68&lt;&gt;B68)),N(E68),0)</f>
        <v/>
      </c>
    </row>
    <row r="69">
      <c r="A69" s="9" t="n"/>
      <c r="B69" s="6" t="n"/>
      <c r="C69" s="6" t="n"/>
      <c r="D69" s="6" t="n"/>
      <c r="E69" s="7" t="n"/>
      <c r="F69" s="6" t="n"/>
      <c r="G69" s="11">
        <f>IF(AND(B69&lt;&gt;"",F69&lt;&gt;"",OR(Settings!$B$10="No",F69&lt;&gt;B69)),N(E69),0)</f>
        <v/>
      </c>
    </row>
    <row r="70">
      <c r="A70" s="9" t="n"/>
      <c r="B70" s="6" t="n"/>
      <c r="C70" s="6" t="n"/>
      <c r="D70" s="6" t="n"/>
      <c r="E70" s="7" t="n"/>
      <c r="F70" s="6" t="n"/>
      <c r="G70" s="11">
        <f>IF(AND(B70&lt;&gt;"",F70&lt;&gt;"",OR(Settings!$B$10="No",F70&lt;&gt;B70)),N(E70),0)</f>
        <v/>
      </c>
    </row>
    <row r="71">
      <c r="A71" s="9" t="n"/>
      <c r="B71" s="6" t="n"/>
      <c r="C71" s="6" t="n"/>
      <c r="D71" s="6" t="n"/>
      <c r="E71" s="7" t="n"/>
      <c r="F71" s="6" t="n"/>
      <c r="G71" s="11">
        <f>IF(AND(B71&lt;&gt;"",F71&lt;&gt;"",OR(Settings!$B$10="No",F71&lt;&gt;B71)),N(E71),0)</f>
        <v/>
      </c>
    </row>
    <row r="72">
      <c r="A72" s="9" t="n"/>
      <c r="B72" s="6" t="n"/>
      <c r="C72" s="6" t="n"/>
      <c r="D72" s="6" t="n"/>
      <c r="E72" s="7" t="n"/>
      <c r="F72" s="6" t="n"/>
      <c r="G72" s="11">
        <f>IF(AND(B72&lt;&gt;"",F72&lt;&gt;"",OR(Settings!$B$10="No",F72&lt;&gt;B72)),N(E72),0)</f>
        <v/>
      </c>
    </row>
    <row r="73">
      <c r="A73" s="9" t="n"/>
      <c r="B73" s="6" t="n"/>
      <c r="C73" s="6" t="n"/>
      <c r="D73" s="6" t="n"/>
      <c r="E73" s="7" t="n"/>
      <c r="F73" s="6" t="n"/>
      <c r="G73" s="11">
        <f>IF(AND(B73&lt;&gt;"",F73&lt;&gt;"",OR(Settings!$B$10="No",F73&lt;&gt;B73)),N(E73),0)</f>
        <v/>
      </c>
    </row>
    <row r="74">
      <c r="A74" s="9" t="n"/>
      <c r="B74" s="6" t="n"/>
      <c r="C74" s="6" t="n"/>
      <c r="D74" s="6" t="n"/>
      <c r="E74" s="7" t="n"/>
      <c r="F74" s="6" t="n"/>
      <c r="G74" s="11">
        <f>IF(AND(B74&lt;&gt;"",F74&lt;&gt;"",OR(Settings!$B$10="No",F74&lt;&gt;B74)),N(E74),0)</f>
        <v/>
      </c>
    </row>
    <row r="75">
      <c r="A75" s="9" t="n"/>
      <c r="B75" s="6" t="n"/>
      <c r="C75" s="6" t="n"/>
      <c r="D75" s="6" t="n"/>
      <c r="E75" s="7" t="n"/>
      <c r="F75" s="6" t="n"/>
      <c r="G75" s="11">
        <f>IF(AND(B75&lt;&gt;"",F75&lt;&gt;"",OR(Settings!$B$10="No",F75&lt;&gt;B75)),N(E75),0)</f>
        <v/>
      </c>
    </row>
    <row r="76">
      <c r="A76" s="9" t="n"/>
      <c r="B76" s="6" t="n"/>
      <c r="C76" s="6" t="n"/>
      <c r="D76" s="6" t="n"/>
      <c r="E76" s="7" t="n"/>
      <c r="F76" s="6" t="n"/>
      <c r="G76" s="11">
        <f>IF(AND(B76&lt;&gt;"",F76&lt;&gt;"",OR(Settings!$B$10="No",F76&lt;&gt;B76)),N(E76),0)</f>
        <v/>
      </c>
    </row>
    <row r="77">
      <c r="A77" s="9" t="n"/>
      <c r="B77" s="6" t="n"/>
      <c r="C77" s="6" t="n"/>
      <c r="D77" s="6" t="n"/>
      <c r="E77" s="7" t="n"/>
      <c r="F77" s="6" t="n"/>
      <c r="G77" s="11">
        <f>IF(AND(B77&lt;&gt;"",F77&lt;&gt;"",OR(Settings!$B$10="No",F77&lt;&gt;B77)),N(E77),0)</f>
        <v/>
      </c>
    </row>
    <row r="78">
      <c r="A78" s="9" t="n"/>
      <c r="B78" s="6" t="n"/>
      <c r="C78" s="6" t="n"/>
      <c r="D78" s="6" t="n"/>
      <c r="E78" s="7" t="n"/>
      <c r="F78" s="6" t="n"/>
      <c r="G78" s="11">
        <f>IF(AND(B78&lt;&gt;"",F78&lt;&gt;"",OR(Settings!$B$10="No",F78&lt;&gt;B78)),N(E78),0)</f>
        <v/>
      </c>
    </row>
    <row r="79">
      <c r="A79" s="9" t="n"/>
      <c r="B79" s="6" t="n"/>
      <c r="C79" s="6" t="n"/>
      <c r="D79" s="6" t="n"/>
      <c r="E79" s="7" t="n"/>
      <c r="F79" s="6" t="n"/>
      <c r="G79" s="11">
        <f>IF(AND(B79&lt;&gt;"",F79&lt;&gt;"",OR(Settings!$B$10="No",F79&lt;&gt;B79)),N(E79),0)</f>
        <v/>
      </c>
    </row>
    <row r="80">
      <c r="A80" s="9" t="n"/>
      <c r="B80" s="6" t="n"/>
      <c r="C80" s="6" t="n"/>
      <c r="D80" s="6" t="n"/>
      <c r="E80" s="7" t="n"/>
      <c r="F80" s="6" t="n"/>
      <c r="G80" s="11">
        <f>IF(AND(B80&lt;&gt;"",F80&lt;&gt;"",OR(Settings!$B$10="No",F80&lt;&gt;B80)),N(E80),0)</f>
        <v/>
      </c>
    </row>
    <row r="81">
      <c r="A81" s="9" t="n"/>
      <c r="B81" s="6" t="n"/>
      <c r="C81" s="6" t="n"/>
      <c r="D81" s="6" t="n"/>
      <c r="E81" s="7" t="n"/>
      <c r="F81" s="6" t="n"/>
      <c r="G81" s="11">
        <f>IF(AND(B81&lt;&gt;"",F81&lt;&gt;"",OR(Settings!$B$10="No",F81&lt;&gt;B81)),N(E81),0)</f>
        <v/>
      </c>
    </row>
    <row r="82">
      <c r="A82" s="9" t="n"/>
      <c r="B82" s="6" t="n"/>
      <c r="C82" s="6" t="n"/>
      <c r="D82" s="6" t="n"/>
      <c r="E82" s="7" t="n"/>
      <c r="F82" s="6" t="n"/>
      <c r="G82" s="11">
        <f>IF(AND(B82&lt;&gt;"",F82&lt;&gt;"",OR(Settings!$B$10="No",F82&lt;&gt;B82)),N(E82),0)</f>
        <v/>
      </c>
    </row>
    <row r="83">
      <c r="A83" s="9" t="n"/>
      <c r="B83" s="6" t="n"/>
      <c r="C83" s="6" t="n"/>
      <c r="D83" s="6" t="n"/>
      <c r="E83" s="7" t="n"/>
      <c r="F83" s="6" t="n"/>
      <c r="G83" s="11">
        <f>IF(AND(B83&lt;&gt;"",F83&lt;&gt;"",OR(Settings!$B$10="No",F83&lt;&gt;B83)),N(E83),0)</f>
        <v/>
      </c>
    </row>
    <row r="84">
      <c r="A84" s="9" t="n"/>
      <c r="B84" s="6" t="n"/>
      <c r="C84" s="6" t="n"/>
      <c r="D84" s="6" t="n"/>
      <c r="E84" s="7" t="n"/>
      <c r="F84" s="6" t="n"/>
      <c r="G84" s="11">
        <f>IF(AND(B84&lt;&gt;"",F84&lt;&gt;"",OR(Settings!$B$10="No",F84&lt;&gt;B84)),N(E84),0)</f>
        <v/>
      </c>
    </row>
    <row r="85">
      <c r="A85" s="9" t="n"/>
      <c r="B85" s="6" t="n"/>
      <c r="C85" s="6" t="n"/>
      <c r="D85" s="6" t="n"/>
      <c r="E85" s="7" t="n"/>
      <c r="F85" s="6" t="n"/>
      <c r="G85" s="11">
        <f>IF(AND(B85&lt;&gt;"",F85&lt;&gt;"",OR(Settings!$B$10="No",F85&lt;&gt;B85)),N(E85),0)</f>
        <v/>
      </c>
    </row>
    <row r="86">
      <c r="A86" s="9" t="n"/>
      <c r="B86" s="6" t="n"/>
      <c r="C86" s="6" t="n"/>
      <c r="D86" s="6" t="n"/>
      <c r="E86" s="7" t="n"/>
      <c r="F86" s="6" t="n"/>
      <c r="G86" s="11">
        <f>IF(AND(B86&lt;&gt;"",F86&lt;&gt;"",OR(Settings!$B$10="No",F86&lt;&gt;B86)),N(E86),0)</f>
        <v/>
      </c>
    </row>
    <row r="87">
      <c r="A87" s="9" t="n"/>
      <c r="B87" s="6" t="n"/>
      <c r="C87" s="6" t="n"/>
      <c r="D87" s="6" t="n"/>
      <c r="E87" s="7" t="n"/>
      <c r="F87" s="6" t="n"/>
      <c r="G87" s="11">
        <f>IF(AND(B87&lt;&gt;"",F87&lt;&gt;"",OR(Settings!$B$10="No",F87&lt;&gt;B87)),N(E87),0)</f>
        <v/>
      </c>
    </row>
    <row r="88">
      <c r="A88" s="9" t="n"/>
      <c r="B88" s="6" t="n"/>
      <c r="C88" s="6" t="n"/>
      <c r="D88" s="6" t="n"/>
      <c r="E88" s="7" t="n"/>
      <c r="F88" s="6" t="n"/>
      <c r="G88" s="11">
        <f>IF(AND(B88&lt;&gt;"",F88&lt;&gt;"",OR(Settings!$B$10="No",F88&lt;&gt;B88)),N(E88),0)</f>
        <v/>
      </c>
    </row>
    <row r="89">
      <c r="A89" s="9" t="n"/>
      <c r="B89" s="6" t="n"/>
      <c r="C89" s="6" t="n"/>
      <c r="D89" s="6" t="n"/>
      <c r="E89" s="7" t="n"/>
      <c r="F89" s="6" t="n"/>
      <c r="G89" s="11">
        <f>IF(AND(B89&lt;&gt;"",F89&lt;&gt;"",OR(Settings!$B$10="No",F89&lt;&gt;B89)),N(E89),0)</f>
        <v/>
      </c>
    </row>
    <row r="90">
      <c r="A90" s="9" t="n"/>
      <c r="B90" s="6" t="n"/>
      <c r="C90" s="6" t="n"/>
      <c r="D90" s="6" t="n"/>
      <c r="E90" s="7" t="n"/>
      <c r="F90" s="6" t="n"/>
      <c r="G90" s="11">
        <f>IF(AND(B90&lt;&gt;"",F90&lt;&gt;"",OR(Settings!$B$10="No",F90&lt;&gt;B90)),N(E90),0)</f>
        <v/>
      </c>
    </row>
    <row r="91">
      <c r="A91" s="9" t="n"/>
      <c r="B91" s="6" t="n"/>
      <c r="C91" s="6" t="n"/>
      <c r="D91" s="6" t="n"/>
      <c r="E91" s="7" t="n"/>
      <c r="F91" s="6" t="n"/>
      <c r="G91" s="11">
        <f>IF(AND(B91&lt;&gt;"",F91&lt;&gt;"",OR(Settings!$B$10="No",F91&lt;&gt;B91)),N(E91),0)</f>
        <v/>
      </c>
    </row>
    <row r="92">
      <c r="A92" s="9" t="n"/>
      <c r="B92" s="6" t="n"/>
      <c r="C92" s="6" t="n"/>
      <c r="D92" s="6" t="n"/>
      <c r="E92" s="7" t="n"/>
      <c r="F92" s="6" t="n"/>
      <c r="G92" s="11">
        <f>IF(AND(B92&lt;&gt;"",F92&lt;&gt;"",OR(Settings!$B$10="No",F92&lt;&gt;B92)),N(E92),0)</f>
        <v/>
      </c>
    </row>
    <row r="93">
      <c r="A93" s="9" t="n"/>
      <c r="B93" s="6" t="n"/>
      <c r="C93" s="6" t="n"/>
      <c r="D93" s="6" t="n"/>
      <c r="E93" s="7" t="n"/>
      <c r="F93" s="6" t="n"/>
      <c r="G93" s="11">
        <f>IF(AND(B93&lt;&gt;"",F93&lt;&gt;"",OR(Settings!$B$10="No",F93&lt;&gt;B93)),N(E93),0)</f>
        <v/>
      </c>
    </row>
    <row r="94">
      <c r="A94" s="9" t="n"/>
      <c r="B94" s="6" t="n"/>
      <c r="C94" s="6" t="n"/>
      <c r="D94" s="6" t="n"/>
      <c r="E94" s="7" t="n"/>
      <c r="F94" s="6" t="n"/>
      <c r="G94" s="11">
        <f>IF(AND(B94&lt;&gt;"",F94&lt;&gt;"",OR(Settings!$B$10="No",F94&lt;&gt;B94)),N(E94),0)</f>
        <v/>
      </c>
    </row>
    <row r="95">
      <c r="A95" s="9" t="n"/>
      <c r="B95" s="6" t="n"/>
      <c r="C95" s="6" t="n"/>
      <c r="D95" s="6" t="n"/>
      <c r="E95" s="7" t="n"/>
      <c r="F95" s="6" t="n"/>
      <c r="G95" s="11">
        <f>IF(AND(B95&lt;&gt;"",F95&lt;&gt;"",OR(Settings!$B$10="No",F95&lt;&gt;B95)),N(E95),0)</f>
        <v/>
      </c>
    </row>
    <row r="96">
      <c r="A96" s="9" t="n"/>
      <c r="B96" s="6" t="n"/>
      <c r="C96" s="6" t="n"/>
      <c r="D96" s="6" t="n"/>
      <c r="E96" s="7" t="n"/>
      <c r="F96" s="6" t="n"/>
      <c r="G96" s="11">
        <f>IF(AND(B96&lt;&gt;"",F96&lt;&gt;"",OR(Settings!$B$10="No",F96&lt;&gt;B96)),N(E96),0)</f>
        <v/>
      </c>
    </row>
    <row r="97">
      <c r="A97" s="9" t="n"/>
      <c r="B97" s="6" t="n"/>
      <c r="C97" s="6" t="n"/>
      <c r="D97" s="6" t="n"/>
      <c r="E97" s="7" t="n"/>
      <c r="F97" s="6" t="n"/>
      <c r="G97" s="11">
        <f>IF(AND(B97&lt;&gt;"",F97&lt;&gt;"",OR(Settings!$B$10="No",F97&lt;&gt;B97)),N(E97),0)</f>
        <v/>
      </c>
    </row>
    <row r="98">
      <c r="A98" s="9" t="n"/>
      <c r="B98" s="6" t="n"/>
      <c r="C98" s="6" t="n"/>
      <c r="D98" s="6" t="n"/>
      <c r="E98" s="7" t="n"/>
      <c r="F98" s="6" t="n"/>
      <c r="G98" s="11">
        <f>IF(AND(B98&lt;&gt;"",F98&lt;&gt;"",OR(Settings!$B$10="No",F98&lt;&gt;B98)),N(E98),0)</f>
        <v/>
      </c>
    </row>
    <row r="99">
      <c r="A99" s="9" t="n"/>
      <c r="B99" s="6" t="n"/>
      <c r="C99" s="6" t="n"/>
      <c r="D99" s="6" t="n"/>
      <c r="E99" s="7" t="n"/>
      <c r="F99" s="6" t="n"/>
      <c r="G99" s="11">
        <f>IF(AND(B99&lt;&gt;"",F99&lt;&gt;"",OR(Settings!$B$10="No",F99&lt;&gt;B99)),N(E99),0)</f>
        <v/>
      </c>
    </row>
    <row r="100">
      <c r="A100" s="9" t="n"/>
      <c r="B100" s="6" t="n"/>
      <c r="C100" s="6" t="n"/>
      <c r="D100" s="6" t="n"/>
      <c r="E100" s="7" t="n"/>
      <c r="F100" s="6" t="n"/>
      <c r="G100" s="11">
        <f>IF(AND(B100&lt;&gt;"",F100&lt;&gt;"",OR(Settings!$B$10="No",F100&lt;&gt;B100)),N(E100),0)</f>
        <v/>
      </c>
    </row>
    <row r="101">
      <c r="A101" s="9" t="n"/>
      <c r="B101" s="6" t="n"/>
      <c r="C101" s="6" t="n"/>
      <c r="D101" s="6" t="n"/>
      <c r="E101" s="7" t="n"/>
      <c r="F101" s="6" t="n"/>
      <c r="G101" s="11">
        <f>IF(AND(B101&lt;&gt;"",F101&lt;&gt;"",OR(Settings!$B$10="No",F101&lt;&gt;B101)),N(E101),0)</f>
        <v/>
      </c>
    </row>
    <row r="102">
      <c r="A102" s="9" t="n"/>
      <c r="B102" s="6" t="n"/>
      <c r="C102" s="6" t="n"/>
      <c r="D102" s="6" t="n"/>
      <c r="E102" s="7" t="n"/>
      <c r="F102" s="6" t="n"/>
      <c r="G102" s="11">
        <f>IF(AND(B102&lt;&gt;"",F102&lt;&gt;"",OR(Settings!$B$10="No",F102&lt;&gt;B102)),N(E102),0)</f>
        <v/>
      </c>
    </row>
    <row r="103">
      <c r="A103" s="9" t="n"/>
      <c r="B103" s="6" t="n"/>
      <c r="C103" s="6" t="n"/>
      <c r="D103" s="6" t="n"/>
      <c r="E103" s="7" t="n"/>
      <c r="F103" s="6" t="n"/>
      <c r="G103" s="11">
        <f>IF(AND(B103&lt;&gt;"",F103&lt;&gt;"",OR(Settings!$B$10="No",F103&lt;&gt;B103)),N(E103),0)</f>
        <v/>
      </c>
    </row>
    <row r="104">
      <c r="A104" s="9" t="n"/>
      <c r="B104" s="6" t="n"/>
      <c r="C104" s="6" t="n"/>
      <c r="D104" s="6" t="n"/>
      <c r="E104" s="7" t="n"/>
      <c r="F104" s="6" t="n"/>
      <c r="G104" s="11">
        <f>IF(AND(B104&lt;&gt;"",F104&lt;&gt;"",OR(Settings!$B$10="No",F104&lt;&gt;B104)),N(E104),0)</f>
        <v/>
      </c>
    </row>
    <row r="105">
      <c r="A105" s="9" t="n"/>
      <c r="B105" s="6" t="n"/>
      <c r="C105" s="6" t="n"/>
      <c r="D105" s="6" t="n"/>
      <c r="E105" s="7" t="n"/>
      <c r="F105" s="6" t="n"/>
      <c r="G105" s="11">
        <f>IF(AND(B105&lt;&gt;"",F105&lt;&gt;"",OR(Settings!$B$10="No",F105&lt;&gt;B105)),N(E105),0)</f>
        <v/>
      </c>
    </row>
    <row r="106">
      <c r="A106" s="9" t="n"/>
      <c r="B106" s="6" t="n"/>
      <c r="C106" s="6" t="n"/>
      <c r="D106" s="6" t="n"/>
      <c r="E106" s="7" t="n"/>
      <c r="F106" s="6" t="n"/>
      <c r="G106" s="11">
        <f>IF(AND(B106&lt;&gt;"",F106&lt;&gt;"",OR(Settings!$B$10="No",F106&lt;&gt;B106)),N(E106),0)</f>
        <v/>
      </c>
    </row>
    <row r="107">
      <c r="A107" s="9" t="n"/>
      <c r="B107" s="6" t="n"/>
      <c r="C107" s="6" t="n"/>
      <c r="D107" s="6" t="n"/>
      <c r="E107" s="7" t="n"/>
      <c r="F107" s="6" t="n"/>
      <c r="G107" s="11">
        <f>IF(AND(B107&lt;&gt;"",F107&lt;&gt;"",OR(Settings!$B$10="No",F107&lt;&gt;B107)),N(E107),0)</f>
        <v/>
      </c>
    </row>
    <row r="108">
      <c r="A108" s="9" t="n"/>
      <c r="B108" s="6" t="n"/>
      <c r="C108" s="6" t="n"/>
      <c r="D108" s="6" t="n"/>
      <c r="E108" s="7" t="n"/>
      <c r="F108" s="6" t="n"/>
      <c r="G108" s="11">
        <f>IF(AND(B108&lt;&gt;"",F108&lt;&gt;"",OR(Settings!$B$10="No",F108&lt;&gt;B108)),N(E108),0)</f>
        <v/>
      </c>
    </row>
    <row r="109">
      <c r="A109" s="9" t="n"/>
      <c r="B109" s="6" t="n"/>
      <c r="C109" s="6" t="n"/>
      <c r="D109" s="6" t="n"/>
      <c r="E109" s="7" t="n"/>
      <c r="F109" s="6" t="n"/>
      <c r="G109" s="11">
        <f>IF(AND(B109&lt;&gt;"",F109&lt;&gt;"",OR(Settings!$B$10="No",F109&lt;&gt;B109)),N(E109),0)</f>
        <v/>
      </c>
    </row>
    <row r="110">
      <c r="A110" s="9" t="n"/>
      <c r="B110" s="6" t="n"/>
      <c r="C110" s="6" t="n"/>
      <c r="D110" s="6" t="n"/>
      <c r="E110" s="7" t="n"/>
      <c r="F110" s="6" t="n"/>
      <c r="G110" s="11">
        <f>IF(AND(B110&lt;&gt;"",F110&lt;&gt;"",OR(Settings!$B$10="No",F110&lt;&gt;B110)),N(E110),0)</f>
        <v/>
      </c>
    </row>
    <row r="111">
      <c r="A111" s="9" t="n"/>
      <c r="B111" s="6" t="n"/>
      <c r="C111" s="6" t="n"/>
      <c r="D111" s="6" t="n"/>
      <c r="E111" s="7" t="n"/>
      <c r="F111" s="6" t="n"/>
      <c r="G111" s="11">
        <f>IF(AND(B111&lt;&gt;"",F111&lt;&gt;"",OR(Settings!$B$10="No",F111&lt;&gt;B111)),N(E111),0)</f>
        <v/>
      </c>
    </row>
    <row r="112">
      <c r="A112" s="9" t="n"/>
      <c r="B112" s="6" t="n"/>
      <c r="C112" s="6" t="n"/>
      <c r="D112" s="6" t="n"/>
      <c r="E112" s="7" t="n"/>
      <c r="F112" s="6" t="n"/>
      <c r="G112" s="11">
        <f>IF(AND(B112&lt;&gt;"",F112&lt;&gt;"",OR(Settings!$B$10="No",F112&lt;&gt;B112)),N(E112),0)</f>
        <v/>
      </c>
    </row>
    <row r="113">
      <c r="A113" s="9" t="n"/>
      <c r="B113" s="6" t="n"/>
      <c r="C113" s="6" t="n"/>
      <c r="D113" s="6" t="n"/>
      <c r="E113" s="7" t="n"/>
      <c r="F113" s="6" t="n"/>
      <c r="G113" s="11">
        <f>IF(AND(B113&lt;&gt;"",F113&lt;&gt;"",OR(Settings!$B$10="No",F113&lt;&gt;B113)),N(E113),0)</f>
        <v/>
      </c>
    </row>
    <row r="114">
      <c r="A114" s="9" t="n"/>
      <c r="B114" s="6" t="n"/>
      <c r="C114" s="6" t="n"/>
      <c r="D114" s="6" t="n"/>
      <c r="E114" s="7" t="n"/>
      <c r="F114" s="6" t="n"/>
      <c r="G114" s="11">
        <f>IF(AND(B114&lt;&gt;"",F114&lt;&gt;"",OR(Settings!$B$10="No",F114&lt;&gt;B114)),N(E114),0)</f>
        <v/>
      </c>
    </row>
    <row r="115">
      <c r="A115" s="9" t="n"/>
      <c r="B115" s="6" t="n"/>
      <c r="C115" s="6" t="n"/>
      <c r="D115" s="6" t="n"/>
      <c r="E115" s="7" t="n"/>
      <c r="F115" s="6" t="n"/>
      <c r="G115" s="11">
        <f>IF(AND(B115&lt;&gt;"",F115&lt;&gt;"",OR(Settings!$B$10="No",F115&lt;&gt;B115)),N(E115),0)</f>
        <v/>
      </c>
    </row>
    <row r="116">
      <c r="A116" s="9" t="n"/>
      <c r="B116" s="6" t="n"/>
      <c r="C116" s="6" t="n"/>
      <c r="D116" s="6" t="n"/>
      <c r="E116" s="7" t="n"/>
      <c r="F116" s="6" t="n"/>
      <c r="G116" s="11">
        <f>IF(AND(B116&lt;&gt;"",F116&lt;&gt;"",OR(Settings!$B$10="No",F116&lt;&gt;B116)),N(E116),0)</f>
        <v/>
      </c>
    </row>
    <row r="117">
      <c r="A117" s="9" t="n"/>
      <c r="B117" s="6" t="n"/>
      <c r="C117" s="6" t="n"/>
      <c r="D117" s="6" t="n"/>
      <c r="E117" s="7" t="n"/>
      <c r="F117" s="6" t="n"/>
      <c r="G117" s="11">
        <f>IF(AND(B117&lt;&gt;"",F117&lt;&gt;"",OR(Settings!$B$10="No",F117&lt;&gt;B117)),N(E117),0)</f>
        <v/>
      </c>
    </row>
    <row r="118">
      <c r="A118" s="9" t="n"/>
      <c r="B118" s="6" t="n"/>
      <c r="C118" s="6" t="n"/>
      <c r="D118" s="6" t="n"/>
      <c r="E118" s="7" t="n"/>
      <c r="F118" s="6" t="n"/>
      <c r="G118" s="11">
        <f>IF(AND(B118&lt;&gt;"",F118&lt;&gt;"",OR(Settings!$B$10="No",F118&lt;&gt;B118)),N(E118),0)</f>
        <v/>
      </c>
    </row>
    <row r="119">
      <c r="A119" s="9" t="n"/>
      <c r="B119" s="6" t="n"/>
      <c r="C119" s="6" t="n"/>
      <c r="D119" s="6" t="n"/>
      <c r="E119" s="7" t="n"/>
      <c r="F119" s="6" t="n"/>
      <c r="G119" s="11">
        <f>IF(AND(B119&lt;&gt;"",F119&lt;&gt;"",OR(Settings!$B$10="No",F119&lt;&gt;B119)),N(E119),0)</f>
        <v/>
      </c>
    </row>
    <row r="120">
      <c r="A120" s="9" t="n"/>
      <c r="B120" s="6" t="n"/>
      <c r="C120" s="6" t="n"/>
      <c r="D120" s="6" t="n"/>
      <c r="E120" s="7" t="n"/>
      <c r="F120" s="6" t="n"/>
      <c r="G120" s="11">
        <f>IF(AND(B120&lt;&gt;"",F120&lt;&gt;"",OR(Settings!$B$10="No",F120&lt;&gt;B120)),N(E120),0)</f>
        <v/>
      </c>
    </row>
    <row r="121">
      <c r="A121" s="9" t="n"/>
      <c r="B121" s="6" t="n"/>
      <c r="C121" s="6" t="n"/>
      <c r="D121" s="6" t="n"/>
      <c r="E121" s="7" t="n"/>
      <c r="F121" s="6" t="n"/>
      <c r="G121" s="11">
        <f>IF(AND(B121&lt;&gt;"",F121&lt;&gt;"",OR(Settings!$B$10="No",F121&lt;&gt;B121)),N(E121),0)</f>
        <v/>
      </c>
    </row>
    <row r="122">
      <c r="A122" s="9" t="n"/>
      <c r="B122" s="6" t="n"/>
      <c r="C122" s="6" t="n"/>
      <c r="D122" s="6" t="n"/>
      <c r="E122" s="7" t="n"/>
      <c r="F122" s="6" t="n"/>
      <c r="G122" s="11">
        <f>IF(AND(B122&lt;&gt;"",F122&lt;&gt;"",OR(Settings!$B$10="No",F122&lt;&gt;B122)),N(E122),0)</f>
        <v/>
      </c>
    </row>
    <row r="123">
      <c r="A123" s="9" t="n"/>
      <c r="B123" s="6" t="n"/>
      <c r="C123" s="6" t="n"/>
      <c r="D123" s="6" t="n"/>
      <c r="E123" s="7" t="n"/>
      <c r="F123" s="6" t="n"/>
      <c r="G123" s="11">
        <f>IF(AND(B123&lt;&gt;"",F123&lt;&gt;"",OR(Settings!$B$10="No",F123&lt;&gt;B123)),N(E123),0)</f>
        <v/>
      </c>
    </row>
    <row r="124">
      <c r="A124" s="9" t="n"/>
      <c r="B124" s="6" t="n"/>
      <c r="C124" s="6" t="n"/>
      <c r="D124" s="6" t="n"/>
      <c r="E124" s="7" t="n"/>
      <c r="F124" s="6" t="n"/>
      <c r="G124" s="11">
        <f>IF(AND(B124&lt;&gt;"",F124&lt;&gt;"",OR(Settings!$B$10="No",F124&lt;&gt;B124)),N(E124),0)</f>
        <v/>
      </c>
    </row>
    <row r="125">
      <c r="A125" s="9" t="n"/>
      <c r="B125" s="6" t="n"/>
      <c r="C125" s="6" t="n"/>
      <c r="D125" s="6" t="n"/>
      <c r="E125" s="7" t="n"/>
      <c r="F125" s="6" t="n"/>
      <c r="G125" s="11">
        <f>IF(AND(B125&lt;&gt;"",F125&lt;&gt;"",OR(Settings!$B$10="No",F125&lt;&gt;B125)),N(E125),0)</f>
        <v/>
      </c>
    </row>
    <row r="126">
      <c r="A126" s="9" t="n"/>
      <c r="B126" s="6" t="n"/>
      <c r="C126" s="6" t="n"/>
      <c r="D126" s="6" t="n"/>
      <c r="E126" s="7" t="n"/>
      <c r="F126" s="6" t="n"/>
      <c r="G126" s="11">
        <f>IF(AND(B126&lt;&gt;"",F126&lt;&gt;"",OR(Settings!$B$10="No",F126&lt;&gt;B126)),N(E126),0)</f>
        <v/>
      </c>
    </row>
    <row r="127">
      <c r="A127" s="9" t="n"/>
      <c r="B127" s="6" t="n"/>
      <c r="C127" s="6" t="n"/>
      <c r="D127" s="6" t="n"/>
      <c r="E127" s="7" t="n"/>
      <c r="F127" s="6" t="n"/>
      <c r="G127" s="11">
        <f>IF(AND(B127&lt;&gt;"",F127&lt;&gt;"",OR(Settings!$B$10="No",F127&lt;&gt;B127)),N(E127),0)</f>
        <v/>
      </c>
    </row>
    <row r="128">
      <c r="A128" s="9" t="n"/>
      <c r="B128" s="6" t="n"/>
      <c r="C128" s="6" t="n"/>
      <c r="D128" s="6" t="n"/>
      <c r="E128" s="7" t="n"/>
      <c r="F128" s="6" t="n"/>
      <c r="G128" s="11">
        <f>IF(AND(B128&lt;&gt;"",F128&lt;&gt;"",OR(Settings!$B$10="No",F128&lt;&gt;B128)),N(E128),0)</f>
        <v/>
      </c>
    </row>
    <row r="129">
      <c r="A129" s="9" t="n"/>
      <c r="B129" s="6" t="n"/>
      <c r="C129" s="6" t="n"/>
      <c r="D129" s="6" t="n"/>
      <c r="E129" s="7" t="n"/>
      <c r="F129" s="6" t="n"/>
      <c r="G129" s="11">
        <f>IF(AND(B129&lt;&gt;"",F129&lt;&gt;"",OR(Settings!$B$10="No",F129&lt;&gt;B129)),N(E129),0)</f>
        <v/>
      </c>
    </row>
    <row r="130">
      <c r="A130" s="9" t="n"/>
      <c r="B130" s="6" t="n"/>
      <c r="C130" s="6" t="n"/>
      <c r="D130" s="6" t="n"/>
      <c r="E130" s="7" t="n"/>
      <c r="F130" s="6" t="n"/>
      <c r="G130" s="11">
        <f>IF(AND(B130&lt;&gt;"",F130&lt;&gt;"",OR(Settings!$B$10="No",F130&lt;&gt;B130)),N(E130),0)</f>
        <v/>
      </c>
    </row>
    <row r="131">
      <c r="A131" s="9" t="n"/>
      <c r="B131" s="6" t="n"/>
      <c r="C131" s="6" t="n"/>
      <c r="D131" s="6" t="n"/>
      <c r="E131" s="7" t="n"/>
      <c r="F131" s="6" t="n"/>
      <c r="G131" s="11">
        <f>IF(AND(B131&lt;&gt;"",F131&lt;&gt;"",OR(Settings!$B$10="No",F131&lt;&gt;B131)),N(E131),0)</f>
        <v/>
      </c>
    </row>
    <row r="132">
      <c r="A132" s="9" t="n"/>
      <c r="B132" s="6" t="n"/>
      <c r="C132" s="6" t="n"/>
      <c r="D132" s="6" t="n"/>
      <c r="E132" s="7" t="n"/>
      <c r="F132" s="6" t="n"/>
      <c r="G132" s="11">
        <f>IF(AND(B132&lt;&gt;"",F132&lt;&gt;"",OR(Settings!$B$10="No",F132&lt;&gt;B132)),N(E132),0)</f>
        <v/>
      </c>
    </row>
    <row r="133">
      <c r="A133" s="9" t="n"/>
      <c r="B133" s="6" t="n"/>
      <c r="C133" s="6" t="n"/>
      <c r="D133" s="6" t="n"/>
      <c r="E133" s="7" t="n"/>
      <c r="F133" s="6" t="n"/>
      <c r="G133" s="11">
        <f>IF(AND(B133&lt;&gt;"",F133&lt;&gt;"",OR(Settings!$B$10="No",F133&lt;&gt;B133)),N(E133),0)</f>
        <v/>
      </c>
    </row>
    <row r="134">
      <c r="A134" s="9" t="n"/>
      <c r="B134" s="6" t="n"/>
      <c r="C134" s="6" t="n"/>
      <c r="D134" s="6" t="n"/>
      <c r="E134" s="7" t="n"/>
      <c r="F134" s="6" t="n"/>
      <c r="G134" s="11">
        <f>IF(AND(B134&lt;&gt;"",F134&lt;&gt;"",OR(Settings!$B$10="No",F134&lt;&gt;B134)),N(E134),0)</f>
        <v/>
      </c>
    </row>
    <row r="135">
      <c r="A135" s="9" t="n"/>
      <c r="B135" s="6" t="n"/>
      <c r="C135" s="6" t="n"/>
      <c r="D135" s="6" t="n"/>
      <c r="E135" s="7" t="n"/>
      <c r="F135" s="6" t="n"/>
      <c r="G135" s="11">
        <f>IF(AND(B135&lt;&gt;"",F135&lt;&gt;"",OR(Settings!$B$10="No",F135&lt;&gt;B135)),N(E135),0)</f>
        <v/>
      </c>
    </row>
    <row r="136">
      <c r="A136" s="9" t="n"/>
      <c r="B136" s="6" t="n"/>
      <c r="C136" s="6" t="n"/>
      <c r="D136" s="6" t="n"/>
      <c r="E136" s="7" t="n"/>
      <c r="F136" s="6" t="n"/>
      <c r="G136" s="11">
        <f>IF(AND(B136&lt;&gt;"",F136&lt;&gt;"",OR(Settings!$B$10="No",F136&lt;&gt;B136)),N(E136),0)</f>
        <v/>
      </c>
    </row>
    <row r="137">
      <c r="A137" s="9" t="n"/>
      <c r="B137" s="6" t="n"/>
      <c r="C137" s="6" t="n"/>
      <c r="D137" s="6" t="n"/>
      <c r="E137" s="7" t="n"/>
      <c r="F137" s="6" t="n"/>
      <c r="G137" s="11">
        <f>IF(AND(B137&lt;&gt;"",F137&lt;&gt;"",OR(Settings!$B$10="No",F137&lt;&gt;B137)),N(E137),0)</f>
        <v/>
      </c>
    </row>
    <row r="138">
      <c r="A138" s="9" t="n"/>
      <c r="B138" s="6" t="n"/>
      <c r="C138" s="6" t="n"/>
      <c r="D138" s="6" t="n"/>
      <c r="E138" s="7" t="n"/>
      <c r="F138" s="6" t="n"/>
      <c r="G138" s="11">
        <f>IF(AND(B138&lt;&gt;"",F138&lt;&gt;"",OR(Settings!$B$10="No",F138&lt;&gt;B138)),N(E138),0)</f>
        <v/>
      </c>
    </row>
    <row r="139">
      <c r="A139" s="9" t="n"/>
      <c r="B139" s="6" t="n"/>
      <c r="C139" s="6" t="n"/>
      <c r="D139" s="6" t="n"/>
      <c r="E139" s="7" t="n"/>
      <c r="F139" s="6" t="n"/>
      <c r="G139" s="11">
        <f>IF(AND(B139&lt;&gt;"",F139&lt;&gt;"",OR(Settings!$B$10="No",F139&lt;&gt;B139)),N(E139),0)</f>
        <v/>
      </c>
    </row>
    <row r="140">
      <c r="A140" s="9" t="n"/>
      <c r="B140" s="6" t="n"/>
      <c r="C140" s="6" t="n"/>
      <c r="D140" s="6" t="n"/>
      <c r="E140" s="7" t="n"/>
      <c r="F140" s="6" t="n"/>
      <c r="G140" s="11">
        <f>IF(AND(B140&lt;&gt;"",F140&lt;&gt;"",OR(Settings!$B$10="No",F140&lt;&gt;B140)),N(E140),0)</f>
        <v/>
      </c>
    </row>
    <row r="141">
      <c r="A141" s="9" t="n"/>
      <c r="B141" s="6" t="n"/>
      <c r="C141" s="6" t="n"/>
      <c r="D141" s="6" t="n"/>
      <c r="E141" s="7" t="n"/>
      <c r="F141" s="6" t="n"/>
      <c r="G141" s="11">
        <f>IF(AND(B141&lt;&gt;"",F141&lt;&gt;"",OR(Settings!$B$10="No",F141&lt;&gt;B141)),N(E141),0)</f>
        <v/>
      </c>
    </row>
    <row r="142">
      <c r="A142" s="9" t="n"/>
      <c r="B142" s="6" t="n"/>
      <c r="C142" s="6" t="n"/>
      <c r="D142" s="6" t="n"/>
      <c r="E142" s="7" t="n"/>
      <c r="F142" s="6" t="n"/>
      <c r="G142" s="11">
        <f>IF(AND(B142&lt;&gt;"",F142&lt;&gt;"",OR(Settings!$B$10="No",F142&lt;&gt;B142)),N(E142),0)</f>
        <v/>
      </c>
    </row>
    <row r="143">
      <c r="A143" s="9" t="n"/>
      <c r="B143" s="6" t="n"/>
      <c r="C143" s="6" t="n"/>
      <c r="D143" s="6" t="n"/>
      <c r="E143" s="7" t="n"/>
      <c r="F143" s="6" t="n"/>
      <c r="G143" s="11">
        <f>IF(AND(B143&lt;&gt;"",F143&lt;&gt;"",OR(Settings!$B$10="No",F143&lt;&gt;B143)),N(E143),0)</f>
        <v/>
      </c>
    </row>
    <row r="144">
      <c r="A144" s="9" t="n"/>
      <c r="B144" s="6" t="n"/>
      <c r="C144" s="6" t="n"/>
      <c r="D144" s="6" t="n"/>
      <c r="E144" s="7" t="n"/>
      <c r="F144" s="6" t="n"/>
      <c r="G144" s="11">
        <f>IF(AND(B144&lt;&gt;"",F144&lt;&gt;"",OR(Settings!$B$10="No",F144&lt;&gt;B144)),N(E144),0)</f>
        <v/>
      </c>
    </row>
    <row r="145">
      <c r="A145" s="9" t="n"/>
      <c r="B145" s="6" t="n"/>
      <c r="C145" s="6" t="n"/>
      <c r="D145" s="6" t="n"/>
      <c r="E145" s="7" t="n"/>
      <c r="F145" s="6" t="n"/>
      <c r="G145" s="11">
        <f>IF(AND(B145&lt;&gt;"",F145&lt;&gt;"",OR(Settings!$B$10="No",F145&lt;&gt;B145)),N(E145),0)</f>
        <v/>
      </c>
    </row>
    <row r="146">
      <c r="A146" s="9" t="n"/>
      <c r="B146" s="6" t="n"/>
      <c r="C146" s="6" t="n"/>
      <c r="D146" s="6" t="n"/>
      <c r="E146" s="7" t="n"/>
      <c r="F146" s="6" t="n"/>
      <c r="G146" s="11">
        <f>IF(AND(B146&lt;&gt;"",F146&lt;&gt;"",OR(Settings!$B$10="No",F146&lt;&gt;B146)),N(E146),0)</f>
        <v/>
      </c>
    </row>
    <row r="147">
      <c r="A147" s="9" t="n"/>
      <c r="B147" s="6" t="n"/>
      <c r="C147" s="6" t="n"/>
      <c r="D147" s="6" t="n"/>
      <c r="E147" s="7" t="n"/>
      <c r="F147" s="6" t="n"/>
      <c r="G147" s="11">
        <f>IF(AND(B147&lt;&gt;"",F147&lt;&gt;"",OR(Settings!$B$10="No",F147&lt;&gt;B147)),N(E147),0)</f>
        <v/>
      </c>
    </row>
    <row r="148">
      <c r="A148" s="9" t="n"/>
      <c r="B148" s="6" t="n"/>
      <c r="C148" s="6" t="n"/>
      <c r="D148" s="6" t="n"/>
      <c r="E148" s="7" t="n"/>
      <c r="F148" s="6" t="n"/>
      <c r="G148" s="11">
        <f>IF(AND(B148&lt;&gt;"",F148&lt;&gt;"",OR(Settings!$B$10="No",F148&lt;&gt;B148)),N(E148),0)</f>
        <v/>
      </c>
    </row>
    <row r="149">
      <c r="A149" s="9" t="n"/>
      <c r="B149" s="6" t="n"/>
      <c r="C149" s="6" t="n"/>
      <c r="D149" s="6" t="n"/>
      <c r="E149" s="7" t="n"/>
      <c r="F149" s="6" t="n"/>
      <c r="G149" s="11">
        <f>IF(AND(B149&lt;&gt;"",F149&lt;&gt;"",OR(Settings!$B$10="No",F149&lt;&gt;B149)),N(E149),0)</f>
        <v/>
      </c>
    </row>
    <row r="150">
      <c r="A150" s="9" t="n"/>
      <c r="B150" s="6" t="n"/>
      <c r="C150" s="6" t="n"/>
      <c r="D150" s="6" t="n"/>
      <c r="E150" s="7" t="n"/>
      <c r="F150" s="6" t="n"/>
      <c r="G150" s="11">
        <f>IF(AND(B150&lt;&gt;"",F150&lt;&gt;"",OR(Settings!$B$10="No",F150&lt;&gt;B150)),N(E150),0)</f>
        <v/>
      </c>
    </row>
    <row r="151">
      <c r="A151" s="9" t="n"/>
      <c r="B151" s="6" t="n"/>
      <c r="C151" s="6" t="n"/>
      <c r="D151" s="6" t="n"/>
      <c r="E151" s="7" t="n"/>
      <c r="F151" s="6" t="n"/>
      <c r="G151" s="11">
        <f>IF(AND(B151&lt;&gt;"",F151&lt;&gt;"",OR(Settings!$B$10="No",F151&lt;&gt;B151)),N(E151),0)</f>
        <v/>
      </c>
    </row>
    <row r="152">
      <c r="A152" s="9" t="n"/>
      <c r="B152" s="6" t="n"/>
      <c r="C152" s="6" t="n"/>
      <c r="D152" s="6" t="n"/>
      <c r="E152" s="7" t="n"/>
      <c r="F152" s="6" t="n"/>
      <c r="G152" s="11">
        <f>IF(AND(B152&lt;&gt;"",F152&lt;&gt;"",OR(Settings!$B$10="No",F152&lt;&gt;B152)),N(E152),0)</f>
        <v/>
      </c>
    </row>
    <row r="153">
      <c r="A153" s="9" t="n"/>
      <c r="B153" s="6" t="n"/>
      <c r="C153" s="6" t="n"/>
      <c r="D153" s="6" t="n"/>
      <c r="E153" s="7" t="n"/>
      <c r="F153" s="6" t="n"/>
      <c r="G153" s="11">
        <f>IF(AND(B153&lt;&gt;"",F153&lt;&gt;"",OR(Settings!$B$10="No",F153&lt;&gt;B153)),N(E153),0)</f>
        <v/>
      </c>
    </row>
    <row r="154">
      <c r="A154" s="9" t="n"/>
      <c r="B154" s="6" t="n"/>
      <c r="C154" s="6" t="n"/>
      <c r="D154" s="6" t="n"/>
      <c r="E154" s="7" t="n"/>
      <c r="F154" s="6" t="n"/>
      <c r="G154" s="11">
        <f>IF(AND(B154&lt;&gt;"",F154&lt;&gt;"",OR(Settings!$B$10="No",F154&lt;&gt;B154)),N(E154),0)</f>
        <v/>
      </c>
    </row>
    <row r="155">
      <c r="A155" s="9" t="n"/>
      <c r="B155" s="6" t="n"/>
      <c r="C155" s="6" t="n"/>
      <c r="D155" s="6" t="n"/>
      <c r="E155" s="7" t="n"/>
      <c r="F155" s="6" t="n"/>
      <c r="G155" s="11">
        <f>IF(AND(B155&lt;&gt;"",F155&lt;&gt;"",OR(Settings!$B$10="No",F155&lt;&gt;B155)),N(E155),0)</f>
        <v/>
      </c>
    </row>
    <row r="156">
      <c r="A156" s="9" t="n"/>
      <c r="B156" s="6" t="n"/>
      <c r="C156" s="6" t="n"/>
      <c r="D156" s="6" t="n"/>
      <c r="E156" s="7" t="n"/>
      <c r="F156" s="6" t="n"/>
      <c r="G156" s="11">
        <f>IF(AND(B156&lt;&gt;"",F156&lt;&gt;"",OR(Settings!$B$10="No",F156&lt;&gt;B156)),N(E156),0)</f>
        <v/>
      </c>
    </row>
    <row r="157">
      <c r="A157" s="9" t="n"/>
      <c r="B157" s="6" t="n"/>
      <c r="C157" s="6" t="n"/>
      <c r="D157" s="6" t="n"/>
      <c r="E157" s="7" t="n"/>
      <c r="F157" s="6" t="n"/>
      <c r="G157" s="11">
        <f>IF(AND(B157&lt;&gt;"",F157&lt;&gt;"",OR(Settings!$B$10="No",F157&lt;&gt;B157)),N(E157),0)</f>
        <v/>
      </c>
    </row>
    <row r="158">
      <c r="A158" s="9" t="n"/>
      <c r="B158" s="6" t="n"/>
      <c r="C158" s="6" t="n"/>
      <c r="D158" s="6" t="n"/>
      <c r="E158" s="7" t="n"/>
      <c r="F158" s="6" t="n"/>
      <c r="G158" s="11">
        <f>IF(AND(B158&lt;&gt;"",F158&lt;&gt;"",OR(Settings!$B$10="No",F158&lt;&gt;B158)),N(E158),0)</f>
        <v/>
      </c>
    </row>
    <row r="159">
      <c r="A159" s="9" t="n"/>
      <c r="B159" s="6" t="n"/>
      <c r="C159" s="6" t="n"/>
      <c r="D159" s="6" t="n"/>
      <c r="E159" s="7" t="n"/>
      <c r="F159" s="6" t="n"/>
      <c r="G159" s="11">
        <f>IF(AND(B159&lt;&gt;"",F159&lt;&gt;"",OR(Settings!$B$10="No",F159&lt;&gt;B159)),N(E159),0)</f>
        <v/>
      </c>
    </row>
    <row r="160">
      <c r="A160" s="9" t="n"/>
      <c r="B160" s="6" t="n"/>
      <c r="C160" s="6" t="n"/>
      <c r="D160" s="6" t="n"/>
      <c r="E160" s="7" t="n"/>
      <c r="F160" s="6" t="n"/>
      <c r="G160" s="11">
        <f>IF(AND(B160&lt;&gt;"",F160&lt;&gt;"",OR(Settings!$B$10="No",F160&lt;&gt;B160)),N(E160),0)</f>
        <v/>
      </c>
    </row>
    <row r="161">
      <c r="A161" s="9" t="n"/>
      <c r="B161" s="6" t="n"/>
      <c r="C161" s="6" t="n"/>
      <c r="D161" s="6" t="n"/>
      <c r="E161" s="7" t="n"/>
      <c r="F161" s="6" t="n"/>
      <c r="G161" s="11">
        <f>IF(AND(B161&lt;&gt;"",F161&lt;&gt;"",OR(Settings!$B$10="No",F161&lt;&gt;B161)),N(E161),0)</f>
        <v/>
      </c>
    </row>
    <row r="162">
      <c r="A162" s="9" t="n"/>
      <c r="B162" s="6" t="n"/>
      <c r="C162" s="6" t="n"/>
      <c r="D162" s="6" t="n"/>
      <c r="E162" s="7" t="n"/>
      <c r="F162" s="6" t="n"/>
      <c r="G162" s="11">
        <f>IF(AND(B162&lt;&gt;"",F162&lt;&gt;"",OR(Settings!$B$10="No",F162&lt;&gt;B162)),N(E162),0)</f>
        <v/>
      </c>
    </row>
    <row r="163">
      <c r="A163" s="9" t="n"/>
      <c r="B163" s="6" t="n"/>
      <c r="C163" s="6" t="n"/>
      <c r="D163" s="6" t="n"/>
      <c r="E163" s="7" t="n"/>
      <c r="F163" s="6" t="n"/>
      <c r="G163" s="11">
        <f>IF(AND(B163&lt;&gt;"",F163&lt;&gt;"",OR(Settings!$B$10="No",F163&lt;&gt;B163)),N(E163),0)</f>
        <v/>
      </c>
    </row>
    <row r="164">
      <c r="A164" s="9" t="n"/>
      <c r="B164" s="6" t="n"/>
      <c r="C164" s="6" t="n"/>
      <c r="D164" s="6" t="n"/>
      <c r="E164" s="7" t="n"/>
      <c r="F164" s="6" t="n"/>
      <c r="G164" s="11">
        <f>IF(AND(B164&lt;&gt;"",F164&lt;&gt;"",OR(Settings!$B$10="No",F164&lt;&gt;B164)),N(E164),0)</f>
        <v/>
      </c>
    </row>
    <row r="165">
      <c r="A165" s="9" t="n"/>
      <c r="B165" s="6" t="n"/>
      <c r="C165" s="6" t="n"/>
      <c r="D165" s="6" t="n"/>
      <c r="E165" s="7" t="n"/>
      <c r="F165" s="6" t="n"/>
      <c r="G165" s="11">
        <f>IF(AND(B165&lt;&gt;"",F165&lt;&gt;"",OR(Settings!$B$10="No",F165&lt;&gt;B165)),N(E165),0)</f>
        <v/>
      </c>
    </row>
    <row r="166">
      <c r="A166" s="9" t="n"/>
      <c r="B166" s="6" t="n"/>
      <c r="C166" s="6" t="n"/>
      <c r="D166" s="6" t="n"/>
      <c r="E166" s="7" t="n"/>
      <c r="F166" s="6" t="n"/>
      <c r="G166" s="11">
        <f>IF(AND(B166&lt;&gt;"",F166&lt;&gt;"",OR(Settings!$B$10="No",F166&lt;&gt;B166)),N(E166),0)</f>
        <v/>
      </c>
    </row>
    <row r="167">
      <c r="A167" s="9" t="n"/>
      <c r="B167" s="6" t="n"/>
      <c r="C167" s="6" t="n"/>
      <c r="D167" s="6" t="n"/>
      <c r="E167" s="7" t="n"/>
      <c r="F167" s="6" t="n"/>
      <c r="G167" s="11">
        <f>IF(AND(B167&lt;&gt;"",F167&lt;&gt;"",OR(Settings!$B$10="No",F167&lt;&gt;B167)),N(E167),0)</f>
        <v/>
      </c>
    </row>
    <row r="168">
      <c r="A168" s="9" t="n"/>
      <c r="B168" s="6" t="n"/>
      <c r="C168" s="6" t="n"/>
      <c r="D168" s="6" t="n"/>
      <c r="E168" s="7" t="n"/>
      <c r="F168" s="6" t="n"/>
      <c r="G168" s="11">
        <f>IF(AND(B168&lt;&gt;"",F168&lt;&gt;"",OR(Settings!$B$10="No",F168&lt;&gt;B168)),N(E168),0)</f>
        <v/>
      </c>
    </row>
    <row r="169">
      <c r="A169" s="9" t="n"/>
      <c r="B169" s="6" t="n"/>
      <c r="C169" s="6" t="n"/>
      <c r="D169" s="6" t="n"/>
      <c r="E169" s="7" t="n"/>
      <c r="F169" s="6" t="n"/>
      <c r="G169" s="11">
        <f>IF(AND(B169&lt;&gt;"",F169&lt;&gt;"",OR(Settings!$B$10="No",F169&lt;&gt;B169)),N(E169),0)</f>
        <v/>
      </c>
    </row>
    <row r="170">
      <c r="A170" s="9" t="n"/>
      <c r="B170" s="6" t="n"/>
      <c r="C170" s="6" t="n"/>
      <c r="D170" s="6" t="n"/>
      <c r="E170" s="7" t="n"/>
      <c r="F170" s="6" t="n"/>
      <c r="G170" s="11">
        <f>IF(AND(B170&lt;&gt;"",F170&lt;&gt;"",OR(Settings!$B$10="No",F170&lt;&gt;B170)),N(E170),0)</f>
        <v/>
      </c>
    </row>
    <row r="171">
      <c r="A171" s="9" t="n"/>
      <c r="B171" s="6" t="n"/>
      <c r="C171" s="6" t="n"/>
      <c r="D171" s="6" t="n"/>
      <c r="E171" s="7" t="n"/>
      <c r="F171" s="6" t="n"/>
      <c r="G171" s="11">
        <f>IF(AND(B171&lt;&gt;"",F171&lt;&gt;"",OR(Settings!$B$10="No",F171&lt;&gt;B171)),N(E171),0)</f>
        <v/>
      </c>
    </row>
    <row r="172">
      <c r="A172" s="9" t="n"/>
      <c r="B172" s="6" t="n"/>
      <c r="C172" s="6" t="n"/>
      <c r="D172" s="6" t="n"/>
      <c r="E172" s="7" t="n"/>
      <c r="F172" s="6" t="n"/>
      <c r="G172" s="11">
        <f>IF(AND(B172&lt;&gt;"",F172&lt;&gt;"",OR(Settings!$B$10="No",F172&lt;&gt;B172)),N(E172),0)</f>
        <v/>
      </c>
    </row>
    <row r="173">
      <c r="A173" s="9" t="n"/>
      <c r="B173" s="6" t="n"/>
      <c r="C173" s="6" t="n"/>
      <c r="D173" s="6" t="n"/>
      <c r="E173" s="7" t="n"/>
      <c r="F173" s="6" t="n"/>
      <c r="G173" s="11">
        <f>IF(AND(B173&lt;&gt;"",F173&lt;&gt;"",OR(Settings!$B$10="No",F173&lt;&gt;B173)),N(E173),0)</f>
        <v/>
      </c>
    </row>
    <row r="174">
      <c r="A174" s="9" t="n"/>
      <c r="B174" s="6" t="n"/>
      <c r="C174" s="6" t="n"/>
      <c r="D174" s="6" t="n"/>
      <c r="E174" s="7" t="n"/>
      <c r="F174" s="6" t="n"/>
      <c r="G174" s="11">
        <f>IF(AND(B174&lt;&gt;"",F174&lt;&gt;"",OR(Settings!$B$10="No",F174&lt;&gt;B174)),N(E174),0)</f>
        <v/>
      </c>
    </row>
    <row r="175">
      <c r="A175" s="9" t="n"/>
      <c r="B175" s="6" t="n"/>
      <c r="C175" s="6" t="n"/>
      <c r="D175" s="6" t="n"/>
      <c r="E175" s="7" t="n"/>
      <c r="F175" s="6" t="n"/>
      <c r="G175" s="11">
        <f>IF(AND(B175&lt;&gt;"",F175&lt;&gt;"",OR(Settings!$B$10="No",F175&lt;&gt;B175)),N(E175),0)</f>
        <v/>
      </c>
    </row>
    <row r="176">
      <c r="A176" s="9" t="n"/>
      <c r="B176" s="6" t="n"/>
      <c r="C176" s="6" t="n"/>
      <c r="D176" s="6" t="n"/>
      <c r="E176" s="7" t="n"/>
      <c r="F176" s="6" t="n"/>
      <c r="G176" s="11">
        <f>IF(AND(B176&lt;&gt;"",F176&lt;&gt;"",OR(Settings!$B$10="No",F176&lt;&gt;B176)),N(E176),0)</f>
        <v/>
      </c>
    </row>
    <row r="177">
      <c r="A177" s="9" t="n"/>
      <c r="B177" s="6" t="n"/>
      <c r="C177" s="6" t="n"/>
      <c r="D177" s="6" t="n"/>
      <c r="E177" s="7" t="n"/>
      <c r="F177" s="6" t="n"/>
      <c r="G177" s="11">
        <f>IF(AND(B177&lt;&gt;"",F177&lt;&gt;"",OR(Settings!$B$10="No",F177&lt;&gt;B177)),N(E177),0)</f>
        <v/>
      </c>
    </row>
    <row r="178">
      <c r="A178" s="9" t="n"/>
      <c r="B178" s="6" t="n"/>
      <c r="C178" s="6" t="n"/>
      <c r="D178" s="6" t="n"/>
      <c r="E178" s="7" t="n"/>
      <c r="F178" s="6" t="n"/>
      <c r="G178" s="11">
        <f>IF(AND(B178&lt;&gt;"",F178&lt;&gt;"",OR(Settings!$B$10="No",F178&lt;&gt;B178)),N(E178),0)</f>
        <v/>
      </c>
    </row>
    <row r="179">
      <c r="A179" s="9" t="n"/>
      <c r="B179" s="6" t="n"/>
      <c r="C179" s="6" t="n"/>
      <c r="D179" s="6" t="n"/>
      <c r="E179" s="7" t="n"/>
      <c r="F179" s="6" t="n"/>
      <c r="G179" s="11">
        <f>IF(AND(B179&lt;&gt;"",F179&lt;&gt;"",OR(Settings!$B$10="No",F179&lt;&gt;B179)),N(E179),0)</f>
        <v/>
      </c>
    </row>
    <row r="180">
      <c r="A180" s="9" t="n"/>
      <c r="B180" s="6" t="n"/>
      <c r="C180" s="6" t="n"/>
      <c r="D180" s="6" t="n"/>
      <c r="E180" s="7" t="n"/>
      <c r="F180" s="6" t="n"/>
      <c r="G180" s="11">
        <f>IF(AND(B180&lt;&gt;"",F180&lt;&gt;"",OR(Settings!$B$10="No",F180&lt;&gt;B180)),N(E180),0)</f>
        <v/>
      </c>
    </row>
    <row r="181">
      <c r="A181" s="9" t="n"/>
      <c r="B181" s="6" t="n"/>
      <c r="C181" s="6" t="n"/>
      <c r="D181" s="6" t="n"/>
      <c r="E181" s="7" t="n"/>
      <c r="F181" s="6" t="n"/>
      <c r="G181" s="11">
        <f>IF(AND(B181&lt;&gt;"",F181&lt;&gt;"",OR(Settings!$B$10="No",F181&lt;&gt;B181)),N(E181),0)</f>
        <v/>
      </c>
    </row>
    <row r="182">
      <c r="A182" s="9" t="n"/>
      <c r="B182" s="6" t="n"/>
      <c r="C182" s="6" t="n"/>
      <c r="D182" s="6" t="n"/>
      <c r="E182" s="7" t="n"/>
      <c r="F182" s="6" t="n"/>
      <c r="G182" s="11">
        <f>IF(AND(B182&lt;&gt;"",F182&lt;&gt;"",OR(Settings!$B$10="No",F182&lt;&gt;B182)),N(E182),0)</f>
        <v/>
      </c>
    </row>
    <row r="183">
      <c r="A183" s="9" t="n"/>
      <c r="B183" s="6" t="n"/>
      <c r="C183" s="6" t="n"/>
      <c r="D183" s="6" t="n"/>
      <c r="E183" s="7" t="n"/>
      <c r="F183" s="6" t="n"/>
      <c r="G183" s="11">
        <f>IF(AND(B183&lt;&gt;"",F183&lt;&gt;"",OR(Settings!$B$10="No",F183&lt;&gt;B183)),N(E183),0)</f>
        <v/>
      </c>
    </row>
    <row r="184">
      <c r="A184" s="9" t="n"/>
      <c r="B184" s="6" t="n"/>
      <c r="C184" s="6" t="n"/>
      <c r="D184" s="6" t="n"/>
      <c r="E184" s="7" t="n"/>
      <c r="F184" s="6" t="n"/>
      <c r="G184" s="11">
        <f>IF(AND(B184&lt;&gt;"",F184&lt;&gt;"",OR(Settings!$B$10="No",F184&lt;&gt;B184)),N(E184),0)</f>
        <v/>
      </c>
    </row>
    <row r="185">
      <c r="A185" s="9" t="n"/>
      <c r="B185" s="6" t="n"/>
      <c r="C185" s="6" t="n"/>
      <c r="D185" s="6" t="n"/>
      <c r="E185" s="7" t="n"/>
      <c r="F185" s="6" t="n"/>
      <c r="G185" s="11">
        <f>IF(AND(B185&lt;&gt;"",F185&lt;&gt;"",OR(Settings!$B$10="No",F185&lt;&gt;B185)),N(E185),0)</f>
        <v/>
      </c>
    </row>
    <row r="186">
      <c r="A186" s="9" t="n"/>
      <c r="B186" s="6" t="n"/>
      <c r="C186" s="6" t="n"/>
      <c r="D186" s="6" t="n"/>
      <c r="E186" s="7" t="n"/>
      <c r="F186" s="6" t="n"/>
      <c r="G186" s="11">
        <f>IF(AND(B186&lt;&gt;"",F186&lt;&gt;"",OR(Settings!$B$10="No",F186&lt;&gt;B186)),N(E186),0)</f>
        <v/>
      </c>
    </row>
    <row r="187">
      <c r="A187" s="9" t="n"/>
      <c r="B187" s="6" t="n"/>
      <c r="C187" s="6" t="n"/>
      <c r="D187" s="6" t="n"/>
      <c r="E187" s="7" t="n"/>
      <c r="F187" s="6" t="n"/>
      <c r="G187" s="11">
        <f>IF(AND(B187&lt;&gt;"",F187&lt;&gt;"",OR(Settings!$B$10="No",F187&lt;&gt;B187)),N(E187),0)</f>
        <v/>
      </c>
    </row>
    <row r="188">
      <c r="A188" s="9" t="n"/>
      <c r="B188" s="6" t="n"/>
      <c r="C188" s="6" t="n"/>
      <c r="D188" s="6" t="n"/>
      <c r="E188" s="7" t="n"/>
      <c r="F188" s="6" t="n"/>
      <c r="G188" s="11">
        <f>IF(AND(B188&lt;&gt;"",F188&lt;&gt;"",OR(Settings!$B$10="No",F188&lt;&gt;B188)),N(E188),0)</f>
        <v/>
      </c>
    </row>
    <row r="189">
      <c r="A189" s="9" t="n"/>
      <c r="B189" s="6" t="n"/>
      <c r="C189" s="6" t="n"/>
      <c r="D189" s="6" t="n"/>
      <c r="E189" s="7" t="n"/>
      <c r="F189" s="6" t="n"/>
      <c r="G189" s="11">
        <f>IF(AND(B189&lt;&gt;"",F189&lt;&gt;"",OR(Settings!$B$10="No",F189&lt;&gt;B189)),N(E189),0)</f>
        <v/>
      </c>
    </row>
    <row r="190">
      <c r="A190" s="9" t="n"/>
      <c r="B190" s="6" t="n"/>
      <c r="C190" s="6" t="n"/>
      <c r="D190" s="6" t="n"/>
      <c r="E190" s="7" t="n"/>
      <c r="F190" s="6" t="n"/>
      <c r="G190" s="11">
        <f>IF(AND(B190&lt;&gt;"",F190&lt;&gt;"",OR(Settings!$B$10="No",F190&lt;&gt;B190)),N(E190),0)</f>
        <v/>
      </c>
    </row>
    <row r="191">
      <c r="A191" s="9" t="n"/>
      <c r="B191" s="6" t="n"/>
      <c r="C191" s="6" t="n"/>
      <c r="D191" s="6" t="n"/>
      <c r="E191" s="7" t="n"/>
      <c r="F191" s="6" t="n"/>
      <c r="G191" s="11">
        <f>IF(AND(B191&lt;&gt;"",F191&lt;&gt;"",OR(Settings!$B$10="No",F191&lt;&gt;B191)),N(E191),0)</f>
        <v/>
      </c>
    </row>
    <row r="192">
      <c r="A192" s="9" t="n"/>
      <c r="B192" s="6" t="n"/>
      <c r="C192" s="6" t="n"/>
      <c r="D192" s="6" t="n"/>
      <c r="E192" s="7" t="n"/>
      <c r="F192" s="6" t="n"/>
      <c r="G192" s="11">
        <f>IF(AND(B192&lt;&gt;"",F192&lt;&gt;"",OR(Settings!$B$10="No",F192&lt;&gt;B192)),N(E192),0)</f>
        <v/>
      </c>
    </row>
    <row r="193">
      <c r="A193" s="9" t="n"/>
      <c r="B193" s="6" t="n"/>
      <c r="C193" s="6" t="n"/>
      <c r="D193" s="6" t="n"/>
      <c r="E193" s="7" t="n"/>
      <c r="F193" s="6" t="n"/>
      <c r="G193" s="11">
        <f>IF(AND(B193&lt;&gt;"",F193&lt;&gt;"",OR(Settings!$B$10="No",F193&lt;&gt;B193)),N(E193),0)</f>
        <v/>
      </c>
    </row>
    <row r="194">
      <c r="A194" s="9" t="n"/>
      <c r="B194" s="6" t="n"/>
      <c r="C194" s="6" t="n"/>
      <c r="D194" s="6" t="n"/>
      <c r="E194" s="7" t="n"/>
      <c r="F194" s="6" t="n"/>
      <c r="G194" s="11">
        <f>IF(AND(B194&lt;&gt;"",F194&lt;&gt;"",OR(Settings!$B$10="No",F194&lt;&gt;B194)),N(E194),0)</f>
        <v/>
      </c>
    </row>
    <row r="195">
      <c r="A195" s="9" t="n"/>
      <c r="B195" s="6" t="n"/>
      <c r="C195" s="6" t="n"/>
      <c r="D195" s="6" t="n"/>
      <c r="E195" s="7" t="n"/>
      <c r="F195" s="6" t="n"/>
      <c r="G195" s="11">
        <f>IF(AND(B195&lt;&gt;"",F195&lt;&gt;"",OR(Settings!$B$10="No",F195&lt;&gt;B195)),N(E195),0)</f>
        <v/>
      </c>
    </row>
    <row r="196">
      <c r="A196" s="9" t="n"/>
      <c r="B196" s="6" t="n"/>
      <c r="C196" s="6" t="n"/>
      <c r="D196" s="6" t="n"/>
      <c r="E196" s="7" t="n"/>
      <c r="F196" s="6" t="n"/>
      <c r="G196" s="11">
        <f>IF(AND(B196&lt;&gt;"",F196&lt;&gt;"",OR(Settings!$B$10="No",F196&lt;&gt;B196)),N(E196),0)</f>
        <v/>
      </c>
    </row>
    <row r="197">
      <c r="A197" s="9" t="n"/>
      <c r="B197" s="6" t="n"/>
      <c r="C197" s="6" t="n"/>
      <c r="D197" s="6" t="n"/>
      <c r="E197" s="7" t="n"/>
      <c r="F197" s="6" t="n"/>
      <c r="G197" s="11">
        <f>IF(AND(B197&lt;&gt;"",F197&lt;&gt;"",OR(Settings!$B$10="No",F197&lt;&gt;B197)),N(E197),0)</f>
        <v/>
      </c>
    </row>
    <row r="198">
      <c r="A198" s="9" t="n"/>
      <c r="B198" s="6" t="n"/>
      <c r="C198" s="6" t="n"/>
      <c r="D198" s="6" t="n"/>
      <c r="E198" s="7" t="n"/>
      <c r="F198" s="6" t="n"/>
      <c r="G198" s="11">
        <f>IF(AND(B198&lt;&gt;"",F198&lt;&gt;"",OR(Settings!$B$10="No",F198&lt;&gt;B198)),N(E198),0)</f>
        <v/>
      </c>
    </row>
    <row r="199">
      <c r="A199" s="9" t="n"/>
      <c r="B199" s="6" t="n"/>
      <c r="C199" s="6" t="n"/>
      <c r="D199" s="6" t="n"/>
      <c r="E199" s="7" t="n"/>
      <c r="F199" s="6" t="n"/>
      <c r="G199" s="11">
        <f>IF(AND(B199&lt;&gt;"",F199&lt;&gt;"",OR(Settings!$B$10="No",F199&lt;&gt;B199)),N(E199),0)</f>
        <v/>
      </c>
    </row>
    <row r="200">
      <c r="A200" s="9" t="n"/>
      <c r="B200" s="6" t="n"/>
      <c r="C200" s="6" t="n"/>
      <c r="D200" s="6" t="n"/>
      <c r="E200" s="7" t="n"/>
      <c r="F200" s="6" t="n"/>
      <c r="G200" s="11">
        <f>IF(AND(B200&lt;&gt;"",F200&lt;&gt;"",OR(Settings!$B$10="No",F200&lt;&gt;B200)),N(E200),0)</f>
        <v/>
      </c>
    </row>
    <row r="201">
      <c r="A201" s="9" t="n"/>
      <c r="B201" s="6" t="n"/>
      <c r="C201" s="6" t="n"/>
      <c r="D201" s="6" t="n"/>
      <c r="E201" s="7" t="n"/>
      <c r="F201" s="6" t="n"/>
      <c r="G201" s="11">
        <f>IF(AND(B201&lt;&gt;"",F201&lt;&gt;"",OR(Settings!$B$10="No",F201&lt;&gt;B201)),N(E201),0)</f>
        <v/>
      </c>
    </row>
    <row r="202">
      <c r="A202" s="9" t="n"/>
      <c r="B202" s="6" t="n"/>
      <c r="C202" s="6" t="n"/>
      <c r="D202" s="6" t="n"/>
      <c r="E202" s="7" t="n"/>
      <c r="F202" s="6" t="n"/>
      <c r="G202" s="11">
        <f>IF(AND(B202&lt;&gt;"",F202&lt;&gt;"",OR(Settings!$B$10="No",F202&lt;&gt;B202)),N(E202),0)</f>
        <v/>
      </c>
    </row>
    <row r="203">
      <c r="A203" s="9" t="n"/>
      <c r="B203" s="6" t="n"/>
      <c r="C203" s="6" t="n"/>
      <c r="D203" s="6" t="n"/>
      <c r="E203" s="7" t="n"/>
      <c r="F203" s="6" t="n"/>
      <c r="G203" s="11">
        <f>IF(AND(B203&lt;&gt;"",F203&lt;&gt;"",OR(Settings!$B$10="No",F203&lt;&gt;B203)),N(E203),0)</f>
        <v/>
      </c>
    </row>
    <row r="204">
      <c r="A204" s="9" t="n"/>
      <c r="B204" s="6" t="n"/>
      <c r="C204" s="6" t="n"/>
      <c r="D204" s="6" t="n"/>
      <c r="E204" s="7" t="n"/>
      <c r="F204" s="6" t="n"/>
      <c r="G204" s="11">
        <f>IF(AND(B204&lt;&gt;"",F204&lt;&gt;"",OR(Settings!$B$10="No",F204&lt;&gt;B204)),N(E204),0)</f>
        <v/>
      </c>
    </row>
    <row r="205">
      <c r="A205" s="9" t="n"/>
      <c r="B205" s="6" t="n"/>
      <c r="C205" s="6" t="n"/>
      <c r="D205" s="6" t="n"/>
      <c r="E205" s="7" t="n"/>
      <c r="F205" s="6" t="n"/>
      <c r="G205" s="11">
        <f>IF(AND(B205&lt;&gt;"",F205&lt;&gt;"",OR(Settings!$B$10="No",F205&lt;&gt;B205)),N(E205),0)</f>
        <v/>
      </c>
    </row>
    <row r="206">
      <c r="A206" s="9" t="n"/>
      <c r="B206" s="6" t="n"/>
      <c r="C206" s="6" t="n"/>
      <c r="D206" s="6" t="n"/>
      <c r="E206" s="7" t="n"/>
      <c r="F206" s="6" t="n"/>
      <c r="G206" s="11">
        <f>IF(AND(B206&lt;&gt;"",F206&lt;&gt;"",OR(Settings!$B$10="No",F206&lt;&gt;B206)),N(E206),0)</f>
        <v/>
      </c>
    </row>
    <row r="207">
      <c r="A207" s="9" t="n"/>
      <c r="B207" s="6" t="n"/>
      <c r="C207" s="6" t="n"/>
      <c r="D207" s="6" t="n"/>
      <c r="E207" s="7" t="n"/>
      <c r="F207" s="6" t="n"/>
      <c r="G207" s="11">
        <f>IF(AND(B207&lt;&gt;"",F207&lt;&gt;"",OR(Settings!$B$10="No",F207&lt;&gt;B207)),N(E207),0)</f>
        <v/>
      </c>
    </row>
    <row r="208">
      <c r="A208" s="9" t="n"/>
      <c r="B208" s="6" t="n"/>
      <c r="C208" s="6" t="n"/>
      <c r="D208" s="6" t="n"/>
      <c r="E208" s="7" t="n"/>
      <c r="F208" s="6" t="n"/>
      <c r="G208" s="11">
        <f>IF(AND(B208&lt;&gt;"",F208&lt;&gt;"",OR(Settings!$B$10="No",F208&lt;&gt;B208)),N(E208),0)</f>
        <v/>
      </c>
    </row>
    <row r="209">
      <c r="A209" s="9" t="n"/>
      <c r="B209" s="6" t="n"/>
      <c r="C209" s="6" t="n"/>
      <c r="D209" s="6" t="n"/>
      <c r="E209" s="7" t="n"/>
      <c r="F209" s="6" t="n"/>
      <c r="G209" s="11">
        <f>IF(AND(B209&lt;&gt;"",F209&lt;&gt;"",OR(Settings!$B$10="No",F209&lt;&gt;B209)),N(E209),0)</f>
        <v/>
      </c>
    </row>
    <row r="210">
      <c r="A210" s="9" t="n"/>
      <c r="B210" s="6" t="n"/>
      <c r="C210" s="6" t="n"/>
      <c r="D210" s="6" t="n"/>
      <c r="E210" s="7" t="n"/>
      <c r="F210" s="6" t="n"/>
      <c r="G210" s="11">
        <f>IF(AND(B210&lt;&gt;"",F210&lt;&gt;"",OR(Settings!$B$10="No",F210&lt;&gt;B210)),N(E210),0)</f>
        <v/>
      </c>
    </row>
    <row r="211">
      <c r="A211" s="9" t="n"/>
      <c r="B211" s="6" t="n"/>
      <c r="C211" s="6" t="n"/>
      <c r="D211" s="6" t="n"/>
      <c r="E211" s="7" t="n"/>
      <c r="F211" s="6" t="n"/>
      <c r="G211" s="11">
        <f>IF(AND(B211&lt;&gt;"",F211&lt;&gt;"",OR(Settings!$B$10="No",F211&lt;&gt;B211)),N(E211),0)</f>
        <v/>
      </c>
    </row>
    <row r="212">
      <c r="A212" s="9" t="n"/>
      <c r="B212" s="6" t="n"/>
      <c r="C212" s="6" t="n"/>
      <c r="D212" s="6" t="n"/>
      <c r="E212" s="7" t="n"/>
      <c r="F212" s="6" t="n"/>
      <c r="G212" s="11">
        <f>IF(AND(B212&lt;&gt;"",F212&lt;&gt;"",OR(Settings!$B$10="No",F212&lt;&gt;B212)),N(E212),0)</f>
        <v/>
      </c>
    </row>
    <row r="213">
      <c r="A213" s="9" t="n"/>
      <c r="B213" s="6" t="n"/>
      <c r="C213" s="6" t="n"/>
      <c r="D213" s="6" t="n"/>
      <c r="E213" s="7" t="n"/>
      <c r="F213" s="6" t="n"/>
      <c r="G213" s="11">
        <f>IF(AND(B213&lt;&gt;"",F213&lt;&gt;"",OR(Settings!$B$10="No",F213&lt;&gt;B213)),N(E213),0)</f>
        <v/>
      </c>
    </row>
    <row r="214">
      <c r="A214" s="9" t="n"/>
      <c r="B214" s="6" t="n"/>
      <c r="C214" s="6" t="n"/>
      <c r="D214" s="6" t="n"/>
      <c r="E214" s="7" t="n"/>
      <c r="F214" s="6" t="n"/>
      <c r="G214" s="11">
        <f>IF(AND(B214&lt;&gt;"",F214&lt;&gt;"",OR(Settings!$B$10="No",F214&lt;&gt;B214)),N(E214),0)</f>
        <v/>
      </c>
    </row>
    <row r="215">
      <c r="A215" s="9" t="n"/>
      <c r="B215" s="6" t="n"/>
      <c r="C215" s="6" t="n"/>
      <c r="D215" s="6" t="n"/>
      <c r="E215" s="7" t="n"/>
      <c r="F215" s="6" t="n"/>
      <c r="G215" s="11">
        <f>IF(AND(B215&lt;&gt;"",F215&lt;&gt;"",OR(Settings!$B$10="No",F215&lt;&gt;B215)),N(E215),0)</f>
        <v/>
      </c>
    </row>
    <row r="216">
      <c r="A216" s="9" t="n"/>
      <c r="B216" s="6" t="n"/>
      <c r="C216" s="6" t="n"/>
      <c r="D216" s="6" t="n"/>
      <c r="E216" s="7" t="n"/>
      <c r="F216" s="6" t="n"/>
      <c r="G216" s="11">
        <f>IF(AND(B216&lt;&gt;"",F216&lt;&gt;"",OR(Settings!$B$10="No",F216&lt;&gt;B216)),N(E216),0)</f>
        <v/>
      </c>
    </row>
    <row r="217">
      <c r="A217" s="9" t="n"/>
      <c r="B217" s="6" t="n"/>
      <c r="C217" s="6" t="n"/>
      <c r="D217" s="6" t="n"/>
      <c r="E217" s="7" t="n"/>
      <c r="F217" s="6" t="n"/>
      <c r="G217" s="11">
        <f>IF(AND(B217&lt;&gt;"",F217&lt;&gt;"",OR(Settings!$B$10="No",F217&lt;&gt;B217)),N(E217),0)</f>
        <v/>
      </c>
    </row>
    <row r="218">
      <c r="A218" s="9" t="n"/>
      <c r="B218" s="6" t="n"/>
      <c r="C218" s="6" t="n"/>
      <c r="D218" s="6" t="n"/>
      <c r="E218" s="7" t="n"/>
      <c r="F218" s="6" t="n"/>
      <c r="G218" s="11">
        <f>IF(AND(B218&lt;&gt;"",F218&lt;&gt;"",OR(Settings!$B$10="No",F218&lt;&gt;B218)),N(E218),0)</f>
        <v/>
      </c>
    </row>
    <row r="219">
      <c r="A219" s="9" t="n"/>
      <c r="B219" s="6" t="n"/>
      <c r="C219" s="6" t="n"/>
      <c r="D219" s="6" t="n"/>
      <c r="E219" s="7" t="n"/>
      <c r="F219" s="6" t="n"/>
      <c r="G219" s="11">
        <f>IF(AND(B219&lt;&gt;"",F219&lt;&gt;"",OR(Settings!$B$10="No",F219&lt;&gt;B219)),N(E219),0)</f>
        <v/>
      </c>
    </row>
    <row r="220">
      <c r="A220" s="9" t="n"/>
      <c r="B220" s="6" t="n"/>
      <c r="C220" s="6" t="n"/>
      <c r="D220" s="6" t="n"/>
      <c r="E220" s="7" t="n"/>
      <c r="F220" s="6" t="n"/>
      <c r="G220" s="11">
        <f>IF(AND(B220&lt;&gt;"",F220&lt;&gt;"",OR(Settings!$B$10="No",F220&lt;&gt;B220)),N(E220),0)</f>
        <v/>
      </c>
    </row>
    <row r="221">
      <c r="A221" s="9" t="n"/>
      <c r="B221" s="6" t="n"/>
      <c r="C221" s="6" t="n"/>
      <c r="D221" s="6" t="n"/>
      <c r="E221" s="7" t="n"/>
      <c r="F221" s="6" t="n"/>
      <c r="G221" s="11">
        <f>IF(AND(B221&lt;&gt;"",F221&lt;&gt;"",OR(Settings!$B$10="No",F221&lt;&gt;B221)),N(E221),0)</f>
        <v/>
      </c>
    </row>
    <row r="222">
      <c r="A222" s="9" t="n"/>
      <c r="B222" s="6" t="n"/>
      <c r="C222" s="6" t="n"/>
      <c r="D222" s="6" t="n"/>
      <c r="E222" s="7" t="n"/>
      <c r="F222" s="6" t="n"/>
      <c r="G222" s="11">
        <f>IF(AND(B222&lt;&gt;"",F222&lt;&gt;"",OR(Settings!$B$10="No",F222&lt;&gt;B222)),N(E222),0)</f>
        <v/>
      </c>
    </row>
    <row r="223">
      <c r="A223" s="9" t="n"/>
      <c r="B223" s="6" t="n"/>
      <c r="C223" s="6" t="n"/>
      <c r="D223" s="6" t="n"/>
      <c r="E223" s="7" t="n"/>
      <c r="F223" s="6" t="n"/>
      <c r="G223" s="11">
        <f>IF(AND(B223&lt;&gt;"",F223&lt;&gt;"",OR(Settings!$B$10="No",F223&lt;&gt;B223)),N(E223),0)</f>
        <v/>
      </c>
    </row>
    <row r="224">
      <c r="A224" s="9" t="n"/>
      <c r="B224" s="6" t="n"/>
      <c r="C224" s="6" t="n"/>
      <c r="D224" s="6" t="n"/>
      <c r="E224" s="7" t="n"/>
      <c r="F224" s="6" t="n"/>
      <c r="G224" s="11">
        <f>IF(AND(B224&lt;&gt;"",F224&lt;&gt;"",OR(Settings!$B$10="No",F224&lt;&gt;B224)),N(E224),0)</f>
        <v/>
      </c>
    </row>
    <row r="225">
      <c r="A225" s="9" t="n"/>
      <c r="B225" s="6" t="n"/>
      <c r="C225" s="6" t="n"/>
      <c r="D225" s="6" t="n"/>
      <c r="E225" s="7" t="n"/>
      <c r="F225" s="6" t="n"/>
      <c r="G225" s="11">
        <f>IF(AND(B225&lt;&gt;"",F225&lt;&gt;"",OR(Settings!$B$10="No",F225&lt;&gt;B225)),N(E225),0)</f>
        <v/>
      </c>
    </row>
    <row r="226">
      <c r="A226" s="9" t="n"/>
      <c r="B226" s="6" t="n"/>
      <c r="C226" s="6" t="n"/>
      <c r="D226" s="6" t="n"/>
      <c r="E226" s="7" t="n"/>
      <c r="F226" s="6" t="n"/>
      <c r="G226" s="11">
        <f>IF(AND(B226&lt;&gt;"",F226&lt;&gt;"",OR(Settings!$B$10="No",F226&lt;&gt;B226)),N(E226),0)</f>
        <v/>
      </c>
    </row>
    <row r="227">
      <c r="A227" s="9" t="n"/>
      <c r="B227" s="6" t="n"/>
      <c r="C227" s="6" t="n"/>
      <c r="D227" s="6" t="n"/>
      <c r="E227" s="7" t="n"/>
      <c r="F227" s="6" t="n"/>
      <c r="G227" s="11">
        <f>IF(AND(B227&lt;&gt;"",F227&lt;&gt;"",OR(Settings!$B$10="No",F227&lt;&gt;B227)),N(E227),0)</f>
        <v/>
      </c>
    </row>
    <row r="228">
      <c r="A228" s="9" t="n"/>
      <c r="B228" s="6" t="n"/>
      <c r="C228" s="6" t="n"/>
      <c r="D228" s="6" t="n"/>
      <c r="E228" s="7" t="n"/>
      <c r="F228" s="6" t="n"/>
      <c r="G228" s="11">
        <f>IF(AND(B228&lt;&gt;"",F228&lt;&gt;"",OR(Settings!$B$10="No",F228&lt;&gt;B228)),N(E228),0)</f>
        <v/>
      </c>
    </row>
    <row r="229">
      <c r="A229" s="9" t="n"/>
      <c r="B229" s="6" t="n"/>
      <c r="C229" s="6" t="n"/>
      <c r="D229" s="6" t="n"/>
      <c r="E229" s="7" t="n"/>
      <c r="F229" s="6" t="n"/>
      <c r="G229" s="11">
        <f>IF(AND(B229&lt;&gt;"",F229&lt;&gt;"",OR(Settings!$B$10="No",F229&lt;&gt;B229)),N(E229),0)</f>
        <v/>
      </c>
    </row>
    <row r="230">
      <c r="A230" s="9" t="n"/>
      <c r="B230" s="6" t="n"/>
      <c r="C230" s="6" t="n"/>
      <c r="D230" s="6" t="n"/>
      <c r="E230" s="7" t="n"/>
      <c r="F230" s="6" t="n"/>
      <c r="G230" s="11">
        <f>IF(AND(B230&lt;&gt;"",F230&lt;&gt;"",OR(Settings!$B$10="No",F230&lt;&gt;B230)),N(E230),0)</f>
        <v/>
      </c>
    </row>
    <row r="231">
      <c r="A231" s="9" t="n"/>
      <c r="B231" s="6" t="n"/>
      <c r="C231" s="6" t="n"/>
      <c r="D231" s="6" t="n"/>
      <c r="E231" s="7" t="n"/>
      <c r="F231" s="6" t="n"/>
      <c r="G231" s="11">
        <f>IF(AND(B231&lt;&gt;"",F231&lt;&gt;"",OR(Settings!$B$10="No",F231&lt;&gt;B231)),N(E231),0)</f>
        <v/>
      </c>
    </row>
    <row r="232">
      <c r="A232" s="9" t="n"/>
      <c r="B232" s="6" t="n"/>
      <c r="C232" s="6" t="n"/>
      <c r="D232" s="6" t="n"/>
      <c r="E232" s="7" t="n"/>
      <c r="F232" s="6" t="n"/>
      <c r="G232" s="11">
        <f>IF(AND(B232&lt;&gt;"",F232&lt;&gt;"",OR(Settings!$B$10="No",F232&lt;&gt;B232)),N(E232),0)</f>
        <v/>
      </c>
    </row>
    <row r="233">
      <c r="A233" s="9" t="n"/>
      <c r="B233" s="6" t="n"/>
      <c r="C233" s="6" t="n"/>
      <c r="D233" s="6" t="n"/>
      <c r="E233" s="7" t="n"/>
      <c r="F233" s="6" t="n"/>
      <c r="G233" s="11">
        <f>IF(AND(B233&lt;&gt;"",F233&lt;&gt;"",OR(Settings!$B$10="No",F233&lt;&gt;B233)),N(E233),0)</f>
        <v/>
      </c>
    </row>
    <row r="234">
      <c r="A234" s="9" t="n"/>
      <c r="B234" s="6" t="n"/>
      <c r="C234" s="6" t="n"/>
      <c r="D234" s="6" t="n"/>
      <c r="E234" s="7" t="n"/>
      <c r="F234" s="6" t="n"/>
      <c r="G234" s="11">
        <f>IF(AND(B234&lt;&gt;"",F234&lt;&gt;"",OR(Settings!$B$10="No",F234&lt;&gt;B234)),N(E234),0)</f>
        <v/>
      </c>
    </row>
    <row r="235">
      <c r="A235" s="9" t="n"/>
      <c r="B235" s="6" t="n"/>
      <c r="C235" s="6" t="n"/>
      <c r="D235" s="6" t="n"/>
      <c r="E235" s="7" t="n"/>
      <c r="F235" s="6" t="n"/>
      <c r="G235" s="11">
        <f>IF(AND(B235&lt;&gt;"",F235&lt;&gt;"",OR(Settings!$B$10="No",F235&lt;&gt;B235)),N(E235),0)</f>
        <v/>
      </c>
    </row>
    <row r="236">
      <c r="A236" s="9" t="n"/>
      <c r="B236" s="6" t="n"/>
      <c r="C236" s="6" t="n"/>
      <c r="D236" s="6" t="n"/>
      <c r="E236" s="7" t="n"/>
      <c r="F236" s="6" t="n"/>
      <c r="G236" s="11">
        <f>IF(AND(B236&lt;&gt;"",F236&lt;&gt;"",OR(Settings!$B$10="No",F236&lt;&gt;B236)),N(E236),0)</f>
        <v/>
      </c>
    </row>
    <row r="237">
      <c r="A237" s="9" t="n"/>
      <c r="B237" s="6" t="n"/>
      <c r="C237" s="6" t="n"/>
      <c r="D237" s="6" t="n"/>
      <c r="E237" s="7" t="n"/>
      <c r="F237" s="6" t="n"/>
      <c r="G237" s="11">
        <f>IF(AND(B237&lt;&gt;"",F237&lt;&gt;"",OR(Settings!$B$10="No",F237&lt;&gt;B237)),N(E237),0)</f>
        <v/>
      </c>
    </row>
    <row r="238">
      <c r="A238" s="9" t="n"/>
      <c r="B238" s="6" t="n"/>
      <c r="C238" s="6" t="n"/>
      <c r="D238" s="6" t="n"/>
      <c r="E238" s="7" t="n"/>
      <c r="F238" s="6" t="n"/>
      <c r="G238" s="11">
        <f>IF(AND(B238&lt;&gt;"",F238&lt;&gt;"",OR(Settings!$B$10="No",F238&lt;&gt;B238)),N(E238),0)</f>
        <v/>
      </c>
    </row>
    <row r="239">
      <c r="A239" s="9" t="n"/>
      <c r="B239" s="6" t="n"/>
      <c r="C239" s="6" t="n"/>
      <c r="D239" s="6" t="n"/>
      <c r="E239" s="7" t="n"/>
      <c r="F239" s="6" t="n"/>
      <c r="G239" s="11">
        <f>IF(AND(B239&lt;&gt;"",F239&lt;&gt;"",OR(Settings!$B$10="No",F239&lt;&gt;B239)),N(E239),0)</f>
        <v/>
      </c>
    </row>
    <row r="240">
      <c r="A240" s="9" t="n"/>
      <c r="B240" s="6" t="n"/>
      <c r="C240" s="6" t="n"/>
      <c r="D240" s="6" t="n"/>
      <c r="E240" s="7" t="n"/>
      <c r="F240" s="6" t="n"/>
      <c r="G240" s="11">
        <f>IF(AND(B240&lt;&gt;"",F240&lt;&gt;"",OR(Settings!$B$10="No",F240&lt;&gt;B240)),N(E240),0)</f>
        <v/>
      </c>
    </row>
    <row r="241">
      <c r="A241" s="9" t="n"/>
      <c r="B241" s="6" t="n"/>
      <c r="C241" s="6" t="n"/>
      <c r="D241" s="6" t="n"/>
      <c r="E241" s="7" t="n"/>
      <c r="F241" s="6" t="n"/>
      <c r="G241" s="11">
        <f>IF(AND(B241&lt;&gt;"",F241&lt;&gt;"",OR(Settings!$B$10="No",F241&lt;&gt;B241)),N(E241),0)</f>
        <v/>
      </c>
    </row>
    <row r="242">
      <c r="A242" s="9" t="n"/>
      <c r="B242" s="6" t="n"/>
      <c r="C242" s="6" t="n"/>
      <c r="D242" s="6" t="n"/>
      <c r="E242" s="7" t="n"/>
      <c r="F242" s="6" t="n"/>
      <c r="G242" s="11">
        <f>IF(AND(B242&lt;&gt;"",F242&lt;&gt;"",OR(Settings!$B$10="No",F242&lt;&gt;B242)),N(E242),0)</f>
        <v/>
      </c>
    </row>
    <row r="243">
      <c r="A243" s="9" t="n"/>
      <c r="B243" s="6" t="n"/>
      <c r="C243" s="6" t="n"/>
      <c r="D243" s="6" t="n"/>
      <c r="E243" s="7" t="n"/>
      <c r="F243" s="6" t="n"/>
      <c r="G243" s="11">
        <f>IF(AND(B243&lt;&gt;"",F243&lt;&gt;"",OR(Settings!$B$10="No",F243&lt;&gt;B243)),N(E243),0)</f>
        <v/>
      </c>
    </row>
    <row r="244">
      <c r="A244" s="9" t="n"/>
      <c r="B244" s="6" t="n"/>
      <c r="C244" s="6" t="n"/>
      <c r="D244" s="6" t="n"/>
      <c r="E244" s="7" t="n"/>
      <c r="F244" s="6" t="n"/>
      <c r="G244" s="11">
        <f>IF(AND(B244&lt;&gt;"",F244&lt;&gt;"",OR(Settings!$B$10="No",F244&lt;&gt;B244)),N(E244),0)</f>
        <v/>
      </c>
    </row>
    <row r="245">
      <c r="A245" s="9" t="n"/>
      <c r="B245" s="6" t="n"/>
      <c r="C245" s="6" t="n"/>
      <c r="D245" s="6" t="n"/>
      <c r="E245" s="7" t="n"/>
      <c r="F245" s="6" t="n"/>
      <c r="G245" s="11">
        <f>IF(AND(B245&lt;&gt;"",F245&lt;&gt;"",OR(Settings!$B$10="No",F245&lt;&gt;B245)),N(E245),0)</f>
        <v/>
      </c>
    </row>
    <row r="246">
      <c r="A246" s="9" t="n"/>
      <c r="B246" s="6" t="n"/>
      <c r="C246" s="6" t="n"/>
      <c r="D246" s="6" t="n"/>
      <c r="E246" s="7" t="n"/>
      <c r="F246" s="6" t="n"/>
      <c r="G246" s="11">
        <f>IF(AND(B246&lt;&gt;"",F246&lt;&gt;"",OR(Settings!$B$10="No",F246&lt;&gt;B246)),N(E246),0)</f>
        <v/>
      </c>
    </row>
    <row r="247">
      <c r="A247" s="9" t="n"/>
      <c r="B247" s="6" t="n"/>
      <c r="C247" s="6" t="n"/>
      <c r="D247" s="6" t="n"/>
      <c r="E247" s="7" t="n"/>
      <c r="F247" s="6" t="n"/>
      <c r="G247" s="11">
        <f>IF(AND(B247&lt;&gt;"",F247&lt;&gt;"",OR(Settings!$B$10="No",F247&lt;&gt;B247)),N(E247),0)</f>
        <v/>
      </c>
    </row>
    <row r="248">
      <c r="A248" s="9" t="n"/>
      <c r="B248" s="6" t="n"/>
      <c r="C248" s="6" t="n"/>
      <c r="D248" s="6" t="n"/>
      <c r="E248" s="7" t="n"/>
      <c r="F248" s="6" t="n"/>
      <c r="G248" s="11">
        <f>IF(AND(B248&lt;&gt;"",F248&lt;&gt;"",OR(Settings!$B$10="No",F248&lt;&gt;B248)),N(E248),0)</f>
        <v/>
      </c>
    </row>
    <row r="249">
      <c r="A249" s="9" t="n"/>
      <c r="B249" s="6" t="n"/>
      <c r="C249" s="6" t="n"/>
      <c r="D249" s="6" t="n"/>
      <c r="E249" s="7" t="n"/>
      <c r="F249" s="6" t="n"/>
      <c r="G249" s="11">
        <f>IF(AND(B249&lt;&gt;"",F249&lt;&gt;"",OR(Settings!$B$10="No",F249&lt;&gt;B249)),N(E249),0)</f>
        <v/>
      </c>
    </row>
    <row r="250">
      <c r="A250" s="9" t="n"/>
      <c r="B250" s="6" t="n"/>
      <c r="C250" s="6" t="n"/>
      <c r="D250" s="6" t="n"/>
      <c r="E250" s="7" t="n"/>
      <c r="F250" s="6" t="n"/>
      <c r="G250" s="11">
        <f>IF(AND(B250&lt;&gt;"",F250&lt;&gt;"",OR(Settings!$B$10="No",F250&lt;&gt;B250)),N(E250),0)</f>
        <v/>
      </c>
    </row>
    <row r="251">
      <c r="A251" s="9" t="n"/>
      <c r="B251" s="6" t="n"/>
      <c r="C251" s="6" t="n"/>
      <c r="D251" s="6" t="n"/>
      <c r="E251" s="7" t="n"/>
      <c r="F251" s="6" t="n"/>
      <c r="G251" s="11">
        <f>IF(AND(B251&lt;&gt;"",F251&lt;&gt;"",OR(Settings!$B$10="No",F251&lt;&gt;B251)),N(E251),0)</f>
        <v/>
      </c>
    </row>
    <row r="252">
      <c r="A252" s="9" t="n"/>
      <c r="B252" s="6" t="n"/>
      <c r="C252" s="6" t="n"/>
      <c r="D252" s="6" t="n"/>
      <c r="E252" s="7" t="n"/>
      <c r="F252" s="6" t="n"/>
      <c r="G252" s="11">
        <f>IF(AND(B252&lt;&gt;"",F252&lt;&gt;"",OR(Settings!$B$10="No",F252&lt;&gt;B252)),N(E252),0)</f>
        <v/>
      </c>
    </row>
    <row r="253">
      <c r="A253" s="9" t="n"/>
      <c r="B253" s="6" t="n"/>
      <c r="C253" s="6" t="n"/>
      <c r="D253" s="6" t="n"/>
      <c r="E253" s="7" t="n"/>
      <c r="F253" s="6" t="n"/>
      <c r="G253" s="11">
        <f>IF(AND(B253&lt;&gt;"",F253&lt;&gt;"",OR(Settings!$B$10="No",F253&lt;&gt;B253)),N(E253),0)</f>
        <v/>
      </c>
    </row>
    <row r="254">
      <c r="A254" s="9" t="n"/>
      <c r="B254" s="6" t="n"/>
      <c r="C254" s="6" t="n"/>
      <c r="D254" s="6" t="n"/>
      <c r="E254" s="7" t="n"/>
      <c r="F254" s="6" t="n"/>
      <c r="G254" s="11">
        <f>IF(AND(B254&lt;&gt;"",F254&lt;&gt;"",OR(Settings!$B$10="No",F254&lt;&gt;B254)),N(E254),0)</f>
        <v/>
      </c>
    </row>
    <row r="255">
      <c r="A255" s="9" t="n"/>
      <c r="B255" s="6" t="n"/>
      <c r="C255" s="6" t="n"/>
      <c r="D255" s="6" t="n"/>
      <c r="E255" s="7" t="n"/>
      <c r="F255" s="6" t="n"/>
      <c r="G255" s="11">
        <f>IF(AND(B255&lt;&gt;"",F255&lt;&gt;"",OR(Settings!$B$10="No",F255&lt;&gt;B255)),N(E255),0)</f>
        <v/>
      </c>
    </row>
    <row r="256">
      <c r="A256" s="9" t="n"/>
      <c r="B256" s="6" t="n"/>
      <c r="C256" s="6" t="n"/>
      <c r="D256" s="6" t="n"/>
      <c r="E256" s="7" t="n"/>
      <c r="F256" s="6" t="n"/>
      <c r="G256" s="11">
        <f>IF(AND(B256&lt;&gt;"",F256&lt;&gt;"",OR(Settings!$B$10="No",F256&lt;&gt;B256)),N(E256),0)</f>
        <v/>
      </c>
    </row>
    <row r="257">
      <c r="A257" s="9" t="n"/>
      <c r="B257" s="6" t="n"/>
      <c r="C257" s="6" t="n"/>
      <c r="D257" s="6" t="n"/>
      <c r="E257" s="7" t="n"/>
      <c r="F257" s="6" t="n"/>
      <c r="G257" s="11">
        <f>IF(AND(B257&lt;&gt;"",F257&lt;&gt;"",OR(Settings!$B$10="No",F257&lt;&gt;B257)),N(E257),0)</f>
        <v/>
      </c>
    </row>
    <row r="258">
      <c r="A258" s="9" t="n"/>
      <c r="B258" s="6" t="n"/>
      <c r="C258" s="6" t="n"/>
      <c r="D258" s="6" t="n"/>
      <c r="E258" s="7" t="n"/>
      <c r="F258" s="6" t="n"/>
      <c r="G258" s="11">
        <f>IF(AND(B258&lt;&gt;"",F258&lt;&gt;"",OR(Settings!$B$10="No",F258&lt;&gt;B258)),N(E258),0)</f>
        <v/>
      </c>
    </row>
    <row r="259">
      <c r="A259" s="9" t="n"/>
      <c r="B259" s="6" t="n"/>
      <c r="C259" s="6" t="n"/>
      <c r="D259" s="6" t="n"/>
      <c r="E259" s="7" t="n"/>
      <c r="F259" s="6" t="n"/>
      <c r="G259" s="11">
        <f>IF(AND(B259&lt;&gt;"",F259&lt;&gt;"",OR(Settings!$B$10="No",F259&lt;&gt;B259)),N(E259),0)</f>
        <v/>
      </c>
    </row>
    <row r="260">
      <c r="A260" s="9" t="n"/>
      <c r="B260" s="6" t="n"/>
      <c r="C260" s="6" t="n"/>
      <c r="D260" s="6" t="n"/>
      <c r="E260" s="7" t="n"/>
      <c r="F260" s="6" t="n"/>
      <c r="G260" s="11">
        <f>IF(AND(B260&lt;&gt;"",F260&lt;&gt;"",OR(Settings!$B$10="No",F260&lt;&gt;B260)),N(E260),0)</f>
        <v/>
      </c>
    </row>
    <row r="261">
      <c r="A261" s="9" t="n"/>
      <c r="B261" s="6" t="n"/>
      <c r="C261" s="6" t="n"/>
      <c r="D261" s="6" t="n"/>
      <c r="E261" s="7" t="n"/>
      <c r="F261" s="6" t="n"/>
      <c r="G261" s="11">
        <f>IF(AND(B261&lt;&gt;"",F261&lt;&gt;"",OR(Settings!$B$10="No",F261&lt;&gt;B261)),N(E261),0)</f>
        <v/>
      </c>
    </row>
    <row r="262">
      <c r="A262" s="9" t="n"/>
      <c r="B262" s="6" t="n"/>
      <c r="C262" s="6" t="n"/>
      <c r="D262" s="6" t="n"/>
      <c r="E262" s="7" t="n"/>
      <c r="F262" s="6" t="n"/>
      <c r="G262" s="11">
        <f>IF(AND(B262&lt;&gt;"",F262&lt;&gt;"",OR(Settings!$B$10="No",F262&lt;&gt;B262)),N(E262),0)</f>
        <v/>
      </c>
    </row>
    <row r="263">
      <c r="A263" s="9" t="n"/>
      <c r="B263" s="6" t="n"/>
      <c r="C263" s="6" t="n"/>
      <c r="D263" s="6" t="n"/>
      <c r="E263" s="7" t="n"/>
      <c r="F263" s="6" t="n"/>
      <c r="G263" s="11">
        <f>IF(AND(B263&lt;&gt;"",F263&lt;&gt;"",OR(Settings!$B$10="No",F263&lt;&gt;B263)),N(E263),0)</f>
        <v/>
      </c>
    </row>
    <row r="264">
      <c r="A264" s="9" t="n"/>
      <c r="B264" s="6" t="n"/>
      <c r="C264" s="6" t="n"/>
      <c r="D264" s="6" t="n"/>
      <c r="E264" s="7" t="n"/>
      <c r="F264" s="6" t="n"/>
      <c r="G264" s="11">
        <f>IF(AND(B264&lt;&gt;"",F264&lt;&gt;"",OR(Settings!$B$10="No",F264&lt;&gt;B264)),N(E264),0)</f>
        <v/>
      </c>
    </row>
    <row r="265">
      <c r="A265" s="9" t="n"/>
      <c r="B265" s="6" t="n"/>
      <c r="C265" s="6" t="n"/>
      <c r="D265" s="6" t="n"/>
      <c r="E265" s="7" t="n"/>
      <c r="F265" s="6" t="n"/>
      <c r="G265" s="11">
        <f>IF(AND(B265&lt;&gt;"",F265&lt;&gt;"",OR(Settings!$B$10="No",F265&lt;&gt;B265)),N(E265),0)</f>
        <v/>
      </c>
    </row>
    <row r="266">
      <c r="A266" s="9" t="n"/>
      <c r="B266" s="6" t="n"/>
      <c r="C266" s="6" t="n"/>
      <c r="D266" s="6" t="n"/>
      <c r="E266" s="7" t="n"/>
      <c r="F266" s="6" t="n"/>
      <c r="G266" s="11">
        <f>IF(AND(B266&lt;&gt;"",F266&lt;&gt;"",OR(Settings!$B$10="No",F266&lt;&gt;B266)),N(E266),0)</f>
        <v/>
      </c>
    </row>
    <row r="267">
      <c r="A267" s="9" t="n"/>
      <c r="B267" s="6" t="n"/>
      <c r="C267" s="6" t="n"/>
      <c r="D267" s="6" t="n"/>
      <c r="E267" s="7" t="n"/>
      <c r="F267" s="6" t="n"/>
      <c r="G267" s="11">
        <f>IF(AND(B267&lt;&gt;"",F267&lt;&gt;"",OR(Settings!$B$10="No",F267&lt;&gt;B267)),N(E267),0)</f>
        <v/>
      </c>
    </row>
    <row r="268">
      <c r="A268" s="9" t="n"/>
      <c r="B268" s="6" t="n"/>
      <c r="C268" s="6" t="n"/>
      <c r="D268" s="6" t="n"/>
      <c r="E268" s="7" t="n"/>
      <c r="F268" s="6" t="n"/>
      <c r="G268" s="11">
        <f>IF(AND(B268&lt;&gt;"",F268&lt;&gt;"",OR(Settings!$B$10="No",F268&lt;&gt;B268)),N(E268),0)</f>
        <v/>
      </c>
    </row>
    <row r="269">
      <c r="A269" s="9" t="n"/>
      <c r="B269" s="6" t="n"/>
      <c r="C269" s="6" t="n"/>
      <c r="D269" s="6" t="n"/>
      <c r="E269" s="7" t="n"/>
      <c r="F269" s="6" t="n"/>
      <c r="G269" s="11">
        <f>IF(AND(B269&lt;&gt;"",F269&lt;&gt;"",OR(Settings!$B$10="No",F269&lt;&gt;B269)),N(E269),0)</f>
        <v/>
      </c>
    </row>
    <row r="270">
      <c r="A270" s="9" t="n"/>
      <c r="B270" s="6" t="n"/>
      <c r="C270" s="6" t="n"/>
      <c r="D270" s="6" t="n"/>
      <c r="E270" s="7" t="n"/>
      <c r="F270" s="6" t="n"/>
      <c r="G270" s="11">
        <f>IF(AND(B270&lt;&gt;"",F270&lt;&gt;"",OR(Settings!$B$10="No",F270&lt;&gt;B270)),N(E270),0)</f>
        <v/>
      </c>
    </row>
    <row r="271">
      <c r="A271" s="9" t="n"/>
      <c r="B271" s="6" t="n"/>
      <c r="C271" s="6" t="n"/>
      <c r="D271" s="6" t="n"/>
      <c r="E271" s="7" t="n"/>
      <c r="F271" s="6" t="n"/>
      <c r="G271" s="11">
        <f>IF(AND(B271&lt;&gt;"",F271&lt;&gt;"",OR(Settings!$B$10="No",F271&lt;&gt;B271)),N(E271),0)</f>
        <v/>
      </c>
    </row>
    <row r="272">
      <c r="A272" s="9" t="n"/>
      <c r="B272" s="6" t="n"/>
      <c r="C272" s="6" t="n"/>
      <c r="D272" s="6" t="n"/>
      <c r="E272" s="7" t="n"/>
      <c r="F272" s="6" t="n"/>
      <c r="G272" s="11">
        <f>IF(AND(B272&lt;&gt;"",F272&lt;&gt;"",OR(Settings!$B$10="No",F272&lt;&gt;B272)),N(E272),0)</f>
        <v/>
      </c>
    </row>
    <row r="273">
      <c r="A273" s="9" t="n"/>
      <c r="B273" s="6" t="n"/>
      <c r="C273" s="6" t="n"/>
      <c r="D273" s="6" t="n"/>
      <c r="E273" s="7" t="n"/>
      <c r="F273" s="6" t="n"/>
      <c r="G273" s="11">
        <f>IF(AND(B273&lt;&gt;"",F273&lt;&gt;"",OR(Settings!$B$10="No",F273&lt;&gt;B273)),N(E273),0)</f>
        <v/>
      </c>
    </row>
    <row r="274">
      <c r="A274" s="9" t="n"/>
      <c r="B274" s="6" t="n"/>
      <c r="C274" s="6" t="n"/>
      <c r="D274" s="6" t="n"/>
      <c r="E274" s="7" t="n"/>
      <c r="F274" s="6" t="n"/>
      <c r="G274" s="11">
        <f>IF(AND(B274&lt;&gt;"",F274&lt;&gt;"",OR(Settings!$B$10="No",F274&lt;&gt;B274)),N(E274),0)</f>
        <v/>
      </c>
    </row>
    <row r="275">
      <c r="A275" s="9" t="n"/>
      <c r="B275" s="6" t="n"/>
      <c r="C275" s="6" t="n"/>
      <c r="D275" s="6" t="n"/>
      <c r="E275" s="7" t="n"/>
      <c r="F275" s="6" t="n"/>
      <c r="G275" s="11">
        <f>IF(AND(B275&lt;&gt;"",F275&lt;&gt;"",OR(Settings!$B$10="No",F275&lt;&gt;B275)),N(E275),0)</f>
        <v/>
      </c>
    </row>
    <row r="276">
      <c r="A276" s="9" t="n"/>
      <c r="B276" s="6" t="n"/>
      <c r="C276" s="6" t="n"/>
      <c r="D276" s="6" t="n"/>
      <c r="E276" s="7" t="n"/>
      <c r="F276" s="6" t="n"/>
      <c r="G276" s="11">
        <f>IF(AND(B276&lt;&gt;"",F276&lt;&gt;"",OR(Settings!$B$10="No",F276&lt;&gt;B276)),N(E276),0)</f>
        <v/>
      </c>
    </row>
    <row r="277">
      <c r="A277" s="9" t="n"/>
      <c r="B277" s="6" t="n"/>
      <c r="C277" s="6" t="n"/>
      <c r="D277" s="6" t="n"/>
      <c r="E277" s="7" t="n"/>
      <c r="F277" s="6" t="n"/>
      <c r="G277" s="11">
        <f>IF(AND(B277&lt;&gt;"",F277&lt;&gt;"",OR(Settings!$B$10="No",F277&lt;&gt;B277)),N(E277),0)</f>
        <v/>
      </c>
    </row>
    <row r="278">
      <c r="A278" s="9" t="n"/>
      <c r="B278" s="6" t="n"/>
      <c r="C278" s="6" t="n"/>
      <c r="D278" s="6" t="n"/>
      <c r="E278" s="7" t="n"/>
      <c r="F278" s="6" t="n"/>
      <c r="G278" s="11">
        <f>IF(AND(B278&lt;&gt;"",F278&lt;&gt;"",OR(Settings!$B$10="No",F278&lt;&gt;B278)),N(E278),0)</f>
        <v/>
      </c>
    </row>
    <row r="279">
      <c r="A279" s="9" t="n"/>
      <c r="B279" s="6" t="n"/>
      <c r="C279" s="6" t="n"/>
      <c r="D279" s="6" t="n"/>
      <c r="E279" s="7" t="n"/>
      <c r="F279" s="6" t="n"/>
      <c r="G279" s="11">
        <f>IF(AND(B279&lt;&gt;"",F279&lt;&gt;"",OR(Settings!$B$10="No",F279&lt;&gt;B279)),N(E279),0)</f>
        <v/>
      </c>
    </row>
    <row r="280">
      <c r="A280" s="9" t="n"/>
      <c r="B280" s="6" t="n"/>
      <c r="C280" s="6" t="n"/>
      <c r="D280" s="6" t="n"/>
      <c r="E280" s="7" t="n"/>
      <c r="F280" s="6" t="n"/>
      <c r="G280" s="11">
        <f>IF(AND(B280&lt;&gt;"",F280&lt;&gt;"",OR(Settings!$B$10="No",F280&lt;&gt;B280)),N(E280),0)</f>
        <v/>
      </c>
    </row>
    <row r="281">
      <c r="A281" s="9" t="n"/>
      <c r="B281" s="6" t="n"/>
      <c r="C281" s="6" t="n"/>
      <c r="D281" s="6" t="n"/>
      <c r="E281" s="7" t="n"/>
      <c r="F281" s="6" t="n"/>
      <c r="G281" s="11">
        <f>IF(AND(B281&lt;&gt;"",F281&lt;&gt;"",OR(Settings!$B$10="No",F281&lt;&gt;B281)),N(E281),0)</f>
        <v/>
      </c>
    </row>
    <row r="282">
      <c r="A282" s="9" t="n"/>
      <c r="B282" s="6" t="n"/>
      <c r="C282" s="6" t="n"/>
      <c r="D282" s="6" t="n"/>
      <c r="E282" s="7" t="n"/>
      <c r="F282" s="6" t="n"/>
      <c r="G282" s="11">
        <f>IF(AND(B282&lt;&gt;"",F282&lt;&gt;"",OR(Settings!$B$10="No",F282&lt;&gt;B282)),N(E282),0)</f>
        <v/>
      </c>
    </row>
    <row r="283">
      <c r="A283" s="9" t="n"/>
      <c r="B283" s="6" t="n"/>
      <c r="C283" s="6" t="n"/>
      <c r="D283" s="6" t="n"/>
      <c r="E283" s="7" t="n"/>
      <c r="F283" s="6" t="n"/>
      <c r="G283" s="11">
        <f>IF(AND(B283&lt;&gt;"",F283&lt;&gt;"",OR(Settings!$B$10="No",F283&lt;&gt;B283)),N(E283),0)</f>
        <v/>
      </c>
    </row>
    <row r="284">
      <c r="A284" s="9" t="n"/>
      <c r="B284" s="6" t="n"/>
      <c r="C284" s="6" t="n"/>
      <c r="D284" s="6" t="n"/>
      <c r="E284" s="7" t="n"/>
      <c r="F284" s="6" t="n"/>
      <c r="G284" s="11">
        <f>IF(AND(B284&lt;&gt;"",F284&lt;&gt;"",OR(Settings!$B$10="No",F284&lt;&gt;B284)),N(E284),0)</f>
        <v/>
      </c>
    </row>
    <row r="285">
      <c r="A285" s="9" t="n"/>
      <c r="B285" s="6" t="n"/>
      <c r="C285" s="6" t="n"/>
      <c r="D285" s="6" t="n"/>
      <c r="E285" s="7" t="n"/>
      <c r="F285" s="6" t="n"/>
      <c r="G285" s="11">
        <f>IF(AND(B285&lt;&gt;"",F285&lt;&gt;"",OR(Settings!$B$10="No",F285&lt;&gt;B285)),N(E285),0)</f>
        <v/>
      </c>
    </row>
    <row r="286">
      <c r="A286" s="9" t="n"/>
      <c r="B286" s="6" t="n"/>
      <c r="C286" s="6" t="n"/>
      <c r="D286" s="6" t="n"/>
      <c r="E286" s="7" t="n"/>
      <c r="F286" s="6" t="n"/>
      <c r="G286" s="11">
        <f>IF(AND(B286&lt;&gt;"",F286&lt;&gt;"",OR(Settings!$B$10="No",F286&lt;&gt;B286)),N(E286),0)</f>
        <v/>
      </c>
    </row>
    <row r="287">
      <c r="A287" s="9" t="n"/>
      <c r="B287" s="6" t="n"/>
      <c r="C287" s="6" t="n"/>
      <c r="D287" s="6" t="n"/>
      <c r="E287" s="7" t="n"/>
      <c r="F287" s="6" t="n"/>
      <c r="G287" s="11">
        <f>IF(AND(B287&lt;&gt;"",F287&lt;&gt;"",OR(Settings!$B$10="No",F287&lt;&gt;B287)),N(E287),0)</f>
        <v/>
      </c>
    </row>
    <row r="288">
      <c r="A288" s="9" t="n"/>
      <c r="B288" s="6" t="n"/>
      <c r="C288" s="6" t="n"/>
      <c r="D288" s="6" t="n"/>
      <c r="E288" s="7" t="n"/>
      <c r="F288" s="6" t="n"/>
      <c r="G288" s="11">
        <f>IF(AND(B288&lt;&gt;"",F288&lt;&gt;"",OR(Settings!$B$10="No",F288&lt;&gt;B288)),N(E288),0)</f>
        <v/>
      </c>
    </row>
    <row r="289">
      <c r="A289" s="9" t="n"/>
      <c r="B289" s="6" t="n"/>
      <c r="C289" s="6" t="n"/>
      <c r="D289" s="6" t="n"/>
      <c r="E289" s="7" t="n"/>
      <c r="F289" s="6" t="n"/>
      <c r="G289" s="11">
        <f>IF(AND(B289&lt;&gt;"",F289&lt;&gt;"",OR(Settings!$B$10="No",F289&lt;&gt;B289)),N(E289),0)</f>
        <v/>
      </c>
    </row>
    <row r="290">
      <c r="A290" s="9" t="n"/>
      <c r="B290" s="6" t="n"/>
      <c r="C290" s="6" t="n"/>
      <c r="D290" s="6" t="n"/>
      <c r="E290" s="7" t="n"/>
      <c r="F290" s="6" t="n"/>
      <c r="G290" s="11">
        <f>IF(AND(B290&lt;&gt;"",F290&lt;&gt;"",OR(Settings!$B$10="No",F290&lt;&gt;B290)),N(E290),0)</f>
        <v/>
      </c>
    </row>
    <row r="291">
      <c r="A291" s="9" t="n"/>
      <c r="B291" s="6" t="n"/>
      <c r="C291" s="6" t="n"/>
      <c r="D291" s="6" t="n"/>
      <c r="E291" s="7" t="n"/>
      <c r="F291" s="6" t="n"/>
      <c r="G291" s="11">
        <f>IF(AND(B291&lt;&gt;"",F291&lt;&gt;"",OR(Settings!$B$10="No",F291&lt;&gt;B291)),N(E291),0)</f>
        <v/>
      </c>
    </row>
    <row r="292">
      <c r="A292" s="9" t="n"/>
      <c r="B292" s="6" t="n"/>
      <c r="C292" s="6" t="n"/>
      <c r="D292" s="6" t="n"/>
      <c r="E292" s="7" t="n"/>
      <c r="F292" s="6" t="n"/>
      <c r="G292" s="11">
        <f>IF(AND(B292&lt;&gt;"",F292&lt;&gt;"",OR(Settings!$B$10="No",F292&lt;&gt;B292)),N(E292),0)</f>
        <v/>
      </c>
    </row>
    <row r="293">
      <c r="A293" s="9" t="n"/>
      <c r="B293" s="6" t="n"/>
      <c r="C293" s="6" t="n"/>
      <c r="D293" s="6" t="n"/>
      <c r="E293" s="7" t="n"/>
      <c r="F293" s="6" t="n"/>
      <c r="G293" s="11">
        <f>IF(AND(B293&lt;&gt;"",F293&lt;&gt;"",OR(Settings!$B$10="No",F293&lt;&gt;B293)),N(E293),0)</f>
        <v/>
      </c>
    </row>
    <row r="294">
      <c r="A294" s="9" t="n"/>
      <c r="B294" s="6" t="n"/>
      <c r="C294" s="6" t="n"/>
      <c r="D294" s="6" t="n"/>
      <c r="E294" s="7" t="n"/>
      <c r="F294" s="6" t="n"/>
      <c r="G294" s="11">
        <f>IF(AND(B294&lt;&gt;"",F294&lt;&gt;"",OR(Settings!$B$10="No",F294&lt;&gt;B294)),N(E294),0)</f>
        <v/>
      </c>
    </row>
    <row r="295">
      <c r="A295" s="9" t="n"/>
      <c r="B295" s="6" t="n"/>
      <c r="C295" s="6" t="n"/>
      <c r="D295" s="6" t="n"/>
      <c r="E295" s="7" t="n"/>
      <c r="F295" s="6" t="n"/>
      <c r="G295" s="11">
        <f>IF(AND(B295&lt;&gt;"",F295&lt;&gt;"",OR(Settings!$B$10="No",F295&lt;&gt;B295)),N(E295),0)</f>
        <v/>
      </c>
    </row>
    <row r="296">
      <c r="A296" s="9" t="n"/>
      <c r="B296" s="6" t="n"/>
      <c r="C296" s="6" t="n"/>
      <c r="D296" s="6" t="n"/>
      <c r="E296" s="7" t="n"/>
      <c r="F296" s="6" t="n"/>
      <c r="G296" s="11">
        <f>IF(AND(B296&lt;&gt;"",F296&lt;&gt;"",OR(Settings!$B$10="No",F296&lt;&gt;B296)),N(E296),0)</f>
        <v/>
      </c>
    </row>
    <row r="297">
      <c r="A297" s="9" t="n"/>
      <c r="B297" s="6" t="n"/>
      <c r="C297" s="6" t="n"/>
      <c r="D297" s="6" t="n"/>
      <c r="E297" s="7" t="n"/>
      <c r="F297" s="6" t="n"/>
      <c r="G297" s="11">
        <f>IF(AND(B297&lt;&gt;"",F297&lt;&gt;"",OR(Settings!$B$10="No",F297&lt;&gt;B297)),N(E297),0)</f>
        <v/>
      </c>
    </row>
    <row r="298">
      <c r="A298" s="9" t="n"/>
      <c r="B298" s="6" t="n"/>
      <c r="C298" s="6" t="n"/>
      <c r="D298" s="6" t="n"/>
      <c r="E298" s="7" t="n"/>
      <c r="F298" s="6" t="n"/>
      <c r="G298" s="11">
        <f>IF(AND(B298&lt;&gt;"",F298&lt;&gt;"",OR(Settings!$B$10="No",F298&lt;&gt;B298)),N(E298),0)</f>
        <v/>
      </c>
    </row>
    <row r="299">
      <c r="A299" s="9" t="n"/>
      <c r="B299" s="6" t="n"/>
      <c r="C299" s="6" t="n"/>
      <c r="D299" s="6" t="n"/>
      <c r="E299" s="7" t="n"/>
      <c r="F299" s="6" t="n"/>
      <c r="G299" s="11">
        <f>IF(AND(B299&lt;&gt;"",F299&lt;&gt;"",OR(Settings!$B$10="No",F299&lt;&gt;B299)),N(E299),0)</f>
        <v/>
      </c>
    </row>
    <row r="300">
      <c r="A300" s="9" t="n"/>
      <c r="B300" s="6" t="n"/>
      <c r="C300" s="6" t="n"/>
      <c r="D300" s="6" t="n"/>
      <c r="E300" s="7" t="n"/>
      <c r="F300" s="6" t="n"/>
      <c r="G300" s="11">
        <f>IF(AND(B300&lt;&gt;"",F300&lt;&gt;"",OR(Settings!$B$10="No",F300&lt;&gt;B300)),N(E300),0)</f>
        <v/>
      </c>
    </row>
    <row r="301">
      <c r="A301" s="9" t="n"/>
      <c r="B301" s="6" t="n"/>
      <c r="C301" s="6" t="n"/>
      <c r="D301" s="6" t="n"/>
      <c r="E301" s="7" t="n"/>
      <c r="F301" s="6" t="n"/>
      <c r="G301" s="11">
        <f>IF(AND(B301&lt;&gt;"",F301&lt;&gt;"",OR(Settings!$B$10="No",F301&lt;&gt;B301)),N(E301),0)</f>
        <v/>
      </c>
    </row>
    <row r="302">
      <c r="A302" s="9" t="n"/>
      <c r="B302" s="6" t="n"/>
      <c r="C302" s="6" t="n"/>
      <c r="D302" s="6" t="n"/>
      <c r="E302" s="7" t="n"/>
      <c r="F302" s="6" t="n"/>
      <c r="G302" s="11">
        <f>IF(AND(B302&lt;&gt;"",F302&lt;&gt;"",OR(Settings!$B$10="No",F302&lt;&gt;B302)),N(E302),0)</f>
        <v/>
      </c>
    </row>
    <row r="303">
      <c r="A303" s="9" t="n"/>
      <c r="B303" s="6" t="n"/>
      <c r="C303" s="6" t="n"/>
      <c r="D303" s="6" t="n"/>
      <c r="E303" s="7" t="n"/>
      <c r="F303" s="6" t="n"/>
      <c r="G303" s="11">
        <f>IF(AND(B303&lt;&gt;"",F303&lt;&gt;"",OR(Settings!$B$10="No",F303&lt;&gt;B303)),N(E303),0)</f>
        <v/>
      </c>
    </row>
    <row r="304">
      <c r="A304" s="9" t="n"/>
      <c r="B304" s="6" t="n"/>
      <c r="C304" s="6" t="n"/>
      <c r="D304" s="6" t="n"/>
      <c r="E304" s="7" t="n"/>
      <c r="F304" s="6" t="n"/>
      <c r="G304" s="11">
        <f>IF(AND(B304&lt;&gt;"",F304&lt;&gt;"",OR(Settings!$B$10="No",F304&lt;&gt;B304)),N(E304),0)</f>
        <v/>
      </c>
    </row>
  </sheetData>
  <dataValidations count="3">
    <dataValidation sqref="B5:B304" showDropDown="0" showInputMessage="0" showErrorMessage="0" allowBlank="1" type="list">
      <formula1>=Members!$B$5:$B$16</formula1>
    </dataValidation>
    <dataValidation sqref="F5:F304" showDropDown="0" showInputMessage="0" showErrorMessage="0" allowBlank="1" type="list">
      <formula1>=Members!$B$5:$B$16</formula1>
    </dataValidation>
    <dataValidation sqref="C5:C304" showDropDown="0" showInputMessage="0" showErrorMessage="0" allowBlank="1" type="list">
      <formula1>"Cash,Materials,Tools or equipment,Shop space,Other"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4"/>
  <sheetViews>
    <sheetView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Progress by step and boat</t>
        </is>
      </c>
    </row>
    <row r="2">
      <c r="A2" s="2" t="inlineStr">
        <is>
          <t>Share of each step done and signed off, and (right) share pledged. Columns past the boat count stay blank.</t>
        </is>
      </c>
    </row>
    <row r="4">
      <c r="A4" s="5" t="inlineStr">
        <is>
          <t>Step</t>
        </is>
      </c>
      <c r="B4" s="5" t="inlineStr">
        <is>
          <t>Step</t>
        </is>
      </c>
      <c r="C4" s="5" t="inlineStr">
        <is>
          <t>Value ($)</t>
        </is>
      </c>
      <c r="D4" s="5" t="inlineStr">
        <is>
          <t>Boat 1 done</t>
        </is>
      </c>
      <c r="E4" s="5" t="inlineStr">
        <is>
          <t>Boat 2 done</t>
        </is>
      </c>
      <c r="F4" s="5" t="inlineStr">
        <is>
          <t>Boat 3 done</t>
        </is>
      </c>
      <c r="G4" s="5" t="inlineStr">
        <is>
          <t>Boat 4 done</t>
        </is>
      </c>
      <c r="H4" s="5" t="inlineStr">
        <is>
          <t>Boat 5 done</t>
        </is>
      </c>
      <c r="I4" s="5" t="inlineStr">
        <is>
          <t>Boat 6 done</t>
        </is>
      </c>
      <c r="J4" s="5" t="inlineStr">
        <is>
          <t>Boat 7 done</t>
        </is>
      </c>
      <c r="K4" s="5" t="inlineStr">
        <is>
          <t>Boat 8 done</t>
        </is>
      </c>
      <c r="L4" s="5" t="inlineStr">
        <is>
          <t>Boat 1 pledged</t>
        </is>
      </c>
      <c r="M4" s="5" t="inlineStr">
        <is>
          <t>Boat 2 pledged</t>
        </is>
      </c>
      <c r="N4" s="5" t="inlineStr">
        <is>
          <t>Boat 3 pledged</t>
        </is>
      </c>
      <c r="O4" s="5" t="inlineStr">
        <is>
          <t>Boat 4 pledged</t>
        </is>
      </c>
      <c r="P4" s="5" t="inlineStr">
        <is>
          <t>Boat 5 pledged</t>
        </is>
      </c>
      <c r="Q4" s="5" t="inlineStr">
        <is>
          <t>Boat 6 pledged</t>
        </is>
      </c>
      <c r="R4" s="5" t="inlineStr">
        <is>
          <t>Boat 7 pledged</t>
        </is>
      </c>
      <c r="S4" s="5" t="inlineStr">
        <is>
          <t>Boat 8 pledged</t>
        </is>
      </c>
    </row>
    <row r="5">
      <c r="A5" s="3">
        <f>Steps!A5</f>
        <v/>
      </c>
      <c r="B5" s="3">
        <f>Steps!C5</f>
        <v/>
      </c>
      <c r="C5" s="12">
        <f>Steps!E5</f>
        <v/>
      </c>
      <c r="D5" s="13">
        <f>IF(1&gt;Settings!$B$6,"",SUMIFS('Work log'!$F$5:$F$1004,'Work log'!$B$5:$B$1004,1,'Work log'!$C$5:$C$1004,A5,'Work log'!$L$5:$L$1004,"&gt;0"))</f>
        <v/>
      </c>
      <c r="E5" s="13">
        <f>IF(2&gt;Settings!$B$6,"",SUMIFS('Work log'!$F$5:$F$1004,'Work log'!$B$5:$B$1004,2,'Work log'!$C$5:$C$1004,A5,'Work log'!$L$5:$L$1004,"&gt;0"))</f>
        <v/>
      </c>
      <c r="F5" s="13">
        <f>IF(3&gt;Settings!$B$6,"",SUMIFS('Work log'!$F$5:$F$1004,'Work log'!$B$5:$B$1004,3,'Work log'!$C$5:$C$1004,A5,'Work log'!$L$5:$L$1004,"&gt;0"))</f>
        <v/>
      </c>
      <c r="G5" s="13">
        <f>IF(4&gt;Settings!$B$6,"",SUMIFS('Work log'!$F$5:$F$1004,'Work log'!$B$5:$B$1004,4,'Work log'!$C$5:$C$1004,A5,'Work log'!$L$5:$L$1004,"&gt;0"))</f>
        <v/>
      </c>
      <c r="H5" s="13">
        <f>IF(5&gt;Settings!$B$6,"",SUMIFS('Work log'!$F$5:$F$1004,'Work log'!$B$5:$B$1004,5,'Work log'!$C$5:$C$1004,A5,'Work log'!$L$5:$L$1004,"&gt;0"))</f>
        <v/>
      </c>
      <c r="I5" s="13">
        <f>IF(6&gt;Settings!$B$6,"",SUMIFS('Work log'!$F$5:$F$1004,'Work log'!$B$5:$B$1004,6,'Work log'!$C$5:$C$1004,A5,'Work log'!$L$5:$L$1004,"&gt;0"))</f>
        <v/>
      </c>
      <c r="J5" s="13">
        <f>IF(7&gt;Settings!$B$6,"",SUMIFS('Work log'!$F$5:$F$1004,'Work log'!$B$5:$B$1004,7,'Work log'!$C$5:$C$1004,A5,'Work log'!$L$5:$L$1004,"&gt;0"))</f>
        <v/>
      </c>
      <c r="K5" s="13">
        <f>IF(8&gt;Settings!$B$6,"",SUMIFS('Work log'!$F$5:$F$1004,'Work log'!$B$5:$B$1004,8,'Work log'!$C$5:$C$1004,A5,'Work log'!$L$5:$L$1004,"&gt;0"))</f>
        <v/>
      </c>
      <c r="L5" s="13">
        <f>IF(1&gt;Settings!$B$6,"",SUMIFS(Pledges!$E$5:$E$504,Pledges!$A$5:$A$504,1,Pledges!$B$5:$B$504,A5))</f>
        <v/>
      </c>
      <c r="M5" s="13">
        <f>IF(2&gt;Settings!$B$6,"",SUMIFS(Pledges!$E$5:$E$504,Pledges!$A$5:$A$504,2,Pledges!$B$5:$B$504,A5))</f>
        <v/>
      </c>
      <c r="N5" s="13">
        <f>IF(3&gt;Settings!$B$6,"",SUMIFS(Pledges!$E$5:$E$504,Pledges!$A$5:$A$504,3,Pledges!$B$5:$B$504,A5))</f>
        <v/>
      </c>
      <c r="O5" s="13">
        <f>IF(4&gt;Settings!$B$6,"",SUMIFS(Pledges!$E$5:$E$504,Pledges!$A$5:$A$504,4,Pledges!$B$5:$B$504,A5))</f>
        <v/>
      </c>
      <c r="P5" s="13">
        <f>IF(5&gt;Settings!$B$6,"",SUMIFS(Pledges!$E$5:$E$504,Pledges!$A$5:$A$504,5,Pledges!$B$5:$B$504,A5))</f>
        <v/>
      </c>
      <c r="Q5" s="13">
        <f>IF(6&gt;Settings!$B$6,"",SUMIFS(Pledges!$E$5:$E$504,Pledges!$A$5:$A$504,6,Pledges!$B$5:$B$504,A5))</f>
        <v/>
      </c>
      <c r="R5" s="13">
        <f>IF(7&gt;Settings!$B$6,"",SUMIFS(Pledges!$E$5:$E$504,Pledges!$A$5:$A$504,7,Pledges!$B$5:$B$504,A5))</f>
        <v/>
      </c>
      <c r="S5" s="13">
        <f>IF(8&gt;Settings!$B$6,"",SUMIFS(Pledges!$E$5:$E$504,Pledges!$A$5:$A$504,8,Pledges!$B$5:$B$504,A5))</f>
        <v/>
      </c>
    </row>
    <row r="6">
      <c r="A6" s="3">
        <f>Steps!A6</f>
        <v/>
      </c>
      <c r="B6" s="3">
        <f>Steps!C6</f>
        <v/>
      </c>
      <c r="C6" s="12">
        <f>Steps!E6</f>
        <v/>
      </c>
      <c r="D6" s="13">
        <f>IF(1&gt;Settings!$B$6,"",SUMIFS('Work log'!$F$5:$F$1004,'Work log'!$B$5:$B$1004,1,'Work log'!$C$5:$C$1004,A6,'Work log'!$L$5:$L$1004,"&gt;0"))</f>
        <v/>
      </c>
      <c r="E6" s="13">
        <f>IF(2&gt;Settings!$B$6,"",SUMIFS('Work log'!$F$5:$F$1004,'Work log'!$B$5:$B$1004,2,'Work log'!$C$5:$C$1004,A6,'Work log'!$L$5:$L$1004,"&gt;0"))</f>
        <v/>
      </c>
      <c r="F6" s="13">
        <f>IF(3&gt;Settings!$B$6,"",SUMIFS('Work log'!$F$5:$F$1004,'Work log'!$B$5:$B$1004,3,'Work log'!$C$5:$C$1004,A6,'Work log'!$L$5:$L$1004,"&gt;0"))</f>
        <v/>
      </c>
      <c r="G6" s="13">
        <f>IF(4&gt;Settings!$B$6,"",SUMIFS('Work log'!$F$5:$F$1004,'Work log'!$B$5:$B$1004,4,'Work log'!$C$5:$C$1004,A6,'Work log'!$L$5:$L$1004,"&gt;0"))</f>
        <v/>
      </c>
      <c r="H6" s="13">
        <f>IF(5&gt;Settings!$B$6,"",SUMIFS('Work log'!$F$5:$F$1004,'Work log'!$B$5:$B$1004,5,'Work log'!$C$5:$C$1004,A6,'Work log'!$L$5:$L$1004,"&gt;0"))</f>
        <v/>
      </c>
      <c r="I6" s="13">
        <f>IF(6&gt;Settings!$B$6,"",SUMIFS('Work log'!$F$5:$F$1004,'Work log'!$B$5:$B$1004,6,'Work log'!$C$5:$C$1004,A6,'Work log'!$L$5:$L$1004,"&gt;0"))</f>
        <v/>
      </c>
      <c r="J6" s="13">
        <f>IF(7&gt;Settings!$B$6,"",SUMIFS('Work log'!$F$5:$F$1004,'Work log'!$B$5:$B$1004,7,'Work log'!$C$5:$C$1004,A6,'Work log'!$L$5:$L$1004,"&gt;0"))</f>
        <v/>
      </c>
      <c r="K6" s="13">
        <f>IF(8&gt;Settings!$B$6,"",SUMIFS('Work log'!$F$5:$F$1004,'Work log'!$B$5:$B$1004,8,'Work log'!$C$5:$C$1004,A6,'Work log'!$L$5:$L$1004,"&gt;0"))</f>
        <v/>
      </c>
      <c r="L6" s="13">
        <f>IF(1&gt;Settings!$B$6,"",SUMIFS(Pledges!$E$5:$E$504,Pledges!$A$5:$A$504,1,Pledges!$B$5:$B$504,A6))</f>
        <v/>
      </c>
      <c r="M6" s="13">
        <f>IF(2&gt;Settings!$B$6,"",SUMIFS(Pledges!$E$5:$E$504,Pledges!$A$5:$A$504,2,Pledges!$B$5:$B$504,A6))</f>
        <v/>
      </c>
      <c r="N6" s="13">
        <f>IF(3&gt;Settings!$B$6,"",SUMIFS(Pledges!$E$5:$E$504,Pledges!$A$5:$A$504,3,Pledges!$B$5:$B$504,A6))</f>
        <v/>
      </c>
      <c r="O6" s="13">
        <f>IF(4&gt;Settings!$B$6,"",SUMIFS(Pledges!$E$5:$E$504,Pledges!$A$5:$A$504,4,Pledges!$B$5:$B$504,A6))</f>
        <v/>
      </c>
      <c r="P6" s="13">
        <f>IF(5&gt;Settings!$B$6,"",SUMIFS(Pledges!$E$5:$E$504,Pledges!$A$5:$A$504,5,Pledges!$B$5:$B$504,A6))</f>
        <v/>
      </c>
      <c r="Q6" s="13">
        <f>IF(6&gt;Settings!$B$6,"",SUMIFS(Pledges!$E$5:$E$504,Pledges!$A$5:$A$504,6,Pledges!$B$5:$B$504,A6))</f>
        <v/>
      </c>
      <c r="R6" s="13">
        <f>IF(7&gt;Settings!$B$6,"",SUMIFS(Pledges!$E$5:$E$504,Pledges!$A$5:$A$504,7,Pledges!$B$5:$B$504,A6))</f>
        <v/>
      </c>
      <c r="S6" s="13">
        <f>IF(8&gt;Settings!$B$6,"",SUMIFS(Pledges!$E$5:$E$504,Pledges!$A$5:$A$504,8,Pledges!$B$5:$B$504,A6))</f>
        <v/>
      </c>
    </row>
    <row r="7">
      <c r="A7" s="3">
        <f>Steps!A7</f>
        <v/>
      </c>
      <c r="B7" s="3">
        <f>Steps!C7</f>
        <v/>
      </c>
      <c r="C7" s="12">
        <f>Steps!E7</f>
        <v/>
      </c>
      <c r="D7" s="13">
        <f>IF(1&gt;Settings!$B$6,"",SUMIFS('Work log'!$F$5:$F$1004,'Work log'!$B$5:$B$1004,1,'Work log'!$C$5:$C$1004,A7,'Work log'!$L$5:$L$1004,"&gt;0"))</f>
        <v/>
      </c>
      <c r="E7" s="13">
        <f>IF(2&gt;Settings!$B$6,"",SUMIFS('Work log'!$F$5:$F$1004,'Work log'!$B$5:$B$1004,2,'Work log'!$C$5:$C$1004,A7,'Work log'!$L$5:$L$1004,"&gt;0"))</f>
        <v/>
      </c>
      <c r="F7" s="13">
        <f>IF(3&gt;Settings!$B$6,"",SUMIFS('Work log'!$F$5:$F$1004,'Work log'!$B$5:$B$1004,3,'Work log'!$C$5:$C$1004,A7,'Work log'!$L$5:$L$1004,"&gt;0"))</f>
        <v/>
      </c>
      <c r="G7" s="13">
        <f>IF(4&gt;Settings!$B$6,"",SUMIFS('Work log'!$F$5:$F$1004,'Work log'!$B$5:$B$1004,4,'Work log'!$C$5:$C$1004,A7,'Work log'!$L$5:$L$1004,"&gt;0"))</f>
        <v/>
      </c>
      <c r="H7" s="13">
        <f>IF(5&gt;Settings!$B$6,"",SUMIFS('Work log'!$F$5:$F$1004,'Work log'!$B$5:$B$1004,5,'Work log'!$C$5:$C$1004,A7,'Work log'!$L$5:$L$1004,"&gt;0"))</f>
        <v/>
      </c>
      <c r="I7" s="13">
        <f>IF(6&gt;Settings!$B$6,"",SUMIFS('Work log'!$F$5:$F$1004,'Work log'!$B$5:$B$1004,6,'Work log'!$C$5:$C$1004,A7,'Work log'!$L$5:$L$1004,"&gt;0"))</f>
        <v/>
      </c>
      <c r="J7" s="13">
        <f>IF(7&gt;Settings!$B$6,"",SUMIFS('Work log'!$F$5:$F$1004,'Work log'!$B$5:$B$1004,7,'Work log'!$C$5:$C$1004,A7,'Work log'!$L$5:$L$1004,"&gt;0"))</f>
        <v/>
      </c>
      <c r="K7" s="13">
        <f>IF(8&gt;Settings!$B$6,"",SUMIFS('Work log'!$F$5:$F$1004,'Work log'!$B$5:$B$1004,8,'Work log'!$C$5:$C$1004,A7,'Work log'!$L$5:$L$1004,"&gt;0"))</f>
        <v/>
      </c>
      <c r="L7" s="13">
        <f>IF(1&gt;Settings!$B$6,"",SUMIFS(Pledges!$E$5:$E$504,Pledges!$A$5:$A$504,1,Pledges!$B$5:$B$504,A7))</f>
        <v/>
      </c>
      <c r="M7" s="13">
        <f>IF(2&gt;Settings!$B$6,"",SUMIFS(Pledges!$E$5:$E$504,Pledges!$A$5:$A$504,2,Pledges!$B$5:$B$504,A7))</f>
        <v/>
      </c>
      <c r="N7" s="13">
        <f>IF(3&gt;Settings!$B$6,"",SUMIFS(Pledges!$E$5:$E$504,Pledges!$A$5:$A$504,3,Pledges!$B$5:$B$504,A7))</f>
        <v/>
      </c>
      <c r="O7" s="13">
        <f>IF(4&gt;Settings!$B$6,"",SUMIFS(Pledges!$E$5:$E$504,Pledges!$A$5:$A$504,4,Pledges!$B$5:$B$504,A7))</f>
        <v/>
      </c>
      <c r="P7" s="13">
        <f>IF(5&gt;Settings!$B$6,"",SUMIFS(Pledges!$E$5:$E$504,Pledges!$A$5:$A$504,5,Pledges!$B$5:$B$504,A7))</f>
        <v/>
      </c>
      <c r="Q7" s="13">
        <f>IF(6&gt;Settings!$B$6,"",SUMIFS(Pledges!$E$5:$E$504,Pledges!$A$5:$A$504,6,Pledges!$B$5:$B$504,A7))</f>
        <v/>
      </c>
      <c r="R7" s="13">
        <f>IF(7&gt;Settings!$B$6,"",SUMIFS(Pledges!$E$5:$E$504,Pledges!$A$5:$A$504,7,Pledges!$B$5:$B$504,A7))</f>
        <v/>
      </c>
      <c r="S7" s="13">
        <f>IF(8&gt;Settings!$B$6,"",SUMIFS(Pledges!$E$5:$E$504,Pledges!$A$5:$A$504,8,Pledges!$B$5:$B$504,A7))</f>
        <v/>
      </c>
    </row>
    <row r="8">
      <c r="A8" s="3">
        <f>Steps!A8</f>
        <v/>
      </c>
      <c r="B8" s="3">
        <f>Steps!C8</f>
        <v/>
      </c>
      <c r="C8" s="12">
        <f>Steps!E8</f>
        <v/>
      </c>
      <c r="D8" s="13">
        <f>IF(1&gt;Settings!$B$6,"",SUMIFS('Work log'!$F$5:$F$1004,'Work log'!$B$5:$B$1004,1,'Work log'!$C$5:$C$1004,A8,'Work log'!$L$5:$L$1004,"&gt;0"))</f>
        <v/>
      </c>
      <c r="E8" s="13">
        <f>IF(2&gt;Settings!$B$6,"",SUMIFS('Work log'!$F$5:$F$1004,'Work log'!$B$5:$B$1004,2,'Work log'!$C$5:$C$1004,A8,'Work log'!$L$5:$L$1004,"&gt;0"))</f>
        <v/>
      </c>
      <c r="F8" s="13">
        <f>IF(3&gt;Settings!$B$6,"",SUMIFS('Work log'!$F$5:$F$1004,'Work log'!$B$5:$B$1004,3,'Work log'!$C$5:$C$1004,A8,'Work log'!$L$5:$L$1004,"&gt;0"))</f>
        <v/>
      </c>
      <c r="G8" s="13">
        <f>IF(4&gt;Settings!$B$6,"",SUMIFS('Work log'!$F$5:$F$1004,'Work log'!$B$5:$B$1004,4,'Work log'!$C$5:$C$1004,A8,'Work log'!$L$5:$L$1004,"&gt;0"))</f>
        <v/>
      </c>
      <c r="H8" s="13">
        <f>IF(5&gt;Settings!$B$6,"",SUMIFS('Work log'!$F$5:$F$1004,'Work log'!$B$5:$B$1004,5,'Work log'!$C$5:$C$1004,A8,'Work log'!$L$5:$L$1004,"&gt;0"))</f>
        <v/>
      </c>
      <c r="I8" s="13">
        <f>IF(6&gt;Settings!$B$6,"",SUMIFS('Work log'!$F$5:$F$1004,'Work log'!$B$5:$B$1004,6,'Work log'!$C$5:$C$1004,A8,'Work log'!$L$5:$L$1004,"&gt;0"))</f>
        <v/>
      </c>
      <c r="J8" s="13">
        <f>IF(7&gt;Settings!$B$6,"",SUMIFS('Work log'!$F$5:$F$1004,'Work log'!$B$5:$B$1004,7,'Work log'!$C$5:$C$1004,A8,'Work log'!$L$5:$L$1004,"&gt;0"))</f>
        <v/>
      </c>
      <c r="K8" s="13">
        <f>IF(8&gt;Settings!$B$6,"",SUMIFS('Work log'!$F$5:$F$1004,'Work log'!$B$5:$B$1004,8,'Work log'!$C$5:$C$1004,A8,'Work log'!$L$5:$L$1004,"&gt;0"))</f>
        <v/>
      </c>
      <c r="L8" s="13">
        <f>IF(1&gt;Settings!$B$6,"",SUMIFS(Pledges!$E$5:$E$504,Pledges!$A$5:$A$504,1,Pledges!$B$5:$B$504,A8))</f>
        <v/>
      </c>
      <c r="M8" s="13">
        <f>IF(2&gt;Settings!$B$6,"",SUMIFS(Pledges!$E$5:$E$504,Pledges!$A$5:$A$504,2,Pledges!$B$5:$B$504,A8))</f>
        <v/>
      </c>
      <c r="N8" s="13">
        <f>IF(3&gt;Settings!$B$6,"",SUMIFS(Pledges!$E$5:$E$504,Pledges!$A$5:$A$504,3,Pledges!$B$5:$B$504,A8))</f>
        <v/>
      </c>
      <c r="O8" s="13">
        <f>IF(4&gt;Settings!$B$6,"",SUMIFS(Pledges!$E$5:$E$504,Pledges!$A$5:$A$504,4,Pledges!$B$5:$B$504,A8))</f>
        <v/>
      </c>
      <c r="P8" s="13">
        <f>IF(5&gt;Settings!$B$6,"",SUMIFS(Pledges!$E$5:$E$504,Pledges!$A$5:$A$504,5,Pledges!$B$5:$B$504,A8))</f>
        <v/>
      </c>
      <c r="Q8" s="13">
        <f>IF(6&gt;Settings!$B$6,"",SUMIFS(Pledges!$E$5:$E$504,Pledges!$A$5:$A$504,6,Pledges!$B$5:$B$504,A8))</f>
        <v/>
      </c>
      <c r="R8" s="13">
        <f>IF(7&gt;Settings!$B$6,"",SUMIFS(Pledges!$E$5:$E$504,Pledges!$A$5:$A$504,7,Pledges!$B$5:$B$504,A8))</f>
        <v/>
      </c>
      <c r="S8" s="13">
        <f>IF(8&gt;Settings!$B$6,"",SUMIFS(Pledges!$E$5:$E$504,Pledges!$A$5:$A$504,8,Pledges!$B$5:$B$504,A8))</f>
        <v/>
      </c>
    </row>
    <row r="9">
      <c r="A9" s="3">
        <f>Steps!A9</f>
        <v/>
      </c>
      <c r="B9" s="3">
        <f>Steps!C9</f>
        <v/>
      </c>
      <c r="C9" s="12">
        <f>Steps!E9</f>
        <v/>
      </c>
      <c r="D9" s="13">
        <f>IF(1&gt;Settings!$B$6,"",SUMIFS('Work log'!$F$5:$F$1004,'Work log'!$B$5:$B$1004,1,'Work log'!$C$5:$C$1004,A9,'Work log'!$L$5:$L$1004,"&gt;0"))</f>
        <v/>
      </c>
      <c r="E9" s="13">
        <f>IF(2&gt;Settings!$B$6,"",SUMIFS('Work log'!$F$5:$F$1004,'Work log'!$B$5:$B$1004,2,'Work log'!$C$5:$C$1004,A9,'Work log'!$L$5:$L$1004,"&gt;0"))</f>
        <v/>
      </c>
      <c r="F9" s="13">
        <f>IF(3&gt;Settings!$B$6,"",SUMIFS('Work log'!$F$5:$F$1004,'Work log'!$B$5:$B$1004,3,'Work log'!$C$5:$C$1004,A9,'Work log'!$L$5:$L$1004,"&gt;0"))</f>
        <v/>
      </c>
      <c r="G9" s="13">
        <f>IF(4&gt;Settings!$B$6,"",SUMIFS('Work log'!$F$5:$F$1004,'Work log'!$B$5:$B$1004,4,'Work log'!$C$5:$C$1004,A9,'Work log'!$L$5:$L$1004,"&gt;0"))</f>
        <v/>
      </c>
      <c r="H9" s="13">
        <f>IF(5&gt;Settings!$B$6,"",SUMIFS('Work log'!$F$5:$F$1004,'Work log'!$B$5:$B$1004,5,'Work log'!$C$5:$C$1004,A9,'Work log'!$L$5:$L$1004,"&gt;0"))</f>
        <v/>
      </c>
      <c r="I9" s="13">
        <f>IF(6&gt;Settings!$B$6,"",SUMIFS('Work log'!$F$5:$F$1004,'Work log'!$B$5:$B$1004,6,'Work log'!$C$5:$C$1004,A9,'Work log'!$L$5:$L$1004,"&gt;0"))</f>
        <v/>
      </c>
      <c r="J9" s="13">
        <f>IF(7&gt;Settings!$B$6,"",SUMIFS('Work log'!$F$5:$F$1004,'Work log'!$B$5:$B$1004,7,'Work log'!$C$5:$C$1004,A9,'Work log'!$L$5:$L$1004,"&gt;0"))</f>
        <v/>
      </c>
      <c r="K9" s="13">
        <f>IF(8&gt;Settings!$B$6,"",SUMIFS('Work log'!$F$5:$F$1004,'Work log'!$B$5:$B$1004,8,'Work log'!$C$5:$C$1004,A9,'Work log'!$L$5:$L$1004,"&gt;0"))</f>
        <v/>
      </c>
      <c r="L9" s="13">
        <f>IF(1&gt;Settings!$B$6,"",SUMIFS(Pledges!$E$5:$E$504,Pledges!$A$5:$A$504,1,Pledges!$B$5:$B$504,A9))</f>
        <v/>
      </c>
      <c r="M9" s="13">
        <f>IF(2&gt;Settings!$B$6,"",SUMIFS(Pledges!$E$5:$E$504,Pledges!$A$5:$A$504,2,Pledges!$B$5:$B$504,A9))</f>
        <v/>
      </c>
      <c r="N9" s="13">
        <f>IF(3&gt;Settings!$B$6,"",SUMIFS(Pledges!$E$5:$E$504,Pledges!$A$5:$A$504,3,Pledges!$B$5:$B$504,A9))</f>
        <v/>
      </c>
      <c r="O9" s="13">
        <f>IF(4&gt;Settings!$B$6,"",SUMIFS(Pledges!$E$5:$E$504,Pledges!$A$5:$A$504,4,Pledges!$B$5:$B$504,A9))</f>
        <v/>
      </c>
      <c r="P9" s="13">
        <f>IF(5&gt;Settings!$B$6,"",SUMIFS(Pledges!$E$5:$E$504,Pledges!$A$5:$A$504,5,Pledges!$B$5:$B$504,A9))</f>
        <v/>
      </c>
      <c r="Q9" s="13">
        <f>IF(6&gt;Settings!$B$6,"",SUMIFS(Pledges!$E$5:$E$504,Pledges!$A$5:$A$504,6,Pledges!$B$5:$B$504,A9))</f>
        <v/>
      </c>
      <c r="R9" s="13">
        <f>IF(7&gt;Settings!$B$6,"",SUMIFS(Pledges!$E$5:$E$504,Pledges!$A$5:$A$504,7,Pledges!$B$5:$B$504,A9))</f>
        <v/>
      </c>
      <c r="S9" s="13">
        <f>IF(8&gt;Settings!$B$6,"",SUMIFS(Pledges!$E$5:$E$504,Pledges!$A$5:$A$504,8,Pledges!$B$5:$B$504,A9))</f>
        <v/>
      </c>
    </row>
    <row r="10">
      <c r="A10" s="3">
        <f>Steps!A10</f>
        <v/>
      </c>
      <c r="B10" s="3">
        <f>Steps!C10</f>
        <v/>
      </c>
      <c r="C10" s="12">
        <f>Steps!E10</f>
        <v/>
      </c>
      <c r="D10" s="13">
        <f>IF(1&gt;Settings!$B$6,"",SUMIFS('Work log'!$F$5:$F$1004,'Work log'!$B$5:$B$1004,1,'Work log'!$C$5:$C$1004,A10,'Work log'!$L$5:$L$1004,"&gt;0"))</f>
        <v/>
      </c>
      <c r="E10" s="13">
        <f>IF(2&gt;Settings!$B$6,"",SUMIFS('Work log'!$F$5:$F$1004,'Work log'!$B$5:$B$1004,2,'Work log'!$C$5:$C$1004,A10,'Work log'!$L$5:$L$1004,"&gt;0"))</f>
        <v/>
      </c>
      <c r="F10" s="13">
        <f>IF(3&gt;Settings!$B$6,"",SUMIFS('Work log'!$F$5:$F$1004,'Work log'!$B$5:$B$1004,3,'Work log'!$C$5:$C$1004,A10,'Work log'!$L$5:$L$1004,"&gt;0"))</f>
        <v/>
      </c>
      <c r="G10" s="13">
        <f>IF(4&gt;Settings!$B$6,"",SUMIFS('Work log'!$F$5:$F$1004,'Work log'!$B$5:$B$1004,4,'Work log'!$C$5:$C$1004,A10,'Work log'!$L$5:$L$1004,"&gt;0"))</f>
        <v/>
      </c>
      <c r="H10" s="13">
        <f>IF(5&gt;Settings!$B$6,"",SUMIFS('Work log'!$F$5:$F$1004,'Work log'!$B$5:$B$1004,5,'Work log'!$C$5:$C$1004,A10,'Work log'!$L$5:$L$1004,"&gt;0"))</f>
        <v/>
      </c>
      <c r="I10" s="13">
        <f>IF(6&gt;Settings!$B$6,"",SUMIFS('Work log'!$F$5:$F$1004,'Work log'!$B$5:$B$1004,6,'Work log'!$C$5:$C$1004,A10,'Work log'!$L$5:$L$1004,"&gt;0"))</f>
        <v/>
      </c>
      <c r="J10" s="13">
        <f>IF(7&gt;Settings!$B$6,"",SUMIFS('Work log'!$F$5:$F$1004,'Work log'!$B$5:$B$1004,7,'Work log'!$C$5:$C$1004,A10,'Work log'!$L$5:$L$1004,"&gt;0"))</f>
        <v/>
      </c>
      <c r="K10" s="13">
        <f>IF(8&gt;Settings!$B$6,"",SUMIFS('Work log'!$F$5:$F$1004,'Work log'!$B$5:$B$1004,8,'Work log'!$C$5:$C$1004,A10,'Work log'!$L$5:$L$1004,"&gt;0"))</f>
        <v/>
      </c>
      <c r="L10" s="13">
        <f>IF(1&gt;Settings!$B$6,"",SUMIFS(Pledges!$E$5:$E$504,Pledges!$A$5:$A$504,1,Pledges!$B$5:$B$504,A10))</f>
        <v/>
      </c>
      <c r="M10" s="13">
        <f>IF(2&gt;Settings!$B$6,"",SUMIFS(Pledges!$E$5:$E$504,Pledges!$A$5:$A$504,2,Pledges!$B$5:$B$504,A10))</f>
        <v/>
      </c>
      <c r="N10" s="13">
        <f>IF(3&gt;Settings!$B$6,"",SUMIFS(Pledges!$E$5:$E$504,Pledges!$A$5:$A$504,3,Pledges!$B$5:$B$504,A10))</f>
        <v/>
      </c>
      <c r="O10" s="13">
        <f>IF(4&gt;Settings!$B$6,"",SUMIFS(Pledges!$E$5:$E$504,Pledges!$A$5:$A$504,4,Pledges!$B$5:$B$504,A10))</f>
        <v/>
      </c>
      <c r="P10" s="13">
        <f>IF(5&gt;Settings!$B$6,"",SUMIFS(Pledges!$E$5:$E$504,Pledges!$A$5:$A$504,5,Pledges!$B$5:$B$504,A10))</f>
        <v/>
      </c>
      <c r="Q10" s="13">
        <f>IF(6&gt;Settings!$B$6,"",SUMIFS(Pledges!$E$5:$E$504,Pledges!$A$5:$A$504,6,Pledges!$B$5:$B$504,A10))</f>
        <v/>
      </c>
      <c r="R10" s="13">
        <f>IF(7&gt;Settings!$B$6,"",SUMIFS(Pledges!$E$5:$E$504,Pledges!$A$5:$A$504,7,Pledges!$B$5:$B$504,A10))</f>
        <v/>
      </c>
      <c r="S10" s="13">
        <f>IF(8&gt;Settings!$B$6,"",SUMIFS(Pledges!$E$5:$E$504,Pledges!$A$5:$A$504,8,Pledges!$B$5:$B$504,A10))</f>
        <v/>
      </c>
    </row>
    <row r="11">
      <c r="A11" s="3">
        <f>Steps!A11</f>
        <v/>
      </c>
      <c r="B11" s="3">
        <f>Steps!C11</f>
        <v/>
      </c>
      <c r="C11" s="12">
        <f>Steps!E11</f>
        <v/>
      </c>
      <c r="D11" s="13">
        <f>IF(1&gt;Settings!$B$6,"",SUMIFS('Work log'!$F$5:$F$1004,'Work log'!$B$5:$B$1004,1,'Work log'!$C$5:$C$1004,A11,'Work log'!$L$5:$L$1004,"&gt;0"))</f>
        <v/>
      </c>
      <c r="E11" s="13">
        <f>IF(2&gt;Settings!$B$6,"",SUMIFS('Work log'!$F$5:$F$1004,'Work log'!$B$5:$B$1004,2,'Work log'!$C$5:$C$1004,A11,'Work log'!$L$5:$L$1004,"&gt;0"))</f>
        <v/>
      </c>
      <c r="F11" s="13">
        <f>IF(3&gt;Settings!$B$6,"",SUMIFS('Work log'!$F$5:$F$1004,'Work log'!$B$5:$B$1004,3,'Work log'!$C$5:$C$1004,A11,'Work log'!$L$5:$L$1004,"&gt;0"))</f>
        <v/>
      </c>
      <c r="G11" s="13">
        <f>IF(4&gt;Settings!$B$6,"",SUMIFS('Work log'!$F$5:$F$1004,'Work log'!$B$5:$B$1004,4,'Work log'!$C$5:$C$1004,A11,'Work log'!$L$5:$L$1004,"&gt;0"))</f>
        <v/>
      </c>
      <c r="H11" s="13">
        <f>IF(5&gt;Settings!$B$6,"",SUMIFS('Work log'!$F$5:$F$1004,'Work log'!$B$5:$B$1004,5,'Work log'!$C$5:$C$1004,A11,'Work log'!$L$5:$L$1004,"&gt;0"))</f>
        <v/>
      </c>
      <c r="I11" s="13">
        <f>IF(6&gt;Settings!$B$6,"",SUMIFS('Work log'!$F$5:$F$1004,'Work log'!$B$5:$B$1004,6,'Work log'!$C$5:$C$1004,A11,'Work log'!$L$5:$L$1004,"&gt;0"))</f>
        <v/>
      </c>
      <c r="J11" s="13">
        <f>IF(7&gt;Settings!$B$6,"",SUMIFS('Work log'!$F$5:$F$1004,'Work log'!$B$5:$B$1004,7,'Work log'!$C$5:$C$1004,A11,'Work log'!$L$5:$L$1004,"&gt;0"))</f>
        <v/>
      </c>
      <c r="K11" s="13">
        <f>IF(8&gt;Settings!$B$6,"",SUMIFS('Work log'!$F$5:$F$1004,'Work log'!$B$5:$B$1004,8,'Work log'!$C$5:$C$1004,A11,'Work log'!$L$5:$L$1004,"&gt;0"))</f>
        <v/>
      </c>
      <c r="L11" s="13">
        <f>IF(1&gt;Settings!$B$6,"",SUMIFS(Pledges!$E$5:$E$504,Pledges!$A$5:$A$504,1,Pledges!$B$5:$B$504,A11))</f>
        <v/>
      </c>
      <c r="M11" s="13">
        <f>IF(2&gt;Settings!$B$6,"",SUMIFS(Pledges!$E$5:$E$504,Pledges!$A$5:$A$504,2,Pledges!$B$5:$B$504,A11))</f>
        <v/>
      </c>
      <c r="N11" s="13">
        <f>IF(3&gt;Settings!$B$6,"",SUMIFS(Pledges!$E$5:$E$504,Pledges!$A$5:$A$504,3,Pledges!$B$5:$B$504,A11))</f>
        <v/>
      </c>
      <c r="O11" s="13">
        <f>IF(4&gt;Settings!$B$6,"",SUMIFS(Pledges!$E$5:$E$504,Pledges!$A$5:$A$504,4,Pledges!$B$5:$B$504,A11))</f>
        <v/>
      </c>
      <c r="P11" s="13">
        <f>IF(5&gt;Settings!$B$6,"",SUMIFS(Pledges!$E$5:$E$504,Pledges!$A$5:$A$504,5,Pledges!$B$5:$B$504,A11))</f>
        <v/>
      </c>
      <c r="Q11" s="13">
        <f>IF(6&gt;Settings!$B$6,"",SUMIFS(Pledges!$E$5:$E$504,Pledges!$A$5:$A$504,6,Pledges!$B$5:$B$504,A11))</f>
        <v/>
      </c>
      <c r="R11" s="13">
        <f>IF(7&gt;Settings!$B$6,"",SUMIFS(Pledges!$E$5:$E$504,Pledges!$A$5:$A$504,7,Pledges!$B$5:$B$504,A11))</f>
        <v/>
      </c>
      <c r="S11" s="13">
        <f>IF(8&gt;Settings!$B$6,"",SUMIFS(Pledges!$E$5:$E$504,Pledges!$A$5:$A$504,8,Pledges!$B$5:$B$504,A11))</f>
        <v/>
      </c>
    </row>
    <row r="12">
      <c r="A12" s="3">
        <f>Steps!A12</f>
        <v/>
      </c>
      <c r="B12" s="3">
        <f>Steps!C12</f>
        <v/>
      </c>
      <c r="C12" s="12">
        <f>Steps!E12</f>
        <v/>
      </c>
      <c r="D12" s="13">
        <f>IF(1&gt;Settings!$B$6,"",SUMIFS('Work log'!$F$5:$F$1004,'Work log'!$B$5:$B$1004,1,'Work log'!$C$5:$C$1004,A12,'Work log'!$L$5:$L$1004,"&gt;0"))</f>
        <v/>
      </c>
      <c r="E12" s="13">
        <f>IF(2&gt;Settings!$B$6,"",SUMIFS('Work log'!$F$5:$F$1004,'Work log'!$B$5:$B$1004,2,'Work log'!$C$5:$C$1004,A12,'Work log'!$L$5:$L$1004,"&gt;0"))</f>
        <v/>
      </c>
      <c r="F12" s="13">
        <f>IF(3&gt;Settings!$B$6,"",SUMIFS('Work log'!$F$5:$F$1004,'Work log'!$B$5:$B$1004,3,'Work log'!$C$5:$C$1004,A12,'Work log'!$L$5:$L$1004,"&gt;0"))</f>
        <v/>
      </c>
      <c r="G12" s="13">
        <f>IF(4&gt;Settings!$B$6,"",SUMIFS('Work log'!$F$5:$F$1004,'Work log'!$B$5:$B$1004,4,'Work log'!$C$5:$C$1004,A12,'Work log'!$L$5:$L$1004,"&gt;0"))</f>
        <v/>
      </c>
      <c r="H12" s="13">
        <f>IF(5&gt;Settings!$B$6,"",SUMIFS('Work log'!$F$5:$F$1004,'Work log'!$B$5:$B$1004,5,'Work log'!$C$5:$C$1004,A12,'Work log'!$L$5:$L$1004,"&gt;0"))</f>
        <v/>
      </c>
      <c r="I12" s="13">
        <f>IF(6&gt;Settings!$B$6,"",SUMIFS('Work log'!$F$5:$F$1004,'Work log'!$B$5:$B$1004,6,'Work log'!$C$5:$C$1004,A12,'Work log'!$L$5:$L$1004,"&gt;0"))</f>
        <v/>
      </c>
      <c r="J12" s="13">
        <f>IF(7&gt;Settings!$B$6,"",SUMIFS('Work log'!$F$5:$F$1004,'Work log'!$B$5:$B$1004,7,'Work log'!$C$5:$C$1004,A12,'Work log'!$L$5:$L$1004,"&gt;0"))</f>
        <v/>
      </c>
      <c r="K12" s="13">
        <f>IF(8&gt;Settings!$B$6,"",SUMIFS('Work log'!$F$5:$F$1004,'Work log'!$B$5:$B$1004,8,'Work log'!$C$5:$C$1004,A12,'Work log'!$L$5:$L$1004,"&gt;0"))</f>
        <v/>
      </c>
      <c r="L12" s="13">
        <f>IF(1&gt;Settings!$B$6,"",SUMIFS(Pledges!$E$5:$E$504,Pledges!$A$5:$A$504,1,Pledges!$B$5:$B$504,A12))</f>
        <v/>
      </c>
      <c r="M12" s="13">
        <f>IF(2&gt;Settings!$B$6,"",SUMIFS(Pledges!$E$5:$E$504,Pledges!$A$5:$A$504,2,Pledges!$B$5:$B$504,A12))</f>
        <v/>
      </c>
      <c r="N12" s="13">
        <f>IF(3&gt;Settings!$B$6,"",SUMIFS(Pledges!$E$5:$E$504,Pledges!$A$5:$A$504,3,Pledges!$B$5:$B$504,A12))</f>
        <v/>
      </c>
      <c r="O12" s="13">
        <f>IF(4&gt;Settings!$B$6,"",SUMIFS(Pledges!$E$5:$E$504,Pledges!$A$5:$A$504,4,Pledges!$B$5:$B$504,A12))</f>
        <v/>
      </c>
      <c r="P12" s="13">
        <f>IF(5&gt;Settings!$B$6,"",SUMIFS(Pledges!$E$5:$E$504,Pledges!$A$5:$A$504,5,Pledges!$B$5:$B$504,A12))</f>
        <v/>
      </c>
      <c r="Q12" s="13">
        <f>IF(6&gt;Settings!$B$6,"",SUMIFS(Pledges!$E$5:$E$504,Pledges!$A$5:$A$504,6,Pledges!$B$5:$B$504,A12))</f>
        <v/>
      </c>
      <c r="R12" s="13">
        <f>IF(7&gt;Settings!$B$6,"",SUMIFS(Pledges!$E$5:$E$504,Pledges!$A$5:$A$504,7,Pledges!$B$5:$B$504,A12))</f>
        <v/>
      </c>
      <c r="S12" s="13">
        <f>IF(8&gt;Settings!$B$6,"",SUMIFS(Pledges!$E$5:$E$504,Pledges!$A$5:$A$504,8,Pledges!$B$5:$B$504,A12))</f>
        <v/>
      </c>
    </row>
    <row r="13">
      <c r="A13" s="3">
        <f>Steps!A13</f>
        <v/>
      </c>
      <c r="B13" s="3">
        <f>Steps!C13</f>
        <v/>
      </c>
      <c r="C13" s="12">
        <f>Steps!E13</f>
        <v/>
      </c>
      <c r="D13" s="13">
        <f>IF(1&gt;Settings!$B$6,"",SUMIFS('Work log'!$F$5:$F$1004,'Work log'!$B$5:$B$1004,1,'Work log'!$C$5:$C$1004,A13,'Work log'!$L$5:$L$1004,"&gt;0"))</f>
        <v/>
      </c>
      <c r="E13" s="13">
        <f>IF(2&gt;Settings!$B$6,"",SUMIFS('Work log'!$F$5:$F$1004,'Work log'!$B$5:$B$1004,2,'Work log'!$C$5:$C$1004,A13,'Work log'!$L$5:$L$1004,"&gt;0"))</f>
        <v/>
      </c>
      <c r="F13" s="13">
        <f>IF(3&gt;Settings!$B$6,"",SUMIFS('Work log'!$F$5:$F$1004,'Work log'!$B$5:$B$1004,3,'Work log'!$C$5:$C$1004,A13,'Work log'!$L$5:$L$1004,"&gt;0"))</f>
        <v/>
      </c>
      <c r="G13" s="13">
        <f>IF(4&gt;Settings!$B$6,"",SUMIFS('Work log'!$F$5:$F$1004,'Work log'!$B$5:$B$1004,4,'Work log'!$C$5:$C$1004,A13,'Work log'!$L$5:$L$1004,"&gt;0"))</f>
        <v/>
      </c>
      <c r="H13" s="13">
        <f>IF(5&gt;Settings!$B$6,"",SUMIFS('Work log'!$F$5:$F$1004,'Work log'!$B$5:$B$1004,5,'Work log'!$C$5:$C$1004,A13,'Work log'!$L$5:$L$1004,"&gt;0"))</f>
        <v/>
      </c>
      <c r="I13" s="13">
        <f>IF(6&gt;Settings!$B$6,"",SUMIFS('Work log'!$F$5:$F$1004,'Work log'!$B$5:$B$1004,6,'Work log'!$C$5:$C$1004,A13,'Work log'!$L$5:$L$1004,"&gt;0"))</f>
        <v/>
      </c>
      <c r="J13" s="13">
        <f>IF(7&gt;Settings!$B$6,"",SUMIFS('Work log'!$F$5:$F$1004,'Work log'!$B$5:$B$1004,7,'Work log'!$C$5:$C$1004,A13,'Work log'!$L$5:$L$1004,"&gt;0"))</f>
        <v/>
      </c>
      <c r="K13" s="13">
        <f>IF(8&gt;Settings!$B$6,"",SUMIFS('Work log'!$F$5:$F$1004,'Work log'!$B$5:$B$1004,8,'Work log'!$C$5:$C$1004,A13,'Work log'!$L$5:$L$1004,"&gt;0"))</f>
        <v/>
      </c>
      <c r="L13" s="13">
        <f>IF(1&gt;Settings!$B$6,"",SUMIFS(Pledges!$E$5:$E$504,Pledges!$A$5:$A$504,1,Pledges!$B$5:$B$504,A13))</f>
        <v/>
      </c>
      <c r="M13" s="13">
        <f>IF(2&gt;Settings!$B$6,"",SUMIFS(Pledges!$E$5:$E$504,Pledges!$A$5:$A$504,2,Pledges!$B$5:$B$504,A13))</f>
        <v/>
      </c>
      <c r="N13" s="13">
        <f>IF(3&gt;Settings!$B$6,"",SUMIFS(Pledges!$E$5:$E$504,Pledges!$A$5:$A$504,3,Pledges!$B$5:$B$504,A13))</f>
        <v/>
      </c>
      <c r="O13" s="13">
        <f>IF(4&gt;Settings!$B$6,"",SUMIFS(Pledges!$E$5:$E$504,Pledges!$A$5:$A$504,4,Pledges!$B$5:$B$504,A13))</f>
        <v/>
      </c>
      <c r="P13" s="13">
        <f>IF(5&gt;Settings!$B$6,"",SUMIFS(Pledges!$E$5:$E$504,Pledges!$A$5:$A$504,5,Pledges!$B$5:$B$504,A13))</f>
        <v/>
      </c>
      <c r="Q13" s="13">
        <f>IF(6&gt;Settings!$B$6,"",SUMIFS(Pledges!$E$5:$E$504,Pledges!$A$5:$A$504,6,Pledges!$B$5:$B$504,A13))</f>
        <v/>
      </c>
      <c r="R13" s="13">
        <f>IF(7&gt;Settings!$B$6,"",SUMIFS(Pledges!$E$5:$E$504,Pledges!$A$5:$A$504,7,Pledges!$B$5:$B$504,A13))</f>
        <v/>
      </c>
      <c r="S13" s="13">
        <f>IF(8&gt;Settings!$B$6,"",SUMIFS(Pledges!$E$5:$E$504,Pledges!$A$5:$A$504,8,Pledges!$B$5:$B$504,A13))</f>
        <v/>
      </c>
    </row>
    <row r="14">
      <c r="A14" s="3">
        <f>Steps!A14</f>
        <v/>
      </c>
      <c r="B14" s="3">
        <f>Steps!C14</f>
        <v/>
      </c>
      <c r="C14" s="12">
        <f>Steps!E14</f>
        <v/>
      </c>
      <c r="D14" s="13">
        <f>IF(1&gt;Settings!$B$6,"",SUMIFS('Work log'!$F$5:$F$1004,'Work log'!$B$5:$B$1004,1,'Work log'!$C$5:$C$1004,A14,'Work log'!$L$5:$L$1004,"&gt;0"))</f>
        <v/>
      </c>
      <c r="E14" s="13">
        <f>IF(2&gt;Settings!$B$6,"",SUMIFS('Work log'!$F$5:$F$1004,'Work log'!$B$5:$B$1004,2,'Work log'!$C$5:$C$1004,A14,'Work log'!$L$5:$L$1004,"&gt;0"))</f>
        <v/>
      </c>
      <c r="F14" s="13">
        <f>IF(3&gt;Settings!$B$6,"",SUMIFS('Work log'!$F$5:$F$1004,'Work log'!$B$5:$B$1004,3,'Work log'!$C$5:$C$1004,A14,'Work log'!$L$5:$L$1004,"&gt;0"))</f>
        <v/>
      </c>
      <c r="G14" s="13">
        <f>IF(4&gt;Settings!$B$6,"",SUMIFS('Work log'!$F$5:$F$1004,'Work log'!$B$5:$B$1004,4,'Work log'!$C$5:$C$1004,A14,'Work log'!$L$5:$L$1004,"&gt;0"))</f>
        <v/>
      </c>
      <c r="H14" s="13">
        <f>IF(5&gt;Settings!$B$6,"",SUMIFS('Work log'!$F$5:$F$1004,'Work log'!$B$5:$B$1004,5,'Work log'!$C$5:$C$1004,A14,'Work log'!$L$5:$L$1004,"&gt;0"))</f>
        <v/>
      </c>
      <c r="I14" s="13">
        <f>IF(6&gt;Settings!$B$6,"",SUMIFS('Work log'!$F$5:$F$1004,'Work log'!$B$5:$B$1004,6,'Work log'!$C$5:$C$1004,A14,'Work log'!$L$5:$L$1004,"&gt;0"))</f>
        <v/>
      </c>
      <c r="J14" s="13">
        <f>IF(7&gt;Settings!$B$6,"",SUMIFS('Work log'!$F$5:$F$1004,'Work log'!$B$5:$B$1004,7,'Work log'!$C$5:$C$1004,A14,'Work log'!$L$5:$L$1004,"&gt;0"))</f>
        <v/>
      </c>
      <c r="K14" s="13">
        <f>IF(8&gt;Settings!$B$6,"",SUMIFS('Work log'!$F$5:$F$1004,'Work log'!$B$5:$B$1004,8,'Work log'!$C$5:$C$1004,A14,'Work log'!$L$5:$L$1004,"&gt;0"))</f>
        <v/>
      </c>
      <c r="L14" s="13">
        <f>IF(1&gt;Settings!$B$6,"",SUMIFS(Pledges!$E$5:$E$504,Pledges!$A$5:$A$504,1,Pledges!$B$5:$B$504,A14))</f>
        <v/>
      </c>
      <c r="M14" s="13">
        <f>IF(2&gt;Settings!$B$6,"",SUMIFS(Pledges!$E$5:$E$504,Pledges!$A$5:$A$504,2,Pledges!$B$5:$B$504,A14))</f>
        <v/>
      </c>
      <c r="N14" s="13">
        <f>IF(3&gt;Settings!$B$6,"",SUMIFS(Pledges!$E$5:$E$504,Pledges!$A$5:$A$504,3,Pledges!$B$5:$B$504,A14))</f>
        <v/>
      </c>
      <c r="O14" s="13">
        <f>IF(4&gt;Settings!$B$6,"",SUMIFS(Pledges!$E$5:$E$504,Pledges!$A$5:$A$504,4,Pledges!$B$5:$B$504,A14))</f>
        <v/>
      </c>
      <c r="P14" s="13">
        <f>IF(5&gt;Settings!$B$6,"",SUMIFS(Pledges!$E$5:$E$504,Pledges!$A$5:$A$504,5,Pledges!$B$5:$B$504,A14))</f>
        <v/>
      </c>
      <c r="Q14" s="13">
        <f>IF(6&gt;Settings!$B$6,"",SUMIFS(Pledges!$E$5:$E$504,Pledges!$A$5:$A$504,6,Pledges!$B$5:$B$504,A14))</f>
        <v/>
      </c>
      <c r="R14" s="13">
        <f>IF(7&gt;Settings!$B$6,"",SUMIFS(Pledges!$E$5:$E$504,Pledges!$A$5:$A$504,7,Pledges!$B$5:$B$504,A14))</f>
        <v/>
      </c>
      <c r="S14" s="13">
        <f>IF(8&gt;Settings!$B$6,"",SUMIFS(Pledges!$E$5:$E$504,Pledges!$A$5:$A$504,8,Pledges!$B$5:$B$504,A14))</f>
        <v/>
      </c>
    </row>
    <row r="15">
      <c r="A15" s="3">
        <f>Steps!A15</f>
        <v/>
      </c>
      <c r="B15" s="3">
        <f>Steps!C15</f>
        <v/>
      </c>
      <c r="C15" s="12">
        <f>Steps!E15</f>
        <v/>
      </c>
      <c r="D15" s="13">
        <f>IF(1&gt;Settings!$B$6,"",SUMIFS('Work log'!$F$5:$F$1004,'Work log'!$B$5:$B$1004,1,'Work log'!$C$5:$C$1004,A15,'Work log'!$L$5:$L$1004,"&gt;0"))</f>
        <v/>
      </c>
      <c r="E15" s="13">
        <f>IF(2&gt;Settings!$B$6,"",SUMIFS('Work log'!$F$5:$F$1004,'Work log'!$B$5:$B$1004,2,'Work log'!$C$5:$C$1004,A15,'Work log'!$L$5:$L$1004,"&gt;0"))</f>
        <v/>
      </c>
      <c r="F15" s="13">
        <f>IF(3&gt;Settings!$B$6,"",SUMIFS('Work log'!$F$5:$F$1004,'Work log'!$B$5:$B$1004,3,'Work log'!$C$5:$C$1004,A15,'Work log'!$L$5:$L$1004,"&gt;0"))</f>
        <v/>
      </c>
      <c r="G15" s="13">
        <f>IF(4&gt;Settings!$B$6,"",SUMIFS('Work log'!$F$5:$F$1004,'Work log'!$B$5:$B$1004,4,'Work log'!$C$5:$C$1004,A15,'Work log'!$L$5:$L$1004,"&gt;0"))</f>
        <v/>
      </c>
      <c r="H15" s="13">
        <f>IF(5&gt;Settings!$B$6,"",SUMIFS('Work log'!$F$5:$F$1004,'Work log'!$B$5:$B$1004,5,'Work log'!$C$5:$C$1004,A15,'Work log'!$L$5:$L$1004,"&gt;0"))</f>
        <v/>
      </c>
      <c r="I15" s="13">
        <f>IF(6&gt;Settings!$B$6,"",SUMIFS('Work log'!$F$5:$F$1004,'Work log'!$B$5:$B$1004,6,'Work log'!$C$5:$C$1004,A15,'Work log'!$L$5:$L$1004,"&gt;0"))</f>
        <v/>
      </c>
      <c r="J15" s="13">
        <f>IF(7&gt;Settings!$B$6,"",SUMIFS('Work log'!$F$5:$F$1004,'Work log'!$B$5:$B$1004,7,'Work log'!$C$5:$C$1004,A15,'Work log'!$L$5:$L$1004,"&gt;0"))</f>
        <v/>
      </c>
      <c r="K15" s="13">
        <f>IF(8&gt;Settings!$B$6,"",SUMIFS('Work log'!$F$5:$F$1004,'Work log'!$B$5:$B$1004,8,'Work log'!$C$5:$C$1004,A15,'Work log'!$L$5:$L$1004,"&gt;0"))</f>
        <v/>
      </c>
      <c r="L15" s="13">
        <f>IF(1&gt;Settings!$B$6,"",SUMIFS(Pledges!$E$5:$E$504,Pledges!$A$5:$A$504,1,Pledges!$B$5:$B$504,A15))</f>
        <v/>
      </c>
      <c r="M15" s="13">
        <f>IF(2&gt;Settings!$B$6,"",SUMIFS(Pledges!$E$5:$E$504,Pledges!$A$5:$A$504,2,Pledges!$B$5:$B$504,A15))</f>
        <v/>
      </c>
      <c r="N15" s="13">
        <f>IF(3&gt;Settings!$B$6,"",SUMIFS(Pledges!$E$5:$E$504,Pledges!$A$5:$A$504,3,Pledges!$B$5:$B$504,A15))</f>
        <v/>
      </c>
      <c r="O15" s="13">
        <f>IF(4&gt;Settings!$B$6,"",SUMIFS(Pledges!$E$5:$E$504,Pledges!$A$5:$A$504,4,Pledges!$B$5:$B$504,A15))</f>
        <v/>
      </c>
      <c r="P15" s="13">
        <f>IF(5&gt;Settings!$B$6,"",SUMIFS(Pledges!$E$5:$E$504,Pledges!$A$5:$A$504,5,Pledges!$B$5:$B$504,A15))</f>
        <v/>
      </c>
      <c r="Q15" s="13">
        <f>IF(6&gt;Settings!$B$6,"",SUMIFS(Pledges!$E$5:$E$504,Pledges!$A$5:$A$504,6,Pledges!$B$5:$B$504,A15))</f>
        <v/>
      </c>
      <c r="R15" s="13">
        <f>IF(7&gt;Settings!$B$6,"",SUMIFS(Pledges!$E$5:$E$504,Pledges!$A$5:$A$504,7,Pledges!$B$5:$B$504,A15))</f>
        <v/>
      </c>
      <c r="S15" s="13">
        <f>IF(8&gt;Settings!$B$6,"",SUMIFS(Pledges!$E$5:$E$504,Pledges!$A$5:$A$504,8,Pledges!$B$5:$B$504,A15))</f>
        <v/>
      </c>
    </row>
    <row r="16">
      <c r="A16" s="3">
        <f>Steps!A16</f>
        <v/>
      </c>
      <c r="B16" s="3">
        <f>Steps!C16</f>
        <v/>
      </c>
      <c r="C16" s="12">
        <f>Steps!E16</f>
        <v/>
      </c>
      <c r="D16" s="13">
        <f>IF(1&gt;Settings!$B$6,"",SUMIFS('Work log'!$F$5:$F$1004,'Work log'!$B$5:$B$1004,1,'Work log'!$C$5:$C$1004,A16,'Work log'!$L$5:$L$1004,"&gt;0"))</f>
        <v/>
      </c>
      <c r="E16" s="13">
        <f>IF(2&gt;Settings!$B$6,"",SUMIFS('Work log'!$F$5:$F$1004,'Work log'!$B$5:$B$1004,2,'Work log'!$C$5:$C$1004,A16,'Work log'!$L$5:$L$1004,"&gt;0"))</f>
        <v/>
      </c>
      <c r="F16" s="13">
        <f>IF(3&gt;Settings!$B$6,"",SUMIFS('Work log'!$F$5:$F$1004,'Work log'!$B$5:$B$1004,3,'Work log'!$C$5:$C$1004,A16,'Work log'!$L$5:$L$1004,"&gt;0"))</f>
        <v/>
      </c>
      <c r="G16" s="13">
        <f>IF(4&gt;Settings!$B$6,"",SUMIFS('Work log'!$F$5:$F$1004,'Work log'!$B$5:$B$1004,4,'Work log'!$C$5:$C$1004,A16,'Work log'!$L$5:$L$1004,"&gt;0"))</f>
        <v/>
      </c>
      <c r="H16" s="13">
        <f>IF(5&gt;Settings!$B$6,"",SUMIFS('Work log'!$F$5:$F$1004,'Work log'!$B$5:$B$1004,5,'Work log'!$C$5:$C$1004,A16,'Work log'!$L$5:$L$1004,"&gt;0"))</f>
        <v/>
      </c>
      <c r="I16" s="13">
        <f>IF(6&gt;Settings!$B$6,"",SUMIFS('Work log'!$F$5:$F$1004,'Work log'!$B$5:$B$1004,6,'Work log'!$C$5:$C$1004,A16,'Work log'!$L$5:$L$1004,"&gt;0"))</f>
        <v/>
      </c>
      <c r="J16" s="13">
        <f>IF(7&gt;Settings!$B$6,"",SUMIFS('Work log'!$F$5:$F$1004,'Work log'!$B$5:$B$1004,7,'Work log'!$C$5:$C$1004,A16,'Work log'!$L$5:$L$1004,"&gt;0"))</f>
        <v/>
      </c>
      <c r="K16" s="13">
        <f>IF(8&gt;Settings!$B$6,"",SUMIFS('Work log'!$F$5:$F$1004,'Work log'!$B$5:$B$1004,8,'Work log'!$C$5:$C$1004,A16,'Work log'!$L$5:$L$1004,"&gt;0"))</f>
        <v/>
      </c>
      <c r="L16" s="13">
        <f>IF(1&gt;Settings!$B$6,"",SUMIFS(Pledges!$E$5:$E$504,Pledges!$A$5:$A$504,1,Pledges!$B$5:$B$504,A16))</f>
        <v/>
      </c>
      <c r="M16" s="13">
        <f>IF(2&gt;Settings!$B$6,"",SUMIFS(Pledges!$E$5:$E$504,Pledges!$A$5:$A$504,2,Pledges!$B$5:$B$504,A16))</f>
        <v/>
      </c>
      <c r="N16" s="13">
        <f>IF(3&gt;Settings!$B$6,"",SUMIFS(Pledges!$E$5:$E$504,Pledges!$A$5:$A$504,3,Pledges!$B$5:$B$504,A16))</f>
        <v/>
      </c>
      <c r="O16" s="13">
        <f>IF(4&gt;Settings!$B$6,"",SUMIFS(Pledges!$E$5:$E$504,Pledges!$A$5:$A$504,4,Pledges!$B$5:$B$504,A16))</f>
        <v/>
      </c>
      <c r="P16" s="13">
        <f>IF(5&gt;Settings!$B$6,"",SUMIFS(Pledges!$E$5:$E$504,Pledges!$A$5:$A$504,5,Pledges!$B$5:$B$504,A16))</f>
        <v/>
      </c>
      <c r="Q16" s="13">
        <f>IF(6&gt;Settings!$B$6,"",SUMIFS(Pledges!$E$5:$E$504,Pledges!$A$5:$A$504,6,Pledges!$B$5:$B$504,A16))</f>
        <v/>
      </c>
      <c r="R16" s="13">
        <f>IF(7&gt;Settings!$B$6,"",SUMIFS(Pledges!$E$5:$E$504,Pledges!$A$5:$A$504,7,Pledges!$B$5:$B$504,A16))</f>
        <v/>
      </c>
      <c r="S16" s="13">
        <f>IF(8&gt;Settings!$B$6,"",SUMIFS(Pledges!$E$5:$E$504,Pledges!$A$5:$A$504,8,Pledges!$B$5:$B$504,A16))</f>
        <v/>
      </c>
    </row>
    <row r="17">
      <c r="A17" s="3">
        <f>Steps!A17</f>
        <v/>
      </c>
      <c r="B17" s="3">
        <f>Steps!C17</f>
        <v/>
      </c>
      <c r="C17" s="12">
        <f>Steps!E17</f>
        <v/>
      </c>
      <c r="D17" s="13">
        <f>IF(1&gt;Settings!$B$6,"",SUMIFS('Work log'!$F$5:$F$1004,'Work log'!$B$5:$B$1004,1,'Work log'!$C$5:$C$1004,A17,'Work log'!$L$5:$L$1004,"&gt;0"))</f>
        <v/>
      </c>
      <c r="E17" s="13">
        <f>IF(2&gt;Settings!$B$6,"",SUMIFS('Work log'!$F$5:$F$1004,'Work log'!$B$5:$B$1004,2,'Work log'!$C$5:$C$1004,A17,'Work log'!$L$5:$L$1004,"&gt;0"))</f>
        <v/>
      </c>
      <c r="F17" s="13">
        <f>IF(3&gt;Settings!$B$6,"",SUMIFS('Work log'!$F$5:$F$1004,'Work log'!$B$5:$B$1004,3,'Work log'!$C$5:$C$1004,A17,'Work log'!$L$5:$L$1004,"&gt;0"))</f>
        <v/>
      </c>
      <c r="G17" s="13">
        <f>IF(4&gt;Settings!$B$6,"",SUMIFS('Work log'!$F$5:$F$1004,'Work log'!$B$5:$B$1004,4,'Work log'!$C$5:$C$1004,A17,'Work log'!$L$5:$L$1004,"&gt;0"))</f>
        <v/>
      </c>
      <c r="H17" s="13">
        <f>IF(5&gt;Settings!$B$6,"",SUMIFS('Work log'!$F$5:$F$1004,'Work log'!$B$5:$B$1004,5,'Work log'!$C$5:$C$1004,A17,'Work log'!$L$5:$L$1004,"&gt;0"))</f>
        <v/>
      </c>
      <c r="I17" s="13">
        <f>IF(6&gt;Settings!$B$6,"",SUMIFS('Work log'!$F$5:$F$1004,'Work log'!$B$5:$B$1004,6,'Work log'!$C$5:$C$1004,A17,'Work log'!$L$5:$L$1004,"&gt;0"))</f>
        <v/>
      </c>
      <c r="J17" s="13">
        <f>IF(7&gt;Settings!$B$6,"",SUMIFS('Work log'!$F$5:$F$1004,'Work log'!$B$5:$B$1004,7,'Work log'!$C$5:$C$1004,A17,'Work log'!$L$5:$L$1004,"&gt;0"))</f>
        <v/>
      </c>
      <c r="K17" s="13">
        <f>IF(8&gt;Settings!$B$6,"",SUMIFS('Work log'!$F$5:$F$1004,'Work log'!$B$5:$B$1004,8,'Work log'!$C$5:$C$1004,A17,'Work log'!$L$5:$L$1004,"&gt;0"))</f>
        <v/>
      </c>
      <c r="L17" s="13">
        <f>IF(1&gt;Settings!$B$6,"",SUMIFS(Pledges!$E$5:$E$504,Pledges!$A$5:$A$504,1,Pledges!$B$5:$B$504,A17))</f>
        <v/>
      </c>
      <c r="M17" s="13">
        <f>IF(2&gt;Settings!$B$6,"",SUMIFS(Pledges!$E$5:$E$504,Pledges!$A$5:$A$504,2,Pledges!$B$5:$B$504,A17))</f>
        <v/>
      </c>
      <c r="N17" s="13">
        <f>IF(3&gt;Settings!$B$6,"",SUMIFS(Pledges!$E$5:$E$504,Pledges!$A$5:$A$504,3,Pledges!$B$5:$B$504,A17))</f>
        <v/>
      </c>
      <c r="O17" s="13">
        <f>IF(4&gt;Settings!$B$6,"",SUMIFS(Pledges!$E$5:$E$504,Pledges!$A$5:$A$504,4,Pledges!$B$5:$B$504,A17))</f>
        <v/>
      </c>
      <c r="P17" s="13">
        <f>IF(5&gt;Settings!$B$6,"",SUMIFS(Pledges!$E$5:$E$504,Pledges!$A$5:$A$504,5,Pledges!$B$5:$B$504,A17))</f>
        <v/>
      </c>
      <c r="Q17" s="13">
        <f>IF(6&gt;Settings!$B$6,"",SUMIFS(Pledges!$E$5:$E$504,Pledges!$A$5:$A$504,6,Pledges!$B$5:$B$504,A17))</f>
        <v/>
      </c>
      <c r="R17" s="13">
        <f>IF(7&gt;Settings!$B$6,"",SUMIFS(Pledges!$E$5:$E$504,Pledges!$A$5:$A$504,7,Pledges!$B$5:$B$504,A17))</f>
        <v/>
      </c>
      <c r="S17" s="13">
        <f>IF(8&gt;Settings!$B$6,"",SUMIFS(Pledges!$E$5:$E$504,Pledges!$A$5:$A$504,8,Pledges!$B$5:$B$504,A17))</f>
        <v/>
      </c>
    </row>
    <row r="18">
      <c r="A18" s="3">
        <f>Steps!A18</f>
        <v/>
      </c>
      <c r="B18" s="3">
        <f>Steps!C18</f>
        <v/>
      </c>
      <c r="C18" s="12">
        <f>Steps!E18</f>
        <v/>
      </c>
      <c r="D18" s="13">
        <f>IF(1&gt;Settings!$B$6,"",SUMIFS('Work log'!$F$5:$F$1004,'Work log'!$B$5:$B$1004,1,'Work log'!$C$5:$C$1004,A18,'Work log'!$L$5:$L$1004,"&gt;0"))</f>
        <v/>
      </c>
      <c r="E18" s="13">
        <f>IF(2&gt;Settings!$B$6,"",SUMIFS('Work log'!$F$5:$F$1004,'Work log'!$B$5:$B$1004,2,'Work log'!$C$5:$C$1004,A18,'Work log'!$L$5:$L$1004,"&gt;0"))</f>
        <v/>
      </c>
      <c r="F18" s="13">
        <f>IF(3&gt;Settings!$B$6,"",SUMIFS('Work log'!$F$5:$F$1004,'Work log'!$B$5:$B$1004,3,'Work log'!$C$5:$C$1004,A18,'Work log'!$L$5:$L$1004,"&gt;0"))</f>
        <v/>
      </c>
      <c r="G18" s="13">
        <f>IF(4&gt;Settings!$B$6,"",SUMIFS('Work log'!$F$5:$F$1004,'Work log'!$B$5:$B$1004,4,'Work log'!$C$5:$C$1004,A18,'Work log'!$L$5:$L$1004,"&gt;0"))</f>
        <v/>
      </c>
      <c r="H18" s="13">
        <f>IF(5&gt;Settings!$B$6,"",SUMIFS('Work log'!$F$5:$F$1004,'Work log'!$B$5:$B$1004,5,'Work log'!$C$5:$C$1004,A18,'Work log'!$L$5:$L$1004,"&gt;0"))</f>
        <v/>
      </c>
      <c r="I18" s="13">
        <f>IF(6&gt;Settings!$B$6,"",SUMIFS('Work log'!$F$5:$F$1004,'Work log'!$B$5:$B$1004,6,'Work log'!$C$5:$C$1004,A18,'Work log'!$L$5:$L$1004,"&gt;0"))</f>
        <v/>
      </c>
      <c r="J18" s="13">
        <f>IF(7&gt;Settings!$B$6,"",SUMIFS('Work log'!$F$5:$F$1004,'Work log'!$B$5:$B$1004,7,'Work log'!$C$5:$C$1004,A18,'Work log'!$L$5:$L$1004,"&gt;0"))</f>
        <v/>
      </c>
      <c r="K18" s="13">
        <f>IF(8&gt;Settings!$B$6,"",SUMIFS('Work log'!$F$5:$F$1004,'Work log'!$B$5:$B$1004,8,'Work log'!$C$5:$C$1004,A18,'Work log'!$L$5:$L$1004,"&gt;0"))</f>
        <v/>
      </c>
      <c r="L18" s="13">
        <f>IF(1&gt;Settings!$B$6,"",SUMIFS(Pledges!$E$5:$E$504,Pledges!$A$5:$A$504,1,Pledges!$B$5:$B$504,A18))</f>
        <v/>
      </c>
      <c r="M18" s="13">
        <f>IF(2&gt;Settings!$B$6,"",SUMIFS(Pledges!$E$5:$E$504,Pledges!$A$5:$A$504,2,Pledges!$B$5:$B$504,A18))</f>
        <v/>
      </c>
      <c r="N18" s="13">
        <f>IF(3&gt;Settings!$B$6,"",SUMIFS(Pledges!$E$5:$E$504,Pledges!$A$5:$A$504,3,Pledges!$B$5:$B$504,A18))</f>
        <v/>
      </c>
      <c r="O18" s="13">
        <f>IF(4&gt;Settings!$B$6,"",SUMIFS(Pledges!$E$5:$E$504,Pledges!$A$5:$A$504,4,Pledges!$B$5:$B$504,A18))</f>
        <v/>
      </c>
      <c r="P18" s="13">
        <f>IF(5&gt;Settings!$B$6,"",SUMIFS(Pledges!$E$5:$E$504,Pledges!$A$5:$A$504,5,Pledges!$B$5:$B$504,A18))</f>
        <v/>
      </c>
      <c r="Q18" s="13">
        <f>IF(6&gt;Settings!$B$6,"",SUMIFS(Pledges!$E$5:$E$504,Pledges!$A$5:$A$504,6,Pledges!$B$5:$B$504,A18))</f>
        <v/>
      </c>
      <c r="R18" s="13">
        <f>IF(7&gt;Settings!$B$6,"",SUMIFS(Pledges!$E$5:$E$504,Pledges!$A$5:$A$504,7,Pledges!$B$5:$B$504,A18))</f>
        <v/>
      </c>
      <c r="S18" s="13">
        <f>IF(8&gt;Settings!$B$6,"",SUMIFS(Pledges!$E$5:$E$504,Pledges!$A$5:$A$504,8,Pledges!$B$5:$B$504,A18))</f>
        <v/>
      </c>
    </row>
    <row r="19">
      <c r="A19" s="3">
        <f>Steps!A19</f>
        <v/>
      </c>
      <c r="B19" s="3">
        <f>Steps!C19</f>
        <v/>
      </c>
      <c r="C19" s="12">
        <f>Steps!E19</f>
        <v/>
      </c>
      <c r="D19" s="13">
        <f>IF(1&gt;Settings!$B$6,"",SUMIFS('Work log'!$F$5:$F$1004,'Work log'!$B$5:$B$1004,1,'Work log'!$C$5:$C$1004,A19,'Work log'!$L$5:$L$1004,"&gt;0"))</f>
        <v/>
      </c>
      <c r="E19" s="13">
        <f>IF(2&gt;Settings!$B$6,"",SUMIFS('Work log'!$F$5:$F$1004,'Work log'!$B$5:$B$1004,2,'Work log'!$C$5:$C$1004,A19,'Work log'!$L$5:$L$1004,"&gt;0"))</f>
        <v/>
      </c>
      <c r="F19" s="13">
        <f>IF(3&gt;Settings!$B$6,"",SUMIFS('Work log'!$F$5:$F$1004,'Work log'!$B$5:$B$1004,3,'Work log'!$C$5:$C$1004,A19,'Work log'!$L$5:$L$1004,"&gt;0"))</f>
        <v/>
      </c>
      <c r="G19" s="13">
        <f>IF(4&gt;Settings!$B$6,"",SUMIFS('Work log'!$F$5:$F$1004,'Work log'!$B$5:$B$1004,4,'Work log'!$C$5:$C$1004,A19,'Work log'!$L$5:$L$1004,"&gt;0"))</f>
        <v/>
      </c>
      <c r="H19" s="13">
        <f>IF(5&gt;Settings!$B$6,"",SUMIFS('Work log'!$F$5:$F$1004,'Work log'!$B$5:$B$1004,5,'Work log'!$C$5:$C$1004,A19,'Work log'!$L$5:$L$1004,"&gt;0"))</f>
        <v/>
      </c>
      <c r="I19" s="13">
        <f>IF(6&gt;Settings!$B$6,"",SUMIFS('Work log'!$F$5:$F$1004,'Work log'!$B$5:$B$1004,6,'Work log'!$C$5:$C$1004,A19,'Work log'!$L$5:$L$1004,"&gt;0"))</f>
        <v/>
      </c>
      <c r="J19" s="13">
        <f>IF(7&gt;Settings!$B$6,"",SUMIFS('Work log'!$F$5:$F$1004,'Work log'!$B$5:$B$1004,7,'Work log'!$C$5:$C$1004,A19,'Work log'!$L$5:$L$1004,"&gt;0"))</f>
        <v/>
      </c>
      <c r="K19" s="13">
        <f>IF(8&gt;Settings!$B$6,"",SUMIFS('Work log'!$F$5:$F$1004,'Work log'!$B$5:$B$1004,8,'Work log'!$C$5:$C$1004,A19,'Work log'!$L$5:$L$1004,"&gt;0"))</f>
        <v/>
      </c>
      <c r="L19" s="13">
        <f>IF(1&gt;Settings!$B$6,"",SUMIFS(Pledges!$E$5:$E$504,Pledges!$A$5:$A$504,1,Pledges!$B$5:$B$504,A19))</f>
        <v/>
      </c>
      <c r="M19" s="13">
        <f>IF(2&gt;Settings!$B$6,"",SUMIFS(Pledges!$E$5:$E$504,Pledges!$A$5:$A$504,2,Pledges!$B$5:$B$504,A19))</f>
        <v/>
      </c>
      <c r="N19" s="13">
        <f>IF(3&gt;Settings!$B$6,"",SUMIFS(Pledges!$E$5:$E$504,Pledges!$A$5:$A$504,3,Pledges!$B$5:$B$504,A19))</f>
        <v/>
      </c>
      <c r="O19" s="13">
        <f>IF(4&gt;Settings!$B$6,"",SUMIFS(Pledges!$E$5:$E$504,Pledges!$A$5:$A$504,4,Pledges!$B$5:$B$504,A19))</f>
        <v/>
      </c>
      <c r="P19" s="13">
        <f>IF(5&gt;Settings!$B$6,"",SUMIFS(Pledges!$E$5:$E$504,Pledges!$A$5:$A$504,5,Pledges!$B$5:$B$504,A19))</f>
        <v/>
      </c>
      <c r="Q19" s="13">
        <f>IF(6&gt;Settings!$B$6,"",SUMIFS(Pledges!$E$5:$E$504,Pledges!$A$5:$A$504,6,Pledges!$B$5:$B$504,A19))</f>
        <v/>
      </c>
      <c r="R19" s="13">
        <f>IF(7&gt;Settings!$B$6,"",SUMIFS(Pledges!$E$5:$E$504,Pledges!$A$5:$A$504,7,Pledges!$B$5:$B$504,A19))</f>
        <v/>
      </c>
      <c r="S19" s="13">
        <f>IF(8&gt;Settings!$B$6,"",SUMIFS(Pledges!$E$5:$E$504,Pledges!$A$5:$A$504,8,Pledges!$B$5:$B$504,A19))</f>
        <v/>
      </c>
    </row>
    <row r="20">
      <c r="A20" s="3">
        <f>Steps!A20</f>
        <v/>
      </c>
      <c r="B20" s="3">
        <f>Steps!C20</f>
        <v/>
      </c>
      <c r="C20" s="12">
        <f>Steps!E20</f>
        <v/>
      </c>
      <c r="D20" s="13">
        <f>IF(1&gt;Settings!$B$6,"",SUMIFS('Work log'!$F$5:$F$1004,'Work log'!$B$5:$B$1004,1,'Work log'!$C$5:$C$1004,A20,'Work log'!$L$5:$L$1004,"&gt;0"))</f>
        <v/>
      </c>
      <c r="E20" s="13">
        <f>IF(2&gt;Settings!$B$6,"",SUMIFS('Work log'!$F$5:$F$1004,'Work log'!$B$5:$B$1004,2,'Work log'!$C$5:$C$1004,A20,'Work log'!$L$5:$L$1004,"&gt;0"))</f>
        <v/>
      </c>
      <c r="F20" s="13">
        <f>IF(3&gt;Settings!$B$6,"",SUMIFS('Work log'!$F$5:$F$1004,'Work log'!$B$5:$B$1004,3,'Work log'!$C$5:$C$1004,A20,'Work log'!$L$5:$L$1004,"&gt;0"))</f>
        <v/>
      </c>
      <c r="G20" s="13">
        <f>IF(4&gt;Settings!$B$6,"",SUMIFS('Work log'!$F$5:$F$1004,'Work log'!$B$5:$B$1004,4,'Work log'!$C$5:$C$1004,A20,'Work log'!$L$5:$L$1004,"&gt;0"))</f>
        <v/>
      </c>
      <c r="H20" s="13">
        <f>IF(5&gt;Settings!$B$6,"",SUMIFS('Work log'!$F$5:$F$1004,'Work log'!$B$5:$B$1004,5,'Work log'!$C$5:$C$1004,A20,'Work log'!$L$5:$L$1004,"&gt;0"))</f>
        <v/>
      </c>
      <c r="I20" s="13">
        <f>IF(6&gt;Settings!$B$6,"",SUMIFS('Work log'!$F$5:$F$1004,'Work log'!$B$5:$B$1004,6,'Work log'!$C$5:$C$1004,A20,'Work log'!$L$5:$L$1004,"&gt;0"))</f>
        <v/>
      </c>
      <c r="J20" s="13">
        <f>IF(7&gt;Settings!$B$6,"",SUMIFS('Work log'!$F$5:$F$1004,'Work log'!$B$5:$B$1004,7,'Work log'!$C$5:$C$1004,A20,'Work log'!$L$5:$L$1004,"&gt;0"))</f>
        <v/>
      </c>
      <c r="K20" s="13">
        <f>IF(8&gt;Settings!$B$6,"",SUMIFS('Work log'!$F$5:$F$1004,'Work log'!$B$5:$B$1004,8,'Work log'!$C$5:$C$1004,A20,'Work log'!$L$5:$L$1004,"&gt;0"))</f>
        <v/>
      </c>
      <c r="L20" s="13">
        <f>IF(1&gt;Settings!$B$6,"",SUMIFS(Pledges!$E$5:$E$504,Pledges!$A$5:$A$504,1,Pledges!$B$5:$B$504,A20))</f>
        <v/>
      </c>
      <c r="M20" s="13">
        <f>IF(2&gt;Settings!$B$6,"",SUMIFS(Pledges!$E$5:$E$504,Pledges!$A$5:$A$504,2,Pledges!$B$5:$B$504,A20))</f>
        <v/>
      </c>
      <c r="N20" s="13">
        <f>IF(3&gt;Settings!$B$6,"",SUMIFS(Pledges!$E$5:$E$504,Pledges!$A$5:$A$504,3,Pledges!$B$5:$B$504,A20))</f>
        <v/>
      </c>
      <c r="O20" s="13">
        <f>IF(4&gt;Settings!$B$6,"",SUMIFS(Pledges!$E$5:$E$504,Pledges!$A$5:$A$504,4,Pledges!$B$5:$B$504,A20))</f>
        <v/>
      </c>
      <c r="P20" s="13">
        <f>IF(5&gt;Settings!$B$6,"",SUMIFS(Pledges!$E$5:$E$504,Pledges!$A$5:$A$504,5,Pledges!$B$5:$B$504,A20))</f>
        <v/>
      </c>
      <c r="Q20" s="13">
        <f>IF(6&gt;Settings!$B$6,"",SUMIFS(Pledges!$E$5:$E$504,Pledges!$A$5:$A$504,6,Pledges!$B$5:$B$504,A20))</f>
        <v/>
      </c>
      <c r="R20" s="13">
        <f>IF(7&gt;Settings!$B$6,"",SUMIFS(Pledges!$E$5:$E$504,Pledges!$A$5:$A$504,7,Pledges!$B$5:$B$504,A20))</f>
        <v/>
      </c>
      <c r="S20" s="13">
        <f>IF(8&gt;Settings!$B$6,"",SUMIFS(Pledges!$E$5:$E$504,Pledges!$A$5:$A$504,8,Pledges!$B$5:$B$504,A20))</f>
        <v/>
      </c>
    </row>
    <row r="21">
      <c r="A21" s="3">
        <f>Steps!A21</f>
        <v/>
      </c>
      <c r="B21" s="3">
        <f>Steps!C21</f>
        <v/>
      </c>
      <c r="C21" s="12">
        <f>Steps!E21</f>
        <v/>
      </c>
      <c r="D21" s="13">
        <f>IF(1&gt;Settings!$B$6,"",SUMIFS('Work log'!$F$5:$F$1004,'Work log'!$B$5:$B$1004,1,'Work log'!$C$5:$C$1004,A21,'Work log'!$L$5:$L$1004,"&gt;0"))</f>
        <v/>
      </c>
      <c r="E21" s="13">
        <f>IF(2&gt;Settings!$B$6,"",SUMIFS('Work log'!$F$5:$F$1004,'Work log'!$B$5:$B$1004,2,'Work log'!$C$5:$C$1004,A21,'Work log'!$L$5:$L$1004,"&gt;0"))</f>
        <v/>
      </c>
      <c r="F21" s="13">
        <f>IF(3&gt;Settings!$B$6,"",SUMIFS('Work log'!$F$5:$F$1004,'Work log'!$B$5:$B$1004,3,'Work log'!$C$5:$C$1004,A21,'Work log'!$L$5:$L$1004,"&gt;0"))</f>
        <v/>
      </c>
      <c r="G21" s="13">
        <f>IF(4&gt;Settings!$B$6,"",SUMIFS('Work log'!$F$5:$F$1004,'Work log'!$B$5:$B$1004,4,'Work log'!$C$5:$C$1004,A21,'Work log'!$L$5:$L$1004,"&gt;0"))</f>
        <v/>
      </c>
      <c r="H21" s="13">
        <f>IF(5&gt;Settings!$B$6,"",SUMIFS('Work log'!$F$5:$F$1004,'Work log'!$B$5:$B$1004,5,'Work log'!$C$5:$C$1004,A21,'Work log'!$L$5:$L$1004,"&gt;0"))</f>
        <v/>
      </c>
      <c r="I21" s="13">
        <f>IF(6&gt;Settings!$B$6,"",SUMIFS('Work log'!$F$5:$F$1004,'Work log'!$B$5:$B$1004,6,'Work log'!$C$5:$C$1004,A21,'Work log'!$L$5:$L$1004,"&gt;0"))</f>
        <v/>
      </c>
      <c r="J21" s="13">
        <f>IF(7&gt;Settings!$B$6,"",SUMIFS('Work log'!$F$5:$F$1004,'Work log'!$B$5:$B$1004,7,'Work log'!$C$5:$C$1004,A21,'Work log'!$L$5:$L$1004,"&gt;0"))</f>
        <v/>
      </c>
      <c r="K21" s="13">
        <f>IF(8&gt;Settings!$B$6,"",SUMIFS('Work log'!$F$5:$F$1004,'Work log'!$B$5:$B$1004,8,'Work log'!$C$5:$C$1004,A21,'Work log'!$L$5:$L$1004,"&gt;0"))</f>
        <v/>
      </c>
      <c r="L21" s="13">
        <f>IF(1&gt;Settings!$B$6,"",SUMIFS(Pledges!$E$5:$E$504,Pledges!$A$5:$A$504,1,Pledges!$B$5:$B$504,A21))</f>
        <v/>
      </c>
      <c r="M21" s="13">
        <f>IF(2&gt;Settings!$B$6,"",SUMIFS(Pledges!$E$5:$E$504,Pledges!$A$5:$A$504,2,Pledges!$B$5:$B$504,A21))</f>
        <v/>
      </c>
      <c r="N21" s="13">
        <f>IF(3&gt;Settings!$B$6,"",SUMIFS(Pledges!$E$5:$E$504,Pledges!$A$5:$A$504,3,Pledges!$B$5:$B$504,A21))</f>
        <v/>
      </c>
      <c r="O21" s="13">
        <f>IF(4&gt;Settings!$B$6,"",SUMIFS(Pledges!$E$5:$E$504,Pledges!$A$5:$A$504,4,Pledges!$B$5:$B$504,A21))</f>
        <v/>
      </c>
      <c r="P21" s="13">
        <f>IF(5&gt;Settings!$B$6,"",SUMIFS(Pledges!$E$5:$E$504,Pledges!$A$5:$A$504,5,Pledges!$B$5:$B$504,A21))</f>
        <v/>
      </c>
      <c r="Q21" s="13">
        <f>IF(6&gt;Settings!$B$6,"",SUMIFS(Pledges!$E$5:$E$504,Pledges!$A$5:$A$504,6,Pledges!$B$5:$B$504,A21))</f>
        <v/>
      </c>
      <c r="R21" s="13">
        <f>IF(7&gt;Settings!$B$6,"",SUMIFS(Pledges!$E$5:$E$504,Pledges!$A$5:$A$504,7,Pledges!$B$5:$B$504,A21))</f>
        <v/>
      </c>
      <c r="S21" s="13">
        <f>IF(8&gt;Settings!$B$6,"",SUMIFS(Pledges!$E$5:$E$504,Pledges!$A$5:$A$504,8,Pledges!$B$5:$B$504,A21))</f>
        <v/>
      </c>
    </row>
    <row r="22">
      <c r="A22" s="3">
        <f>Steps!A22</f>
        <v/>
      </c>
      <c r="B22" s="3">
        <f>Steps!C22</f>
        <v/>
      </c>
      <c r="C22" s="12">
        <f>Steps!E22</f>
        <v/>
      </c>
      <c r="D22" s="13">
        <f>IF(1&gt;Settings!$B$6,"",SUMIFS('Work log'!$F$5:$F$1004,'Work log'!$B$5:$B$1004,1,'Work log'!$C$5:$C$1004,A22,'Work log'!$L$5:$L$1004,"&gt;0"))</f>
        <v/>
      </c>
      <c r="E22" s="13">
        <f>IF(2&gt;Settings!$B$6,"",SUMIFS('Work log'!$F$5:$F$1004,'Work log'!$B$5:$B$1004,2,'Work log'!$C$5:$C$1004,A22,'Work log'!$L$5:$L$1004,"&gt;0"))</f>
        <v/>
      </c>
      <c r="F22" s="13">
        <f>IF(3&gt;Settings!$B$6,"",SUMIFS('Work log'!$F$5:$F$1004,'Work log'!$B$5:$B$1004,3,'Work log'!$C$5:$C$1004,A22,'Work log'!$L$5:$L$1004,"&gt;0"))</f>
        <v/>
      </c>
      <c r="G22" s="13">
        <f>IF(4&gt;Settings!$B$6,"",SUMIFS('Work log'!$F$5:$F$1004,'Work log'!$B$5:$B$1004,4,'Work log'!$C$5:$C$1004,A22,'Work log'!$L$5:$L$1004,"&gt;0"))</f>
        <v/>
      </c>
      <c r="H22" s="13">
        <f>IF(5&gt;Settings!$B$6,"",SUMIFS('Work log'!$F$5:$F$1004,'Work log'!$B$5:$B$1004,5,'Work log'!$C$5:$C$1004,A22,'Work log'!$L$5:$L$1004,"&gt;0"))</f>
        <v/>
      </c>
      <c r="I22" s="13">
        <f>IF(6&gt;Settings!$B$6,"",SUMIFS('Work log'!$F$5:$F$1004,'Work log'!$B$5:$B$1004,6,'Work log'!$C$5:$C$1004,A22,'Work log'!$L$5:$L$1004,"&gt;0"))</f>
        <v/>
      </c>
      <c r="J22" s="13">
        <f>IF(7&gt;Settings!$B$6,"",SUMIFS('Work log'!$F$5:$F$1004,'Work log'!$B$5:$B$1004,7,'Work log'!$C$5:$C$1004,A22,'Work log'!$L$5:$L$1004,"&gt;0"))</f>
        <v/>
      </c>
      <c r="K22" s="13">
        <f>IF(8&gt;Settings!$B$6,"",SUMIFS('Work log'!$F$5:$F$1004,'Work log'!$B$5:$B$1004,8,'Work log'!$C$5:$C$1004,A22,'Work log'!$L$5:$L$1004,"&gt;0"))</f>
        <v/>
      </c>
      <c r="L22" s="13">
        <f>IF(1&gt;Settings!$B$6,"",SUMIFS(Pledges!$E$5:$E$504,Pledges!$A$5:$A$504,1,Pledges!$B$5:$B$504,A22))</f>
        <v/>
      </c>
      <c r="M22" s="13">
        <f>IF(2&gt;Settings!$B$6,"",SUMIFS(Pledges!$E$5:$E$504,Pledges!$A$5:$A$504,2,Pledges!$B$5:$B$504,A22))</f>
        <v/>
      </c>
      <c r="N22" s="13">
        <f>IF(3&gt;Settings!$B$6,"",SUMIFS(Pledges!$E$5:$E$504,Pledges!$A$5:$A$504,3,Pledges!$B$5:$B$504,A22))</f>
        <v/>
      </c>
      <c r="O22" s="13">
        <f>IF(4&gt;Settings!$B$6,"",SUMIFS(Pledges!$E$5:$E$504,Pledges!$A$5:$A$504,4,Pledges!$B$5:$B$504,A22))</f>
        <v/>
      </c>
      <c r="P22" s="13">
        <f>IF(5&gt;Settings!$B$6,"",SUMIFS(Pledges!$E$5:$E$504,Pledges!$A$5:$A$504,5,Pledges!$B$5:$B$504,A22))</f>
        <v/>
      </c>
      <c r="Q22" s="13">
        <f>IF(6&gt;Settings!$B$6,"",SUMIFS(Pledges!$E$5:$E$504,Pledges!$A$5:$A$504,6,Pledges!$B$5:$B$504,A22))</f>
        <v/>
      </c>
      <c r="R22" s="13">
        <f>IF(7&gt;Settings!$B$6,"",SUMIFS(Pledges!$E$5:$E$504,Pledges!$A$5:$A$504,7,Pledges!$B$5:$B$504,A22))</f>
        <v/>
      </c>
      <c r="S22" s="13">
        <f>IF(8&gt;Settings!$B$6,"",SUMIFS(Pledges!$E$5:$E$504,Pledges!$A$5:$A$504,8,Pledges!$B$5:$B$504,A22))</f>
        <v/>
      </c>
    </row>
    <row r="23">
      <c r="A23" s="3">
        <f>Steps!A23</f>
        <v/>
      </c>
      <c r="B23" s="3">
        <f>Steps!C23</f>
        <v/>
      </c>
      <c r="C23" s="12">
        <f>Steps!E23</f>
        <v/>
      </c>
      <c r="D23" s="13">
        <f>IF(1&gt;Settings!$B$6,"",SUMIFS('Work log'!$F$5:$F$1004,'Work log'!$B$5:$B$1004,1,'Work log'!$C$5:$C$1004,A23,'Work log'!$L$5:$L$1004,"&gt;0"))</f>
        <v/>
      </c>
      <c r="E23" s="13">
        <f>IF(2&gt;Settings!$B$6,"",SUMIFS('Work log'!$F$5:$F$1004,'Work log'!$B$5:$B$1004,2,'Work log'!$C$5:$C$1004,A23,'Work log'!$L$5:$L$1004,"&gt;0"))</f>
        <v/>
      </c>
      <c r="F23" s="13">
        <f>IF(3&gt;Settings!$B$6,"",SUMIFS('Work log'!$F$5:$F$1004,'Work log'!$B$5:$B$1004,3,'Work log'!$C$5:$C$1004,A23,'Work log'!$L$5:$L$1004,"&gt;0"))</f>
        <v/>
      </c>
      <c r="G23" s="13">
        <f>IF(4&gt;Settings!$B$6,"",SUMIFS('Work log'!$F$5:$F$1004,'Work log'!$B$5:$B$1004,4,'Work log'!$C$5:$C$1004,A23,'Work log'!$L$5:$L$1004,"&gt;0"))</f>
        <v/>
      </c>
      <c r="H23" s="13">
        <f>IF(5&gt;Settings!$B$6,"",SUMIFS('Work log'!$F$5:$F$1004,'Work log'!$B$5:$B$1004,5,'Work log'!$C$5:$C$1004,A23,'Work log'!$L$5:$L$1004,"&gt;0"))</f>
        <v/>
      </c>
      <c r="I23" s="13">
        <f>IF(6&gt;Settings!$B$6,"",SUMIFS('Work log'!$F$5:$F$1004,'Work log'!$B$5:$B$1004,6,'Work log'!$C$5:$C$1004,A23,'Work log'!$L$5:$L$1004,"&gt;0"))</f>
        <v/>
      </c>
      <c r="J23" s="13">
        <f>IF(7&gt;Settings!$B$6,"",SUMIFS('Work log'!$F$5:$F$1004,'Work log'!$B$5:$B$1004,7,'Work log'!$C$5:$C$1004,A23,'Work log'!$L$5:$L$1004,"&gt;0"))</f>
        <v/>
      </c>
      <c r="K23" s="13">
        <f>IF(8&gt;Settings!$B$6,"",SUMIFS('Work log'!$F$5:$F$1004,'Work log'!$B$5:$B$1004,8,'Work log'!$C$5:$C$1004,A23,'Work log'!$L$5:$L$1004,"&gt;0"))</f>
        <v/>
      </c>
      <c r="L23" s="13">
        <f>IF(1&gt;Settings!$B$6,"",SUMIFS(Pledges!$E$5:$E$504,Pledges!$A$5:$A$504,1,Pledges!$B$5:$B$504,A23))</f>
        <v/>
      </c>
      <c r="M23" s="13">
        <f>IF(2&gt;Settings!$B$6,"",SUMIFS(Pledges!$E$5:$E$504,Pledges!$A$5:$A$504,2,Pledges!$B$5:$B$504,A23))</f>
        <v/>
      </c>
      <c r="N23" s="13">
        <f>IF(3&gt;Settings!$B$6,"",SUMIFS(Pledges!$E$5:$E$504,Pledges!$A$5:$A$504,3,Pledges!$B$5:$B$504,A23))</f>
        <v/>
      </c>
      <c r="O23" s="13">
        <f>IF(4&gt;Settings!$B$6,"",SUMIFS(Pledges!$E$5:$E$504,Pledges!$A$5:$A$504,4,Pledges!$B$5:$B$504,A23))</f>
        <v/>
      </c>
      <c r="P23" s="13">
        <f>IF(5&gt;Settings!$B$6,"",SUMIFS(Pledges!$E$5:$E$504,Pledges!$A$5:$A$504,5,Pledges!$B$5:$B$504,A23))</f>
        <v/>
      </c>
      <c r="Q23" s="13">
        <f>IF(6&gt;Settings!$B$6,"",SUMIFS(Pledges!$E$5:$E$504,Pledges!$A$5:$A$504,6,Pledges!$B$5:$B$504,A23))</f>
        <v/>
      </c>
      <c r="R23" s="13">
        <f>IF(7&gt;Settings!$B$6,"",SUMIFS(Pledges!$E$5:$E$504,Pledges!$A$5:$A$504,7,Pledges!$B$5:$B$504,A23))</f>
        <v/>
      </c>
      <c r="S23" s="13">
        <f>IF(8&gt;Settings!$B$6,"",SUMIFS(Pledges!$E$5:$E$504,Pledges!$A$5:$A$504,8,Pledges!$B$5:$B$504,A23))</f>
        <v/>
      </c>
    </row>
    <row r="24">
      <c r="A24" s="3">
        <f>Steps!A24</f>
        <v/>
      </c>
      <c r="B24" s="3">
        <f>Steps!C24</f>
        <v/>
      </c>
      <c r="C24" s="12">
        <f>Steps!E24</f>
        <v/>
      </c>
      <c r="D24" s="13">
        <f>IF(1&gt;Settings!$B$6,"",SUMIFS('Work log'!$F$5:$F$1004,'Work log'!$B$5:$B$1004,1,'Work log'!$C$5:$C$1004,A24,'Work log'!$L$5:$L$1004,"&gt;0"))</f>
        <v/>
      </c>
      <c r="E24" s="13">
        <f>IF(2&gt;Settings!$B$6,"",SUMIFS('Work log'!$F$5:$F$1004,'Work log'!$B$5:$B$1004,2,'Work log'!$C$5:$C$1004,A24,'Work log'!$L$5:$L$1004,"&gt;0"))</f>
        <v/>
      </c>
      <c r="F24" s="13">
        <f>IF(3&gt;Settings!$B$6,"",SUMIFS('Work log'!$F$5:$F$1004,'Work log'!$B$5:$B$1004,3,'Work log'!$C$5:$C$1004,A24,'Work log'!$L$5:$L$1004,"&gt;0"))</f>
        <v/>
      </c>
      <c r="G24" s="13">
        <f>IF(4&gt;Settings!$B$6,"",SUMIFS('Work log'!$F$5:$F$1004,'Work log'!$B$5:$B$1004,4,'Work log'!$C$5:$C$1004,A24,'Work log'!$L$5:$L$1004,"&gt;0"))</f>
        <v/>
      </c>
      <c r="H24" s="13">
        <f>IF(5&gt;Settings!$B$6,"",SUMIFS('Work log'!$F$5:$F$1004,'Work log'!$B$5:$B$1004,5,'Work log'!$C$5:$C$1004,A24,'Work log'!$L$5:$L$1004,"&gt;0"))</f>
        <v/>
      </c>
      <c r="I24" s="13">
        <f>IF(6&gt;Settings!$B$6,"",SUMIFS('Work log'!$F$5:$F$1004,'Work log'!$B$5:$B$1004,6,'Work log'!$C$5:$C$1004,A24,'Work log'!$L$5:$L$1004,"&gt;0"))</f>
        <v/>
      </c>
      <c r="J24" s="13">
        <f>IF(7&gt;Settings!$B$6,"",SUMIFS('Work log'!$F$5:$F$1004,'Work log'!$B$5:$B$1004,7,'Work log'!$C$5:$C$1004,A24,'Work log'!$L$5:$L$1004,"&gt;0"))</f>
        <v/>
      </c>
      <c r="K24" s="13">
        <f>IF(8&gt;Settings!$B$6,"",SUMIFS('Work log'!$F$5:$F$1004,'Work log'!$B$5:$B$1004,8,'Work log'!$C$5:$C$1004,A24,'Work log'!$L$5:$L$1004,"&gt;0"))</f>
        <v/>
      </c>
      <c r="L24" s="13">
        <f>IF(1&gt;Settings!$B$6,"",SUMIFS(Pledges!$E$5:$E$504,Pledges!$A$5:$A$504,1,Pledges!$B$5:$B$504,A24))</f>
        <v/>
      </c>
      <c r="M24" s="13">
        <f>IF(2&gt;Settings!$B$6,"",SUMIFS(Pledges!$E$5:$E$504,Pledges!$A$5:$A$504,2,Pledges!$B$5:$B$504,A24))</f>
        <v/>
      </c>
      <c r="N24" s="13">
        <f>IF(3&gt;Settings!$B$6,"",SUMIFS(Pledges!$E$5:$E$504,Pledges!$A$5:$A$504,3,Pledges!$B$5:$B$504,A24))</f>
        <v/>
      </c>
      <c r="O24" s="13">
        <f>IF(4&gt;Settings!$B$6,"",SUMIFS(Pledges!$E$5:$E$504,Pledges!$A$5:$A$504,4,Pledges!$B$5:$B$504,A24))</f>
        <v/>
      </c>
      <c r="P24" s="13">
        <f>IF(5&gt;Settings!$B$6,"",SUMIFS(Pledges!$E$5:$E$504,Pledges!$A$5:$A$504,5,Pledges!$B$5:$B$504,A24))</f>
        <v/>
      </c>
      <c r="Q24" s="13">
        <f>IF(6&gt;Settings!$B$6,"",SUMIFS(Pledges!$E$5:$E$504,Pledges!$A$5:$A$504,6,Pledges!$B$5:$B$504,A24))</f>
        <v/>
      </c>
      <c r="R24" s="13">
        <f>IF(7&gt;Settings!$B$6,"",SUMIFS(Pledges!$E$5:$E$504,Pledges!$A$5:$A$504,7,Pledges!$B$5:$B$504,A24))</f>
        <v/>
      </c>
      <c r="S24" s="13">
        <f>IF(8&gt;Settings!$B$6,"",SUMIFS(Pledges!$E$5:$E$504,Pledges!$A$5:$A$504,8,Pledges!$B$5:$B$504,A24))</f>
        <v/>
      </c>
    </row>
    <row r="25">
      <c r="A25" s="3">
        <f>Steps!A25</f>
        <v/>
      </c>
      <c r="B25" s="3">
        <f>Steps!C25</f>
        <v/>
      </c>
      <c r="C25" s="12">
        <f>Steps!E25</f>
        <v/>
      </c>
      <c r="D25" s="13">
        <f>IF(1&gt;Settings!$B$6,"",SUMIFS('Work log'!$F$5:$F$1004,'Work log'!$B$5:$B$1004,1,'Work log'!$C$5:$C$1004,A25,'Work log'!$L$5:$L$1004,"&gt;0"))</f>
        <v/>
      </c>
      <c r="E25" s="13">
        <f>IF(2&gt;Settings!$B$6,"",SUMIFS('Work log'!$F$5:$F$1004,'Work log'!$B$5:$B$1004,2,'Work log'!$C$5:$C$1004,A25,'Work log'!$L$5:$L$1004,"&gt;0"))</f>
        <v/>
      </c>
      <c r="F25" s="13">
        <f>IF(3&gt;Settings!$B$6,"",SUMIFS('Work log'!$F$5:$F$1004,'Work log'!$B$5:$B$1004,3,'Work log'!$C$5:$C$1004,A25,'Work log'!$L$5:$L$1004,"&gt;0"))</f>
        <v/>
      </c>
      <c r="G25" s="13">
        <f>IF(4&gt;Settings!$B$6,"",SUMIFS('Work log'!$F$5:$F$1004,'Work log'!$B$5:$B$1004,4,'Work log'!$C$5:$C$1004,A25,'Work log'!$L$5:$L$1004,"&gt;0"))</f>
        <v/>
      </c>
      <c r="H25" s="13">
        <f>IF(5&gt;Settings!$B$6,"",SUMIFS('Work log'!$F$5:$F$1004,'Work log'!$B$5:$B$1004,5,'Work log'!$C$5:$C$1004,A25,'Work log'!$L$5:$L$1004,"&gt;0"))</f>
        <v/>
      </c>
      <c r="I25" s="13">
        <f>IF(6&gt;Settings!$B$6,"",SUMIFS('Work log'!$F$5:$F$1004,'Work log'!$B$5:$B$1004,6,'Work log'!$C$5:$C$1004,A25,'Work log'!$L$5:$L$1004,"&gt;0"))</f>
        <v/>
      </c>
      <c r="J25" s="13">
        <f>IF(7&gt;Settings!$B$6,"",SUMIFS('Work log'!$F$5:$F$1004,'Work log'!$B$5:$B$1004,7,'Work log'!$C$5:$C$1004,A25,'Work log'!$L$5:$L$1004,"&gt;0"))</f>
        <v/>
      </c>
      <c r="K25" s="13">
        <f>IF(8&gt;Settings!$B$6,"",SUMIFS('Work log'!$F$5:$F$1004,'Work log'!$B$5:$B$1004,8,'Work log'!$C$5:$C$1004,A25,'Work log'!$L$5:$L$1004,"&gt;0"))</f>
        <v/>
      </c>
      <c r="L25" s="13">
        <f>IF(1&gt;Settings!$B$6,"",SUMIFS(Pledges!$E$5:$E$504,Pledges!$A$5:$A$504,1,Pledges!$B$5:$B$504,A25))</f>
        <v/>
      </c>
      <c r="M25" s="13">
        <f>IF(2&gt;Settings!$B$6,"",SUMIFS(Pledges!$E$5:$E$504,Pledges!$A$5:$A$504,2,Pledges!$B$5:$B$504,A25))</f>
        <v/>
      </c>
      <c r="N25" s="13">
        <f>IF(3&gt;Settings!$B$6,"",SUMIFS(Pledges!$E$5:$E$504,Pledges!$A$5:$A$504,3,Pledges!$B$5:$B$504,A25))</f>
        <v/>
      </c>
      <c r="O25" s="13">
        <f>IF(4&gt;Settings!$B$6,"",SUMIFS(Pledges!$E$5:$E$504,Pledges!$A$5:$A$504,4,Pledges!$B$5:$B$504,A25))</f>
        <v/>
      </c>
      <c r="P25" s="13">
        <f>IF(5&gt;Settings!$B$6,"",SUMIFS(Pledges!$E$5:$E$504,Pledges!$A$5:$A$504,5,Pledges!$B$5:$B$504,A25))</f>
        <v/>
      </c>
      <c r="Q25" s="13">
        <f>IF(6&gt;Settings!$B$6,"",SUMIFS(Pledges!$E$5:$E$504,Pledges!$A$5:$A$504,6,Pledges!$B$5:$B$504,A25))</f>
        <v/>
      </c>
      <c r="R25" s="13">
        <f>IF(7&gt;Settings!$B$6,"",SUMIFS(Pledges!$E$5:$E$504,Pledges!$A$5:$A$504,7,Pledges!$B$5:$B$504,A25))</f>
        <v/>
      </c>
      <c r="S25" s="13">
        <f>IF(8&gt;Settings!$B$6,"",SUMIFS(Pledges!$E$5:$E$504,Pledges!$A$5:$A$504,8,Pledges!$B$5:$B$504,A25))</f>
        <v/>
      </c>
    </row>
    <row r="26">
      <c r="A26" s="3">
        <f>Steps!A26</f>
        <v/>
      </c>
      <c r="B26" s="3">
        <f>Steps!C26</f>
        <v/>
      </c>
      <c r="C26" s="12">
        <f>Steps!E26</f>
        <v/>
      </c>
      <c r="D26" s="13">
        <f>IF(1&gt;Settings!$B$6,"",SUMIFS('Work log'!$F$5:$F$1004,'Work log'!$B$5:$B$1004,1,'Work log'!$C$5:$C$1004,A26,'Work log'!$L$5:$L$1004,"&gt;0"))</f>
        <v/>
      </c>
      <c r="E26" s="13">
        <f>IF(2&gt;Settings!$B$6,"",SUMIFS('Work log'!$F$5:$F$1004,'Work log'!$B$5:$B$1004,2,'Work log'!$C$5:$C$1004,A26,'Work log'!$L$5:$L$1004,"&gt;0"))</f>
        <v/>
      </c>
      <c r="F26" s="13">
        <f>IF(3&gt;Settings!$B$6,"",SUMIFS('Work log'!$F$5:$F$1004,'Work log'!$B$5:$B$1004,3,'Work log'!$C$5:$C$1004,A26,'Work log'!$L$5:$L$1004,"&gt;0"))</f>
        <v/>
      </c>
      <c r="G26" s="13">
        <f>IF(4&gt;Settings!$B$6,"",SUMIFS('Work log'!$F$5:$F$1004,'Work log'!$B$5:$B$1004,4,'Work log'!$C$5:$C$1004,A26,'Work log'!$L$5:$L$1004,"&gt;0"))</f>
        <v/>
      </c>
      <c r="H26" s="13">
        <f>IF(5&gt;Settings!$B$6,"",SUMIFS('Work log'!$F$5:$F$1004,'Work log'!$B$5:$B$1004,5,'Work log'!$C$5:$C$1004,A26,'Work log'!$L$5:$L$1004,"&gt;0"))</f>
        <v/>
      </c>
      <c r="I26" s="13">
        <f>IF(6&gt;Settings!$B$6,"",SUMIFS('Work log'!$F$5:$F$1004,'Work log'!$B$5:$B$1004,6,'Work log'!$C$5:$C$1004,A26,'Work log'!$L$5:$L$1004,"&gt;0"))</f>
        <v/>
      </c>
      <c r="J26" s="13">
        <f>IF(7&gt;Settings!$B$6,"",SUMIFS('Work log'!$F$5:$F$1004,'Work log'!$B$5:$B$1004,7,'Work log'!$C$5:$C$1004,A26,'Work log'!$L$5:$L$1004,"&gt;0"))</f>
        <v/>
      </c>
      <c r="K26" s="13">
        <f>IF(8&gt;Settings!$B$6,"",SUMIFS('Work log'!$F$5:$F$1004,'Work log'!$B$5:$B$1004,8,'Work log'!$C$5:$C$1004,A26,'Work log'!$L$5:$L$1004,"&gt;0"))</f>
        <v/>
      </c>
      <c r="L26" s="13">
        <f>IF(1&gt;Settings!$B$6,"",SUMIFS(Pledges!$E$5:$E$504,Pledges!$A$5:$A$504,1,Pledges!$B$5:$B$504,A26))</f>
        <v/>
      </c>
      <c r="M26" s="13">
        <f>IF(2&gt;Settings!$B$6,"",SUMIFS(Pledges!$E$5:$E$504,Pledges!$A$5:$A$504,2,Pledges!$B$5:$B$504,A26))</f>
        <v/>
      </c>
      <c r="N26" s="13">
        <f>IF(3&gt;Settings!$B$6,"",SUMIFS(Pledges!$E$5:$E$504,Pledges!$A$5:$A$504,3,Pledges!$B$5:$B$504,A26))</f>
        <v/>
      </c>
      <c r="O26" s="13">
        <f>IF(4&gt;Settings!$B$6,"",SUMIFS(Pledges!$E$5:$E$504,Pledges!$A$5:$A$504,4,Pledges!$B$5:$B$504,A26))</f>
        <v/>
      </c>
      <c r="P26" s="13">
        <f>IF(5&gt;Settings!$B$6,"",SUMIFS(Pledges!$E$5:$E$504,Pledges!$A$5:$A$504,5,Pledges!$B$5:$B$504,A26))</f>
        <v/>
      </c>
      <c r="Q26" s="13">
        <f>IF(6&gt;Settings!$B$6,"",SUMIFS(Pledges!$E$5:$E$504,Pledges!$A$5:$A$504,6,Pledges!$B$5:$B$504,A26))</f>
        <v/>
      </c>
      <c r="R26" s="13">
        <f>IF(7&gt;Settings!$B$6,"",SUMIFS(Pledges!$E$5:$E$504,Pledges!$A$5:$A$504,7,Pledges!$B$5:$B$504,A26))</f>
        <v/>
      </c>
      <c r="S26" s="13">
        <f>IF(8&gt;Settings!$B$6,"",SUMIFS(Pledges!$E$5:$E$504,Pledges!$A$5:$A$504,8,Pledges!$B$5:$B$504,A26))</f>
        <v/>
      </c>
    </row>
    <row r="27">
      <c r="A27" s="3">
        <f>Steps!A27</f>
        <v/>
      </c>
      <c r="B27" s="3">
        <f>Steps!C27</f>
        <v/>
      </c>
      <c r="C27" s="12">
        <f>Steps!E27</f>
        <v/>
      </c>
      <c r="D27" s="13">
        <f>IF(1&gt;Settings!$B$6,"",SUMIFS('Work log'!$F$5:$F$1004,'Work log'!$B$5:$B$1004,1,'Work log'!$C$5:$C$1004,A27,'Work log'!$L$5:$L$1004,"&gt;0"))</f>
        <v/>
      </c>
      <c r="E27" s="13">
        <f>IF(2&gt;Settings!$B$6,"",SUMIFS('Work log'!$F$5:$F$1004,'Work log'!$B$5:$B$1004,2,'Work log'!$C$5:$C$1004,A27,'Work log'!$L$5:$L$1004,"&gt;0"))</f>
        <v/>
      </c>
      <c r="F27" s="13">
        <f>IF(3&gt;Settings!$B$6,"",SUMIFS('Work log'!$F$5:$F$1004,'Work log'!$B$5:$B$1004,3,'Work log'!$C$5:$C$1004,A27,'Work log'!$L$5:$L$1004,"&gt;0"))</f>
        <v/>
      </c>
      <c r="G27" s="13">
        <f>IF(4&gt;Settings!$B$6,"",SUMIFS('Work log'!$F$5:$F$1004,'Work log'!$B$5:$B$1004,4,'Work log'!$C$5:$C$1004,A27,'Work log'!$L$5:$L$1004,"&gt;0"))</f>
        <v/>
      </c>
      <c r="H27" s="13">
        <f>IF(5&gt;Settings!$B$6,"",SUMIFS('Work log'!$F$5:$F$1004,'Work log'!$B$5:$B$1004,5,'Work log'!$C$5:$C$1004,A27,'Work log'!$L$5:$L$1004,"&gt;0"))</f>
        <v/>
      </c>
      <c r="I27" s="13">
        <f>IF(6&gt;Settings!$B$6,"",SUMIFS('Work log'!$F$5:$F$1004,'Work log'!$B$5:$B$1004,6,'Work log'!$C$5:$C$1004,A27,'Work log'!$L$5:$L$1004,"&gt;0"))</f>
        <v/>
      </c>
      <c r="J27" s="13">
        <f>IF(7&gt;Settings!$B$6,"",SUMIFS('Work log'!$F$5:$F$1004,'Work log'!$B$5:$B$1004,7,'Work log'!$C$5:$C$1004,A27,'Work log'!$L$5:$L$1004,"&gt;0"))</f>
        <v/>
      </c>
      <c r="K27" s="13">
        <f>IF(8&gt;Settings!$B$6,"",SUMIFS('Work log'!$F$5:$F$1004,'Work log'!$B$5:$B$1004,8,'Work log'!$C$5:$C$1004,A27,'Work log'!$L$5:$L$1004,"&gt;0"))</f>
        <v/>
      </c>
      <c r="L27" s="13">
        <f>IF(1&gt;Settings!$B$6,"",SUMIFS(Pledges!$E$5:$E$504,Pledges!$A$5:$A$504,1,Pledges!$B$5:$B$504,A27))</f>
        <v/>
      </c>
      <c r="M27" s="13">
        <f>IF(2&gt;Settings!$B$6,"",SUMIFS(Pledges!$E$5:$E$504,Pledges!$A$5:$A$504,2,Pledges!$B$5:$B$504,A27))</f>
        <v/>
      </c>
      <c r="N27" s="13">
        <f>IF(3&gt;Settings!$B$6,"",SUMIFS(Pledges!$E$5:$E$504,Pledges!$A$5:$A$504,3,Pledges!$B$5:$B$504,A27))</f>
        <v/>
      </c>
      <c r="O27" s="13">
        <f>IF(4&gt;Settings!$B$6,"",SUMIFS(Pledges!$E$5:$E$504,Pledges!$A$5:$A$504,4,Pledges!$B$5:$B$504,A27))</f>
        <v/>
      </c>
      <c r="P27" s="13">
        <f>IF(5&gt;Settings!$B$6,"",SUMIFS(Pledges!$E$5:$E$504,Pledges!$A$5:$A$504,5,Pledges!$B$5:$B$504,A27))</f>
        <v/>
      </c>
      <c r="Q27" s="13">
        <f>IF(6&gt;Settings!$B$6,"",SUMIFS(Pledges!$E$5:$E$504,Pledges!$A$5:$A$504,6,Pledges!$B$5:$B$504,A27))</f>
        <v/>
      </c>
      <c r="R27" s="13">
        <f>IF(7&gt;Settings!$B$6,"",SUMIFS(Pledges!$E$5:$E$504,Pledges!$A$5:$A$504,7,Pledges!$B$5:$B$504,A27))</f>
        <v/>
      </c>
      <c r="S27" s="13">
        <f>IF(8&gt;Settings!$B$6,"",SUMIFS(Pledges!$E$5:$E$504,Pledges!$A$5:$A$504,8,Pledges!$B$5:$B$504,A27))</f>
        <v/>
      </c>
    </row>
    <row r="28">
      <c r="A28" s="3">
        <f>Steps!A28</f>
        <v/>
      </c>
      <c r="B28" s="3">
        <f>Steps!C28</f>
        <v/>
      </c>
      <c r="C28" s="12">
        <f>Steps!E28</f>
        <v/>
      </c>
      <c r="D28" s="13">
        <f>IF(1&gt;Settings!$B$6,"",SUMIFS('Work log'!$F$5:$F$1004,'Work log'!$B$5:$B$1004,1,'Work log'!$C$5:$C$1004,A28,'Work log'!$L$5:$L$1004,"&gt;0"))</f>
        <v/>
      </c>
      <c r="E28" s="13">
        <f>IF(2&gt;Settings!$B$6,"",SUMIFS('Work log'!$F$5:$F$1004,'Work log'!$B$5:$B$1004,2,'Work log'!$C$5:$C$1004,A28,'Work log'!$L$5:$L$1004,"&gt;0"))</f>
        <v/>
      </c>
      <c r="F28" s="13">
        <f>IF(3&gt;Settings!$B$6,"",SUMIFS('Work log'!$F$5:$F$1004,'Work log'!$B$5:$B$1004,3,'Work log'!$C$5:$C$1004,A28,'Work log'!$L$5:$L$1004,"&gt;0"))</f>
        <v/>
      </c>
      <c r="G28" s="13">
        <f>IF(4&gt;Settings!$B$6,"",SUMIFS('Work log'!$F$5:$F$1004,'Work log'!$B$5:$B$1004,4,'Work log'!$C$5:$C$1004,A28,'Work log'!$L$5:$L$1004,"&gt;0"))</f>
        <v/>
      </c>
      <c r="H28" s="13">
        <f>IF(5&gt;Settings!$B$6,"",SUMIFS('Work log'!$F$5:$F$1004,'Work log'!$B$5:$B$1004,5,'Work log'!$C$5:$C$1004,A28,'Work log'!$L$5:$L$1004,"&gt;0"))</f>
        <v/>
      </c>
      <c r="I28" s="13">
        <f>IF(6&gt;Settings!$B$6,"",SUMIFS('Work log'!$F$5:$F$1004,'Work log'!$B$5:$B$1004,6,'Work log'!$C$5:$C$1004,A28,'Work log'!$L$5:$L$1004,"&gt;0"))</f>
        <v/>
      </c>
      <c r="J28" s="13">
        <f>IF(7&gt;Settings!$B$6,"",SUMIFS('Work log'!$F$5:$F$1004,'Work log'!$B$5:$B$1004,7,'Work log'!$C$5:$C$1004,A28,'Work log'!$L$5:$L$1004,"&gt;0"))</f>
        <v/>
      </c>
      <c r="K28" s="13">
        <f>IF(8&gt;Settings!$B$6,"",SUMIFS('Work log'!$F$5:$F$1004,'Work log'!$B$5:$B$1004,8,'Work log'!$C$5:$C$1004,A28,'Work log'!$L$5:$L$1004,"&gt;0"))</f>
        <v/>
      </c>
      <c r="L28" s="13">
        <f>IF(1&gt;Settings!$B$6,"",SUMIFS(Pledges!$E$5:$E$504,Pledges!$A$5:$A$504,1,Pledges!$B$5:$B$504,A28))</f>
        <v/>
      </c>
      <c r="M28" s="13">
        <f>IF(2&gt;Settings!$B$6,"",SUMIFS(Pledges!$E$5:$E$504,Pledges!$A$5:$A$504,2,Pledges!$B$5:$B$504,A28))</f>
        <v/>
      </c>
      <c r="N28" s="13">
        <f>IF(3&gt;Settings!$B$6,"",SUMIFS(Pledges!$E$5:$E$504,Pledges!$A$5:$A$504,3,Pledges!$B$5:$B$504,A28))</f>
        <v/>
      </c>
      <c r="O28" s="13">
        <f>IF(4&gt;Settings!$B$6,"",SUMIFS(Pledges!$E$5:$E$504,Pledges!$A$5:$A$504,4,Pledges!$B$5:$B$504,A28))</f>
        <v/>
      </c>
      <c r="P28" s="13">
        <f>IF(5&gt;Settings!$B$6,"",SUMIFS(Pledges!$E$5:$E$504,Pledges!$A$5:$A$504,5,Pledges!$B$5:$B$504,A28))</f>
        <v/>
      </c>
      <c r="Q28" s="13">
        <f>IF(6&gt;Settings!$B$6,"",SUMIFS(Pledges!$E$5:$E$504,Pledges!$A$5:$A$504,6,Pledges!$B$5:$B$504,A28))</f>
        <v/>
      </c>
      <c r="R28" s="13">
        <f>IF(7&gt;Settings!$B$6,"",SUMIFS(Pledges!$E$5:$E$504,Pledges!$A$5:$A$504,7,Pledges!$B$5:$B$504,A28))</f>
        <v/>
      </c>
      <c r="S28" s="13">
        <f>IF(8&gt;Settings!$B$6,"",SUMIFS(Pledges!$E$5:$E$504,Pledges!$A$5:$A$504,8,Pledges!$B$5:$B$504,A28))</f>
        <v/>
      </c>
    </row>
    <row r="29">
      <c r="A29" s="3">
        <f>Steps!A29</f>
        <v/>
      </c>
      <c r="B29" s="3">
        <f>Steps!C29</f>
        <v/>
      </c>
      <c r="C29" s="12">
        <f>Steps!E29</f>
        <v/>
      </c>
      <c r="D29" s="13">
        <f>IF(1&gt;Settings!$B$6,"",SUMIFS('Work log'!$F$5:$F$1004,'Work log'!$B$5:$B$1004,1,'Work log'!$C$5:$C$1004,A29,'Work log'!$L$5:$L$1004,"&gt;0"))</f>
        <v/>
      </c>
      <c r="E29" s="13">
        <f>IF(2&gt;Settings!$B$6,"",SUMIFS('Work log'!$F$5:$F$1004,'Work log'!$B$5:$B$1004,2,'Work log'!$C$5:$C$1004,A29,'Work log'!$L$5:$L$1004,"&gt;0"))</f>
        <v/>
      </c>
      <c r="F29" s="13">
        <f>IF(3&gt;Settings!$B$6,"",SUMIFS('Work log'!$F$5:$F$1004,'Work log'!$B$5:$B$1004,3,'Work log'!$C$5:$C$1004,A29,'Work log'!$L$5:$L$1004,"&gt;0"))</f>
        <v/>
      </c>
      <c r="G29" s="13">
        <f>IF(4&gt;Settings!$B$6,"",SUMIFS('Work log'!$F$5:$F$1004,'Work log'!$B$5:$B$1004,4,'Work log'!$C$5:$C$1004,A29,'Work log'!$L$5:$L$1004,"&gt;0"))</f>
        <v/>
      </c>
      <c r="H29" s="13">
        <f>IF(5&gt;Settings!$B$6,"",SUMIFS('Work log'!$F$5:$F$1004,'Work log'!$B$5:$B$1004,5,'Work log'!$C$5:$C$1004,A29,'Work log'!$L$5:$L$1004,"&gt;0"))</f>
        <v/>
      </c>
      <c r="I29" s="13">
        <f>IF(6&gt;Settings!$B$6,"",SUMIFS('Work log'!$F$5:$F$1004,'Work log'!$B$5:$B$1004,6,'Work log'!$C$5:$C$1004,A29,'Work log'!$L$5:$L$1004,"&gt;0"))</f>
        <v/>
      </c>
      <c r="J29" s="13">
        <f>IF(7&gt;Settings!$B$6,"",SUMIFS('Work log'!$F$5:$F$1004,'Work log'!$B$5:$B$1004,7,'Work log'!$C$5:$C$1004,A29,'Work log'!$L$5:$L$1004,"&gt;0"))</f>
        <v/>
      </c>
      <c r="K29" s="13">
        <f>IF(8&gt;Settings!$B$6,"",SUMIFS('Work log'!$F$5:$F$1004,'Work log'!$B$5:$B$1004,8,'Work log'!$C$5:$C$1004,A29,'Work log'!$L$5:$L$1004,"&gt;0"))</f>
        <v/>
      </c>
      <c r="L29" s="13">
        <f>IF(1&gt;Settings!$B$6,"",SUMIFS(Pledges!$E$5:$E$504,Pledges!$A$5:$A$504,1,Pledges!$B$5:$B$504,A29))</f>
        <v/>
      </c>
      <c r="M29" s="13">
        <f>IF(2&gt;Settings!$B$6,"",SUMIFS(Pledges!$E$5:$E$504,Pledges!$A$5:$A$504,2,Pledges!$B$5:$B$504,A29))</f>
        <v/>
      </c>
      <c r="N29" s="13">
        <f>IF(3&gt;Settings!$B$6,"",SUMIFS(Pledges!$E$5:$E$504,Pledges!$A$5:$A$504,3,Pledges!$B$5:$B$504,A29))</f>
        <v/>
      </c>
      <c r="O29" s="13">
        <f>IF(4&gt;Settings!$B$6,"",SUMIFS(Pledges!$E$5:$E$504,Pledges!$A$5:$A$504,4,Pledges!$B$5:$B$504,A29))</f>
        <v/>
      </c>
      <c r="P29" s="13">
        <f>IF(5&gt;Settings!$B$6,"",SUMIFS(Pledges!$E$5:$E$504,Pledges!$A$5:$A$504,5,Pledges!$B$5:$B$504,A29))</f>
        <v/>
      </c>
      <c r="Q29" s="13">
        <f>IF(6&gt;Settings!$B$6,"",SUMIFS(Pledges!$E$5:$E$504,Pledges!$A$5:$A$504,6,Pledges!$B$5:$B$504,A29))</f>
        <v/>
      </c>
      <c r="R29" s="13">
        <f>IF(7&gt;Settings!$B$6,"",SUMIFS(Pledges!$E$5:$E$504,Pledges!$A$5:$A$504,7,Pledges!$B$5:$B$504,A29))</f>
        <v/>
      </c>
      <c r="S29" s="13">
        <f>IF(8&gt;Settings!$B$6,"",SUMIFS(Pledges!$E$5:$E$504,Pledges!$A$5:$A$504,8,Pledges!$B$5:$B$504,A29))</f>
        <v/>
      </c>
    </row>
    <row r="30">
      <c r="A30" s="3">
        <f>Steps!A30</f>
        <v/>
      </c>
      <c r="B30" s="3">
        <f>Steps!C30</f>
        <v/>
      </c>
      <c r="C30" s="12">
        <f>Steps!E30</f>
        <v/>
      </c>
      <c r="D30" s="13">
        <f>IF(1&gt;Settings!$B$6,"",SUMIFS('Work log'!$F$5:$F$1004,'Work log'!$B$5:$B$1004,1,'Work log'!$C$5:$C$1004,A30,'Work log'!$L$5:$L$1004,"&gt;0"))</f>
        <v/>
      </c>
      <c r="E30" s="13">
        <f>IF(2&gt;Settings!$B$6,"",SUMIFS('Work log'!$F$5:$F$1004,'Work log'!$B$5:$B$1004,2,'Work log'!$C$5:$C$1004,A30,'Work log'!$L$5:$L$1004,"&gt;0"))</f>
        <v/>
      </c>
      <c r="F30" s="13">
        <f>IF(3&gt;Settings!$B$6,"",SUMIFS('Work log'!$F$5:$F$1004,'Work log'!$B$5:$B$1004,3,'Work log'!$C$5:$C$1004,A30,'Work log'!$L$5:$L$1004,"&gt;0"))</f>
        <v/>
      </c>
      <c r="G30" s="13">
        <f>IF(4&gt;Settings!$B$6,"",SUMIFS('Work log'!$F$5:$F$1004,'Work log'!$B$5:$B$1004,4,'Work log'!$C$5:$C$1004,A30,'Work log'!$L$5:$L$1004,"&gt;0"))</f>
        <v/>
      </c>
      <c r="H30" s="13">
        <f>IF(5&gt;Settings!$B$6,"",SUMIFS('Work log'!$F$5:$F$1004,'Work log'!$B$5:$B$1004,5,'Work log'!$C$5:$C$1004,A30,'Work log'!$L$5:$L$1004,"&gt;0"))</f>
        <v/>
      </c>
      <c r="I30" s="13">
        <f>IF(6&gt;Settings!$B$6,"",SUMIFS('Work log'!$F$5:$F$1004,'Work log'!$B$5:$B$1004,6,'Work log'!$C$5:$C$1004,A30,'Work log'!$L$5:$L$1004,"&gt;0"))</f>
        <v/>
      </c>
      <c r="J30" s="13">
        <f>IF(7&gt;Settings!$B$6,"",SUMIFS('Work log'!$F$5:$F$1004,'Work log'!$B$5:$B$1004,7,'Work log'!$C$5:$C$1004,A30,'Work log'!$L$5:$L$1004,"&gt;0"))</f>
        <v/>
      </c>
      <c r="K30" s="13">
        <f>IF(8&gt;Settings!$B$6,"",SUMIFS('Work log'!$F$5:$F$1004,'Work log'!$B$5:$B$1004,8,'Work log'!$C$5:$C$1004,A30,'Work log'!$L$5:$L$1004,"&gt;0"))</f>
        <v/>
      </c>
      <c r="L30" s="13">
        <f>IF(1&gt;Settings!$B$6,"",SUMIFS(Pledges!$E$5:$E$504,Pledges!$A$5:$A$504,1,Pledges!$B$5:$B$504,A30))</f>
        <v/>
      </c>
      <c r="M30" s="13">
        <f>IF(2&gt;Settings!$B$6,"",SUMIFS(Pledges!$E$5:$E$504,Pledges!$A$5:$A$504,2,Pledges!$B$5:$B$504,A30))</f>
        <v/>
      </c>
      <c r="N30" s="13">
        <f>IF(3&gt;Settings!$B$6,"",SUMIFS(Pledges!$E$5:$E$504,Pledges!$A$5:$A$504,3,Pledges!$B$5:$B$504,A30))</f>
        <v/>
      </c>
      <c r="O30" s="13">
        <f>IF(4&gt;Settings!$B$6,"",SUMIFS(Pledges!$E$5:$E$504,Pledges!$A$5:$A$504,4,Pledges!$B$5:$B$504,A30))</f>
        <v/>
      </c>
      <c r="P30" s="13">
        <f>IF(5&gt;Settings!$B$6,"",SUMIFS(Pledges!$E$5:$E$504,Pledges!$A$5:$A$504,5,Pledges!$B$5:$B$504,A30))</f>
        <v/>
      </c>
      <c r="Q30" s="13">
        <f>IF(6&gt;Settings!$B$6,"",SUMIFS(Pledges!$E$5:$E$504,Pledges!$A$5:$A$504,6,Pledges!$B$5:$B$504,A30))</f>
        <v/>
      </c>
      <c r="R30" s="13">
        <f>IF(7&gt;Settings!$B$6,"",SUMIFS(Pledges!$E$5:$E$504,Pledges!$A$5:$A$504,7,Pledges!$B$5:$B$504,A30))</f>
        <v/>
      </c>
      <c r="S30" s="13">
        <f>IF(8&gt;Settings!$B$6,"",SUMIFS(Pledges!$E$5:$E$504,Pledges!$A$5:$A$504,8,Pledges!$B$5:$B$504,A30))</f>
        <v/>
      </c>
    </row>
    <row r="31">
      <c r="A31" s="3">
        <f>Steps!A31</f>
        <v/>
      </c>
      <c r="B31" s="3">
        <f>Steps!C31</f>
        <v/>
      </c>
      <c r="C31" s="12">
        <f>Steps!E31</f>
        <v/>
      </c>
      <c r="D31" s="13">
        <f>IF(1&gt;Settings!$B$6,"",SUMIFS('Work log'!$F$5:$F$1004,'Work log'!$B$5:$B$1004,1,'Work log'!$C$5:$C$1004,A31,'Work log'!$L$5:$L$1004,"&gt;0"))</f>
        <v/>
      </c>
      <c r="E31" s="13">
        <f>IF(2&gt;Settings!$B$6,"",SUMIFS('Work log'!$F$5:$F$1004,'Work log'!$B$5:$B$1004,2,'Work log'!$C$5:$C$1004,A31,'Work log'!$L$5:$L$1004,"&gt;0"))</f>
        <v/>
      </c>
      <c r="F31" s="13">
        <f>IF(3&gt;Settings!$B$6,"",SUMIFS('Work log'!$F$5:$F$1004,'Work log'!$B$5:$B$1004,3,'Work log'!$C$5:$C$1004,A31,'Work log'!$L$5:$L$1004,"&gt;0"))</f>
        <v/>
      </c>
      <c r="G31" s="13">
        <f>IF(4&gt;Settings!$B$6,"",SUMIFS('Work log'!$F$5:$F$1004,'Work log'!$B$5:$B$1004,4,'Work log'!$C$5:$C$1004,A31,'Work log'!$L$5:$L$1004,"&gt;0"))</f>
        <v/>
      </c>
      <c r="H31" s="13">
        <f>IF(5&gt;Settings!$B$6,"",SUMIFS('Work log'!$F$5:$F$1004,'Work log'!$B$5:$B$1004,5,'Work log'!$C$5:$C$1004,A31,'Work log'!$L$5:$L$1004,"&gt;0"))</f>
        <v/>
      </c>
      <c r="I31" s="13">
        <f>IF(6&gt;Settings!$B$6,"",SUMIFS('Work log'!$F$5:$F$1004,'Work log'!$B$5:$B$1004,6,'Work log'!$C$5:$C$1004,A31,'Work log'!$L$5:$L$1004,"&gt;0"))</f>
        <v/>
      </c>
      <c r="J31" s="13">
        <f>IF(7&gt;Settings!$B$6,"",SUMIFS('Work log'!$F$5:$F$1004,'Work log'!$B$5:$B$1004,7,'Work log'!$C$5:$C$1004,A31,'Work log'!$L$5:$L$1004,"&gt;0"))</f>
        <v/>
      </c>
      <c r="K31" s="13">
        <f>IF(8&gt;Settings!$B$6,"",SUMIFS('Work log'!$F$5:$F$1004,'Work log'!$B$5:$B$1004,8,'Work log'!$C$5:$C$1004,A31,'Work log'!$L$5:$L$1004,"&gt;0"))</f>
        <v/>
      </c>
      <c r="L31" s="13">
        <f>IF(1&gt;Settings!$B$6,"",SUMIFS(Pledges!$E$5:$E$504,Pledges!$A$5:$A$504,1,Pledges!$B$5:$B$504,A31))</f>
        <v/>
      </c>
      <c r="M31" s="13">
        <f>IF(2&gt;Settings!$B$6,"",SUMIFS(Pledges!$E$5:$E$504,Pledges!$A$5:$A$504,2,Pledges!$B$5:$B$504,A31))</f>
        <v/>
      </c>
      <c r="N31" s="13">
        <f>IF(3&gt;Settings!$B$6,"",SUMIFS(Pledges!$E$5:$E$504,Pledges!$A$5:$A$504,3,Pledges!$B$5:$B$504,A31))</f>
        <v/>
      </c>
      <c r="O31" s="13">
        <f>IF(4&gt;Settings!$B$6,"",SUMIFS(Pledges!$E$5:$E$504,Pledges!$A$5:$A$504,4,Pledges!$B$5:$B$504,A31))</f>
        <v/>
      </c>
      <c r="P31" s="13">
        <f>IF(5&gt;Settings!$B$6,"",SUMIFS(Pledges!$E$5:$E$504,Pledges!$A$5:$A$504,5,Pledges!$B$5:$B$504,A31))</f>
        <v/>
      </c>
      <c r="Q31" s="13">
        <f>IF(6&gt;Settings!$B$6,"",SUMIFS(Pledges!$E$5:$E$504,Pledges!$A$5:$A$504,6,Pledges!$B$5:$B$504,A31))</f>
        <v/>
      </c>
      <c r="R31" s="13">
        <f>IF(7&gt;Settings!$B$6,"",SUMIFS(Pledges!$E$5:$E$504,Pledges!$A$5:$A$504,7,Pledges!$B$5:$B$504,A31))</f>
        <v/>
      </c>
      <c r="S31" s="13">
        <f>IF(8&gt;Settings!$B$6,"",SUMIFS(Pledges!$E$5:$E$504,Pledges!$A$5:$A$504,8,Pledges!$B$5:$B$504,A31))</f>
        <v/>
      </c>
    </row>
    <row r="32">
      <c r="A32" s="3">
        <f>Steps!A32</f>
        <v/>
      </c>
      <c r="B32" s="3">
        <f>Steps!C32</f>
        <v/>
      </c>
      <c r="C32" s="12">
        <f>Steps!E32</f>
        <v/>
      </c>
      <c r="D32" s="13">
        <f>IF(1&gt;Settings!$B$6,"",SUMIFS('Work log'!$F$5:$F$1004,'Work log'!$B$5:$B$1004,1,'Work log'!$C$5:$C$1004,A32,'Work log'!$L$5:$L$1004,"&gt;0"))</f>
        <v/>
      </c>
      <c r="E32" s="13">
        <f>IF(2&gt;Settings!$B$6,"",SUMIFS('Work log'!$F$5:$F$1004,'Work log'!$B$5:$B$1004,2,'Work log'!$C$5:$C$1004,A32,'Work log'!$L$5:$L$1004,"&gt;0"))</f>
        <v/>
      </c>
      <c r="F32" s="13">
        <f>IF(3&gt;Settings!$B$6,"",SUMIFS('Work log'!$F$5:$F$1004,'Work log'!$B$5:$B$1004,3,'Work log'!$C$5:$C$1004,A32,'Work log'!$L$5:$L$1004,"&gt;0"))</f>
        <v/>
      </c>
      <c r="G32" s="13">
        <f>IF(4&gt;Settings!$B$6,"",SUMIFS('Work log'!$F$5:$F$1004,'Work log'!$B$5:$B$1004,4,'Work log'!$C$5:$C$1004,A32,'Work log'!$L$5:$L$1004,"&gt;0"))</f>
        <v/>
      </c>
      <c r="H32" s="13">
        <f>IF(5&gt;Settings!$B$6,"",SUMIFS('Work log'!$F$5:$F$1004,'Work log'!$B$5:$B$1004,5,'Work log'!$C$5:$C$1004,A32,'Work log'!$L$5:$L$1004,"&gt;0"))</f>
        <v/>
      </c>
      <c r="I32" s="13">
        <f>IF(6&gt;Settings!$B$6,"",SUMIFS('Work log'!$F$5:$F$1004,'Work log'!$B$5:$B$1004,6,'Work log'!$C$5:$C$1004,A32,'Work log'!$L$5:$L$1004,"&gt;0"))</f>
        <v/>
      </c>
      <c r="J32" s="13">
        <f>IF(7&gt;Settings!$B$6,"",SUMIFS('Work log'!$F$5:$F$1004,'Work log'!$B$5:$B$1004,7,'Work log'!$C$5:$C$1004,A32,'Work log'!$L$5:$L$1004,"&gt;0"))</f>
        <v/>
      </c>
      <c r="K32" s="13">
        <f>IF(8&gt;Settings!$B$6,"",SUMIFS('Work log'!$F$5:$F$1004,'Work log'!$B$5:$B$1004,8,'Work log'!$C$5:$C$1004,A32,'Work log'!$L$5:$L$1004,"&gt;0"))</f>
        <v/>
      </c>
      <c r="L32" s="13">
        <f>IF(1&gt;Settings!$B$6,"",SUMIFS(Pledges!$E$5:$E$504,Pledges!$A$5:$A$504,1,Pledges!$B$5:$B$504,A32))</f>
        <v/>
      </c>
      <c r="M32" s="13">
        <f>IF(2&gt;Settings!$B$6,"",SUMIFS(Pledges!$E$5:$E$504,Pledges!$A$5:$A$504,2,Pledges!$B$5:$B$504,A32))</f>
        <v/>
      </c>
      <c r="N32" s="13">
        <f>IF(3&gt;Settings!$B$6,"",SUMIFS(Pledges!$E$5:$E$504,Pledges!$A$5:$A$504,3,Pledges!$B$5:$B$504,A32))</f>
        <v/>
      </c>
      <c r="O32" s="13">
        <f>IF(4&gt;Settings!$B$6,"",SUMIFS(Pledges!$E$5:$E$504,Pledges!$A$5:$A$504,4,Pledges!$B$5:$B$504,A32))</f>
        <v/>
      </c>
      <c r="P32" s="13">
        <f>IF(5&gt;Settings!$B$6,"",SUMIFS(Pledges!$E$5:$E$504,Pledges!$A$5:$A$504,5,Pledges!$B$5:$B$504,A32))</f>
        <v/>
      </c>
      <c r="Q32" s="13">
        <f>IF(6&gt;Settings!$B$6,"",SUMIFS(Pledges!$E$5:$E$504,Pledges!$A$5:$A$504,6,Pledges!$B$5:$B$504,A32))</f>
        <v/>
      </c>
      <c r="R32" s="13">
        <f>IF(7&gt;Settings!$B$6,"",SUMIFS(Pledges!$E$5:$E$504,Pledges!$A$5:$A$504,7,Pledges!$B$5:$B$504,A32))</f>
        <v/>
      </c>
      <c r="S32" s="13">
        <f>IF(8&gt;Settings!$B$6,"",SUMIFS(Pledges!$E$5:$E$504,Pledges!$A$5:$A$504,8,Pledges!$B$5:$B$504,A32))</f>
        <v/>
      </c>
    </row>
    <row r="33">
      <c r="A33" s="3">
        <f>Steps!A33</f>
        <v/>
      </c>
      <c r="B33" s="3">
        <f>Steps!C33</f>
        <v/>
      </c>
      <c r="C33" s="12">
        <f>Steps!E33</f>
        <v/>
      </c>
      <c r="D33" s="13">
        <f>IF(1&gt;Settings!$B$6,"",SUMIFS('Work log'!$F$5:$F$1004,'Work log'!$B$5:$B$1004,1,'Work log'!$C$5:$C$1004,A33,'Work log'!$L$5:$L$1004,"&gt;0"))</f>
        <v/>
      </c>
      <c r="E33" s="13">
        <f>IF(2&gt;Settings!$B$6,"",SUMIFS('Work log'!$F$5:$F$1004,'Work log'!$B$5:$B$1004,2,'Work log'!$C$5:$C$1004,A33,'Work log'!$L$5:$L$1004,"&gt;0"))</f>
        <v/>
      </c>
      <c r="F33" s="13">
        <f>IF(3&gt;Settings!$B$6,"",SUMIFS('Work log'!$F$5:$F$1004,'Work log'!$B$5:$B$1004,3,'Work log'!$C$5:$C$1004,A33,'Work log'!$L$5:$L$1004,"&gt;0"))</f>
        <v/>
      </c>
      <c r="G33" s="13">
        <f>IF(4&gt;Settings!$B$6,"",SUMIFS('Work log'!$F$5:$F$1004,'Work log'!$B$5:$B$1004,4,'Work log'!$C$5:$C$1004,A33,'Work log'!$L$5:$L$1004,"&gt;0"))</f>
        <v/>
      </c>
      <c r="H33" s="13">
        <f>IF(5&gt;Settings!$B$6,"",SUMIFS('Work log'!$F$5:$F$1004,'Work log'!$B$5:$B$1004,5,'Work log'!$C$5:$C$1004,A33,'Work log'!$L$5:$L$1004,"&gt;0"))</f>
        <v/>
      </c>
      <c r="I33" s="13">
        <f>IF(6&gt;Settings!$B$6,"",SUMIFS('Work log'!$F$5:$F$1004,'Work log'!$B$5:$B$1004,6,'Work log'!$C$5:$C$1004,A33,'Work log'!$L$5:$L$1004,"&gt;0"))</f>
        <v/>
      </c>
      <c r="J33" s="13">
        <f>IF(7&gt;Settings!$B$6,"",SUMIFS('Work log'!$F$5:$F$1004,'Work log'!$B$5:$B$1004,7,'Work log'!$C$5:$C$1004,A33,'Work log'!$L$5:$L$1004,"&gt;0"))</f>
        <v/>
      </c>
      <c r="K33" s="13">
        <f>IF(8&gt;Settings!$B$6,"",SUMIFS('Work log'!$F$5:$F$1004,'Work log'!$B$5:$B$1004,8,'Work log'!$C$5:$C$1004,A33,'Work log'!$L$5:$L$1004,"&gt;0"))</f>
        <v/>
      </c>
      <c r="L33" s="13">
        <f>IF(1&gt;Settings!$B$6,"",SUMIFS(Pledges!$E$5:$E$504,Pledges!$A$5:$A$504,1,Pledges!$B$5:$B$504,A33))</f>
        <v/>
      </c>
      <c r="M33" s="13">
        <f>IF(2&gt;Settings!$B$6,"",SUMIFS(Pledges!$E$5:$E$504,Pledges!$A$5:$A$504,2,Pledges!$B$5:$B$504,A33))</f>
        <v/>
      </c>
      <c r="N33" s="13">
        <f>IF(3&gt;Settings!$B$6,"",SUMIFS(Pledges!$E$5:$E$504,Pledges!$A$5:$A$504,3,Pledges!$B$5:$B$504,A33))</f>
        <v/>
      </c>
      <c r="O33" s="13">
        <f>IF(4&gt;Settings!$B$6,"",SUMIFS(Pledges!$E$5:$E$504,Pledges!$A$5:$A$504,4,Pledges!$B$5:$B$504,A33))</f>
        <v/>
      </c>
      <c r="P33" s="13">
        <f>IF(5&gt;Settings!$B$6,"",SUMIFS(Pledges!$E$5:$E$504,Pledges!$A$5:$A$504,5,Pledges!$B$5:$B$504,A33))</f>
        <v/>
      </c>
      <c r="Q33" s="13">
        <f>IF(6&gt;Settings!$B$6,"",SUMIFS(Pledges!$E$5:$E$504,Pledges!$A$5:$A$504,6,Pledges!$B$5:$B$504,A33))</f>
        <v/>
      </c>
      <c r="R33" s="13">
        <f>IF(7&gt;Settings!$B$6,"",SUMIFS(Pledges!$E$5:$E$504,Pledges!$A$5:$A$504,7,Pledges!$B$5:$B$504,A33))</f>
        <v/>
      </c>
      <c r="S33" s="13">
        <f>IF(8&gt;Settings!$B$6,"",SUMIFS(Pledges!$E$5:$E$504,Pledges!$A$5:$A$504,8,Pledges!$B$5:$B$504,A33))</f>
        <v/>
      </c>
    </row>
    <row r="34">
      <c r="A34" s="3">
        <f>Steps!A34</f>
        <v/>
      </c>
      <c r="B34" s="3">
        <f>Steps!C34</f>
        <v/>
      </c>
      <c r="C34" s="12">
        <f>Steps!E34</f>
        <v/>
      </c>
      <c r="D34" s="13">
        <f>IF(1&gt;Settings!$B$6,"",SUMIFS('Work log'!$F$5:$F$1004,'Work log'!$B$5:$B$1004,1,'Work log'!$C$5:$C$1004,A34,'Work log'!$L$5:$L$1004,"&gt;0"))</f>
        <v/>
      </c>
      <c r="E34" s="13">
        <f>IF(2&gt;Settings!$B$6,"",SUMIFS('Work log'!$F$5:$F$1004,'Work log'!$B$5:$B$1004,2,'Work log'!$C$5:$C$1004,A34,'Work log'!$L$5:$L$1004,"&gt;0"))</f>
        <v/>
      </c>
      <c r="F34" s="13">
        <f>IF(3&gt;Settings!$B$6,"",SUMIFS('Work log'!$F$5:$F$1004,'Work log'!$B$5:$B$1004,3,'Work log'!$C$5:$C$1004,A34,'Work log'!$L$5:$L$1004,"&gt;0"))</f>
        <v/>
      </c>
      <c r="G34" s="13">
        <f>IF(4&gt;Settings!$B$6,"",SUMIFS('Work log'!$F$5:$F$1004,'Work log'!$B$5:$B$1004,4,'Work log'!$C$5:$C$1004,A34,'Work log'!$L$5:$L$1004,"&gt;0"))</f>
        <v/>
      </c>
      <c r="H34" s="13">
        <f>IF(5&gt;Settings!$B$6,"",SUMIFS('Work log'!$F$5:$F$1004,'Work log'!$B$5:$B$1004,5,'Work log'!$C$5:$C$1004,A34,'Work log'!$L$5:$L$1004,"&gt;0"))</f>
        <v/>
      </c>
      <c r="I34" s="13">
        <f>IF(6&gt;Settings!$B$6,"",SUMIFS('Work log'!$F$5:$F$1004,'Work log'!$B$5:$B$1004,6,'Work log'!$C$5:$C$1004,A34,'Work log'!$L$5:$L$1004,"&gt;0"))</f>
        <v/>
      </c>
      <c r="J34" s="13">
        <f>IF(7&gt;Settings!$B$6,"",SUMIFS('Work log'!$F$5:$F$1004,'Work log'!$B$5:$B$1004,7,'Work log'!$C$5:$C$1004,A34,'Work log'!$L$5:$L$1004,"&gt;0"))</f>
        <v/>
      </c>
      <c r="K34" s="13">
        <f>IF(8&gt;Settings!$B$6,"",SUMIFS('Work log'!$F$5:$F$1004,'Work log'!$B$5:$B$1004,8,'Work log'!$C$5:$C$1004,A34,'Work log'!$L$5:$L$1004,"&gt;0"))</f>
        <v/>
      </c>
      <c r="L34" s="13">
        <f>IF(1&gt;Settings!$B$6,"",SUMIFS(Pledges!$E$5:$E$504,Pledges!$A$5:$A$504,1,Pledges!$B$5:$B$504,A34))</f>
        <v/>
      </c>
      <c r="M34" s="13">
        <f>IF(2&gt;Settings!$B$6,"",SUMIFS(Pledges!$E$5:$E$504,Pledges!$A$5:$A$504,2,Pledges!$B$5:$B$504,A34))</f>
        <v/>
      </c>
      <c r="N34" s="13">
        <f>IF(3&gt;Settings!$B$6,"",SUMIFS(Pledges!$E$5:$E$504,Pledges!$A$5:$A$504,3,Pledges!$B$5:$B$504,A34))</f>
        <v/>
      </c>
      <c r="O34" s="13">
        <f>IF(4&gt;Settings!$B$6,"",SUMIFS(Pledges!$E$5:$E$504,Pledges!$A$5:$A$504,4,Pledges!$B$5:$B$504,A34))</f>
        <v/>
      </c>
      <c r="P34" s="13">
        <f>IF(5&gt;Settings!$B$6,"",SUMIFS(Pledges!$E$5:$E$504,Pledges!$A$5:$A$504,5,Pledges!$B$5:$B$504,A34))</f>
        <v/>
      </c>
      <c r="Q34" s="13">
        <f>IF(6&gt;Settings!$B$6,"",SUMIFS(Pledges!$E$5:$E$504,Pledges!$A$5:$A$504,6,Pledges!$B$5:$B$504,A34))</f>
        <v/>
      </c>
      <c r="R34" s="13">
        <f>IF(7&gt;Settings!$B$6,"",SUMIFS(Pledges!$E$5:$E$504,Pledges!$A$5:$A$504,7,Pledges!$B$5:$B$504,A34))</f>
        <v/>
      </c>
      <c r="S34" s="13">
        <f>IF(8&gt;Settings!$B$6,"",SUMIFS(Pledges!$E$5:$E$504,Pledges!$A$5:$A$504,8,Pledges!$B$5:$B$504,A34))</f>
        <v/>
      </c>
    </row>
    <row r="35">
      <c r="A35" s="3">
        <f>Steps!A35</f>
        <v/>
      </c>
      <c r="B35" s="3">
        <f>Steps!C35</f>
        <v/>
      </c>
      <c r="C35" s="12">
        <f>Steps!E35</f>
        <v/>
      </c>
      <c r="D35" s="13">
        <f>IF(1&gt;Settings!$B$6,"",SUMIFS('Work log'!$F$5:$F$1004,'Work log'!$B$5:$B$1004,1,'Work log'!$C$5:$C$1004,A35,'Work log'!$L$5:$L$1004,"&gt;0"))</f>
        <v/>
      </c>
      <c r="E35" s="13">
        <f>IF(2&gt;Settings!$B$6,"",SUMIFS('Work log'!$F$5:$F$1004,'Work log'!$B$5:$B$1004,2,'Work log'!$C$5:$C$1004,A35,'Work log'!$L$5:$L$1004,"&gt;0"))</f>
        <v/>
      </c>
      <c r="F35" s="13">
        <f>IF(3&gt;Settings!$B$6,"",SUMIFS('Work log'!$F$5:$F$1004,'Work log'!$B$5:$B$1004,3,'Work log'!$C$5:$C$1004,A35,'Work log'!$L$5:$L$1004,"&gt;0"))</f>
        <v/>
      </c>
      <c r="G35" s="13">
        <f>IF(4&gt;Settings!$B$6,"",SUMIFS('Work log'!$F$5:$F$1004,'Work log'!$B$5:$B$1004,4,'Work log'!$C$5:$C$1004,A35,'Work log'!$L$5:$L$1004,"&gt;0"))</f>
        <v/>
      </c>
      <c r="H35" s="13">
        <f>IF(5&gt;Settings!$B$6,"",SUMIFS('Work log'!$F$5:$F$1004,'Work log'!$B$5:$B$1004,5,'Work log'!$C$5:$C$1004,A35,'Work log'!$L$5:$L$1004,"&gt;0"))</f>
        <v/>
      </c>
      <c r="I35" s="13">
        <f>IF(6&gt;Settings!$B$6,"",SUMIFS('Work log'!$F$5:$F$1004,'Work log'!$B$5:$B$1004,6,'Work log'!$C$5:$C$1004,A35,'Work log'!$L$5:$L$1004,"&gt;0"))</f>
        <v/>
      </c>
      <c r="J35" s="13">
        <f>IF(7&gt;Settings!$B$6,"",SUMIFS('Work log'!$F$5:$F$1004,'Work log'!$B$5:$B$1004,7,'Work log'!$C$5:$C$1004,A35,'Work log'!$L$5:$L$1004,"&gt;0"))</f>
        <v/>
      </c>
      <c r="K35" s="13">
        <f>IF(8&gt;Settings!$B$6,"",SUMIFS('Work log'!$F$5:$F$1004,'Work log'!$B$5:$B$1004,8,'Work log'!$C$5:$C$1004,A35,'Work log'!$L$5:$L$1004,"&gt;0"))</f>
        <v/>
      </c>
      <c r="L35" s="13">
        <f>IF(1&gt;Settings!$B$6,"",SUMIFS(Pledges!$E$5:$E$504,Pledges!$A$5:$A$504,1,Pledges!$B$5:$B$504,A35))</f>
        <v/>
      </c>
      <c r="M35" s="13">
        <f>IF(2&gt;Settings!$B$6,"",SUMIFS(Pledges!$E$5:$E$504,Pledges!$A$5:$A$504,2,Pledges!$B$5:$B$504,A35))</f>
        <v/>
      </c>
      <c r="N35" s="13">
        <f>IF(3&gt;Settings!$B$6,"",SUMIFS(Pledges!$E$5:$E$504,Pledges!$A$5:$A$504,3,Pledges!$B$5:$B$504,A35))</f>
        <v/>
      </c>
      <c r="O35" s="13">
        <f>IF(4&gt;Settings!$B$6,"",SUMIFS(Pledges!$E$5:$E$504,Pledges!$A$5:$A$504,4,Pledges!$B$5:$B$504,A35))</f>
        <v/>
      </c>
      <c r="P35" s="13">
        <f>IF(5&gt;Settings!$B$6,"",SUMIFS(Pledges!$E$5:$E$504,Pledges!$A$5:$A$504,5,Pledges!$B$5:$B$504,A35))</f>
        <v/>
      </c>
      <c r="Q35" s="13">
        <f>IF(6&gt;Settings!$B$6,"",SUMIFS(Pledges!$E$5:$E$504,Pledges!$A$5:$A$504,6,Pledges!$B$5:$B$504,A35))</f>
        <v/>
      </c>
      <c r="R35" s="13">
        <f>IF(7&gt;Settings!$B$6,"",SUMIFS(Pledges!$E$5:$E$504,Pledges!$A$5:$A$504,7,Pledges!$B$5:$B$504,A35))</f>
        <v/>
      </c>
      <c r="S35" s="13">
        <f>IF(8&gt;Settings!$B$6,"",SUMIFS(Pledges!$E$5:$E$504,Pledges!$A$5:$A$504,8,Pledges!$B$5:$B$504,A35))</f>
        <v/>
      </c>
    </row>
    <row r="36">
      <c r="A36" s="3">
        <f>Steps!A36</f>
        <v/>
      </c>
      <c r="B36" s="3">
        <f>Steps!C36</f>
        <v/>
      </c>
      <c r="C36" s="12">
        <f>Steps!E36</f>
        <v/>
      </c>
      <c r="D36" s="13">
        <f>IF(1&gt;Settings!$B$6,"",SUMIFS('Work log'!$F$5:$F$1004,'Work log'!$B$5:$B$1004,1,'Work log'!$C$5:$C$1004,A36,'Work log'!$L$5:$L$1004,"&gt;0"))</f>
        <v/>
      </c>
      <c r="E36" s="13">
        <f>IF(2&gt;Settings!$B$6,"",SUMIFS('Work log'!$F$5:$F$1004,'Work log'!$B$5:$B$1004,2,'Work log'!$C$5:$C$1004,A36,'Work log'!$L$5:$L$1004,"&gt;0"))</f>
        <v/>
      </c>
      <c r="F36" s="13">
        <f>IF(3&gt;Settings!$B$6,"",SUMIFS('Work log'!$F$5:$F$1004,'Work log'!$B$5:$B$1004,3,'Work log'!$C$5:$C$1004,A36,'Work log'!$L$5:$L$1004,"&gt;0"))</f>
        <v/>
      </c>
      <c r="G36" s="13">
        <f>IF(4&gt;Settings!$B$6,"",SUMIFS('Work log'!$F$5:$F$1004,'Work log'!$B$5:$B$1004,4,'Work log'!$C$5:$C$1004,A36,'Work log'!$L$5:$L$1004,"&gt;0"))</f>
        <v/>
      </c>
      <c r="H36" s="13">
        <f>IF(5&gt;Settings!$B$6,"",SUMIFS('Work log'!$F$5:$F$1004,'Work log'!$B$5:$B$1004,5,'Work log'!$C$5:$C$1004,A36,'Work log'!$L$5:$L$1004,"&gt;0"))</f>
        <v/>
      </c>
      <c r="I36" s="13">
        <f>IF(6&gt;Settings!$B$6,"",SUMIFS('Work log'!$F$5:$F$1004,'Work log'!$B$5:$B$1004,6,'Work log'!$C$5:$C$1004,A36,'Work log'!$L$5:$L$1004,"&gt;0"))</f>
        <v/>
      </c>
      <c r="J36" s="13">
        <f>IF(7&gt;Settings!$B$6,"",SUMIFS('Work log'!$F$5:$F$1004,'Work log'!$B$5:$B$1004,7,'Work log'!$C$5:$C$1004,A36,'Work log'!$L$5:$L$1004,"&gt;0"))</f>
        <v/>
      </c>
      <c r="K36" s="13">
        <f>IF(8&gt;Settings!$B$6,"",SUMIFS('Work log'!$F$5:$F$1004,'Work log'!$B$5:$B$1004,8,'Work log'!$C$5:$C$1004,A36,'Work log'!$L$5:$L$1004,"&gt;0"))</f>
        <v/>
      </c>
      <c r="L36" s="13">
        <f>IF(1&gt;Settings!$B$6,"",SUMIFS(Pledges!$E$5:$E$504,Pledges!$A$5:$A$504,1,Pledges!$B$5:$B$504,A36))</f>
        <v/>
      </c>
      <c r="M36" s="13">
        <f>IF(2&gt;Settings!$B$6,"",SUMIFS(Pledges!$E$5:$E$504,Pledges!$A$5:$A$504,2,Pledges!$B$5:$B$504,A36))</f>
        <v/>
      </c>
      <c r="N36" s="13">
        <f>IF(3&gt;Settings!$B$6,"",SUMIFS(Pledges!$E$5:$E$504,Pledges!$A$5:$A$504,3,Pledges!$B$5:$B$504,A36))</f>
        <v/>
      </c>
      <c r="O36" s="13">
        <f>IF(4&gt;Settings!$B$6,"",SUMIFS(Pledges!$E$5:$E$504,Pledges!$A$5:$A$504,4,Pledges!$B$5:$B$504,A36))</f>
        <v/>
      </c>
      <c r="P36" s="13">
        <f>IF(5&gt;Settings!$B$6,"",SUMIFS(Pledges!$E$5:$E$504,Pledges!$A$5:$A$504,5,Pledges!$B$5:$B$504,A36))</f>
        <v/>
      </c>
      <c r="Q36" s="13">
        <f>IF(6&gt;Settings!$B$6,"",SUMIFS(Pledges!$E$5:$E$504,Pledges!$A$5:$A$504,6,Pledges!$B$5:$B$504,A36))</f>
        <v/>
      </c>
      <c r="R36" s="13">
        <f>IF(7&gt;Settings!$B$6,"",SUMIFS(Pledges!$E$5:$E$504,Pledges!$A$5:$A$504,7,Pledges!$B$5:$B$504,A36))</f>
        <v/>
      </c>
      <c r="S36" s="13">
        <f>IF(8&gt;Settings!$B$6,"",SUMIFS(Pledges!$E$5:$E$504,Pledges!$A$5:$A$504,8,Pledges!$B$5:$B$504,A36))</f>
        <v/>
      </c>
    </row>
    <row r="37">
      <c r="A37" s="3">
        <f>Steps!A37</f>
        <v/>
      </c>
      <c r="B37" s="3">
        <f>Steps!C37</f>
        <v/>
      </c>
      <c r="C37" s="12">
        <f>Steps!E37</f>
        <v/>
      </c>
      <c r="D37" s="13">
        <f>IF(1&gt;Settings!$B$6,"",SUMIFS('Work log'!$F$5:$F$1004,'Work log'!$B$5:$B$1004,1,'Work log'!$C$5:$C$1004,A37,'Work log'!$L$5:$L$1004,"&gt;0"))</f>
        <v/>
      </c>
      <c r="E37" s="13">
        <f>IF(2&gt;Settings!$B$6,"",SUMIFS('Work log'!$F$5:$F$1004,'Work log'!$B$5:$B$1004,2,'Work log'!$C$5:$C$1004,A37,'Work log'!$L$5:$L$1004,"&gt;0"))</f>
        <v/>
      </c>
      <c r="F37" s="13">
        <f>IF(3&gt;Settings!$B$6,"",SUMIFS('Work log'!$F$5:$F$1004,'Work log'!$B$5:$B$1004,3,'Work log'!$C$5:$C$1004,A37,'Work log'!$L$5:$L$1004,"&gt;0"))</f>
        <v/>
      </c>
      <c r="G37" s="13">
        <f>IF(4&gt;Settings!$B$6,"",SUMIFS('Work log'!$F$5:$F$1004,'Work log'!$B$5:$B$1004,4,'Work log'!$C$5:$C$1004,A37,'Work log'!$L$5:$L$1004,"&gt;0"))</f>
        <v/>
      </c>
      <c r="H37" s="13">
        <f>IF(5&gt;Settings!$B$6,"",SUMIFS('Work log'!$F$5:$F$1004,'Work log'!$B$5:$B$1004,5,'Work log'!$C$5:$C$1004,A37,'Work log'!$L$5:$L$1004,"&gt;0"))</f>
        <v/>
      </c>
      <c r="I37" s="13">
        <f>IF(6&gt;Settings!$B$6,"",SUMIFS('Work log'!$F$5:$F$1004,'Work log'!$B$5:$B$1004,6,'Work log'!$C$5:$C$1004,A37,'Work log'!$L$5:$L$1004,"&gt;0"))</f>
        <v/>
      </c>
      <c r="J37" s="13">
        <f>IF(7&gt;Settings!$B$6,"",SUMIFS('Work log'!$F$5:$F$1004,'Work log'!$B$5:$B$1004,7,'Work log'!$C$5:$C$1004,A37,'Work log'!$L$5:$L$1004,"&gt;0"))</f>
        <v/>
      </c>
      <c r="K37" s="13">
        <f>IF(8&gt;Settings!$B$6,"",SUMIFS('Work log'!$F$5:$F$1004,'Work log'!$B$5:$B$1004,8,'Work log'!$C$5:$C$1004,A37,'Work log'!$L$5:$L$1004,"&gt;0"))</f>
        <v/>
      </c>
      <c r="L37" s="13">
        <f>IF(1&gt;Settings!$B$6,"",SUMIFS(Pledges!$E$5:$E$504,Pledges!$A$5:$A$504,1,Pledges!$B$5:$B$504,A37))</f>
        <v/>
      </c>
      <c r="M37" s="13">
        <f>IF(2&gt;Settings!$B$6,"",SUMIFS(Pledges!$E$5:$E$504,Pledges!$A$5:$A$504,2,Pledges!$B$5:$B$504,A37))</f>
        <v/>
      </c>
      <c r="N37" s="13">
        <f>IF(3&gt;Settings!$B$6,"",SUMIFS(Pledges!$E$5:$E$504,Pledges!$A$5:$A$504,3,Pledges!$B$5:$B$504,A37))</f>
        <v/>
      </c>
      <c r="O37" s="13">
        <f>IF(4&gt;Settings!$B$6,"",SUMIFS(Pledges!$E$5:$E$504,Pledges!$A$5:$A$504,4,Pledges!$B$5:$B$504,A37))</f>
        <v/>
      </c>
      <c r="P37" s="13">
        <f>IF(5&gt;Settings!$B$6,"",SUMIFS(Pledges!$E$5:$E$504,Pledges!$A$5:$A$504,5,Pledges!$B$5:$B$504,A37))</f>
        <v/>
      </c>
      <c r="Q37" s="13">
        <f>IF(6&gt;Settings!$B$6,"",SUMIFS(Pledges!$E$5:$E$504,Pledges!$A$5:$A$504,6,Pledges!$B$5:$B$504,A37))</f>
        <v/>
      </c>
      <c r="R37" s="13">
        <f>IF(7&gt;Settings!$B$6,"",SUMIFS(Pledges!$E$5:$E$504,Pledges!$A$5:$A$504,7,Pledges!$B$5:$B$504,A37))</f>
        <v/>
      </c>
      <c r="S37" s="13">
        <f>IF(8&gt;Settings!$B$6,"",SUMIFS(Pledges!$E$5:$E$504,Pledges!$A$5:$A$504,8,Pledges!$B$5:$B$504,A37))</f>
        <v/>
      </c>
    </row>
    <row r="38">
      <c r="A38" s="3">
        <f>Steps!A38</f>
        <v/>
      </c>
      <c r="B38" s="3">
        <f>Steps!C38</f>
        <v/>
      </c>
      <c r="C38" s="12">
        <f>Steps!E38</f>
        <v/>
      </c>
      <c r="D38" s="13">
        <f>IF(1&gt;Settings!$B$6,"",SUMIFS('Work log'!$F$5:$F$1004,'Work log'!$B$5:$B$1004,1,'Work log'!$C$5:$C$1004,A38,'Work log'!$L$5:$L$1004,"&gt;0"))</f>
        <v/>
      </c>
      <c r="E38" s="13">
        <f>IF(2&gt;Settings!$B$6,"",SUMIFS('Work log'!$F$5:$F$1004,'Work log'!$B$5:$B$1004,2,'Work log'!$C$5:$C$1004,A38,'Work log'!$L$5:$L$1004,"&gt;0"))</f>
        <v/>
      </c>
      <c r="F38" s="13">
        <f>IF(3&gt;Settings!$B$6,"",SUMIFS('Work log'!$F$5:$F$1004,'Work log'!$B$5:$B$1004,3,'Work log'!$C$5:$C$1004,A38,'Work log'!$L$5:$L$1004,"&gt;0"))</f>
        <v/>
      </c>
      <c r="G38" s="13">
        <f>IF(4&gt;Settings!$B$6,"",SUMIFS('Work log'!$F$5:$F$1004,'Work log'!$B$5:$B$1004,4,'Work log'!$C$5:$C$1004,A38,'Work log'!$L$5:$L$1004,"&gt;0"))</f>
        <v/>
      </c>
      <c r="H38" s="13">
        <f>IF(5&gt;Settings!$B$6,"",SUMIFS('Work log'!$F$5:$F$1004,'Work log'!$B$5:$B$1004,5,'Work log'!$C$5:$C$1004,A38,'Work log'!$L$5:$L$1004,"&gt;0"))</f>
        <v/>
      </c>
      <c r="I38" s="13">
        <f>IF(6&gt;Settings!$B$6,"",SUMIFS('Work log'!$F$5:$F$1004,'Work log'!$B$5:$B$1004,6,'Work log'!$C$5:$C$1004,A38,'Work log'!$L$5:$L$1004,"&gt;0"))</f>
        <v/>
      </c>
      <c r="J38" s="13">
        <f>IF(7&gt;Settings!$B$6,"",SUMIFS('Work log'!$F$5:$F$1004,'Work log'!$B$5:$B$1004,7,'Work log'!$C$5:$C$1004,A38,'Work log'!$L$5:$L$1004,"&gt;0"))</f>
        <v/>
      </c>
      <c r="K38" s="13">
        <f>IF(8&gt;Settings!$B$6,"",SUMIFS('Work log'!$F$5:$F$1004,'Work log'!$B$5:$B$1004,8,'Work log'!$C$5:$C$1004,A38,'Work log'!$L$5:$L$1004,"&gt;0"))</f>
        <v/>
      </c>
      <c r="L38" s="13">
        <f>IF(1&gt;Settings!$B$6,"",SUMIFS(Pledges!$E$5:$E$504,Pledges!$A$5:$A$504,1,Pledges!$B$5:$B$504,A38))</f>
        <v/>
      </c>
      <c r="M38" s="13">
        <f>IF(2&gt;Settings!$B$6,"",SUMIFS(Pledges!$E$5:$E$504,Pledges!$A$5:$A$504,2,Pledges!$B$5:$B$504,A38))</f>
        <v/>
      </c>
      <c r="N38" s="13">
        <f>IF(3&gt;Settings!$B$6,"",SUMIFS(Pledges!$E$5:$E$504,Pledges!$A$5:$A$504,3,Pledges!$B$5:$B$504,A38))</f>
        <v/>
      </c>
      <c r="O38" s="13">
        <f>IF(4&gt;Settings!$B$6,"",SUMIFS(Pledges!$E$5:$E$504,Pledges!$A$5:$A$504,4,Pledges!$B$5:$B$504,A38))</f>
        <v/>
      </c>
      <c r="P38" s="13">
        <f>IF(5&gt;Settings!$B$6,"",SUMIFS(Pledges!$E$5:$E$504,Pledges!$A$5:$A$504,5,Pledges!$B$5:$B$504,A38))</f>
        <v/>
      </c>
      <c r="Q38" s="13">
        <f>IF(6&gt;Settings!$B$6,"",SUMIFS(Pledges!$E$5:$E$504,Pledges!$A$5:$A$504,6,Pledges!$B$5:$B$504,A38))</f>
        <v/>
      </c>
      <c r="R38" s="13">
        <f>IF(7&gt;Settings!$B$6,"",SUMIFS(Pledges!$E$5:$E$504,Pledges!$A$5:$A$504,7,Pledges!$B$5:$B$504,A38))</f>
        <v/>
      </c>
      <c r="S38" s="13">
        <f>IF(8&gt;Settings!$B$6,"",SUMIFS(Pledges!$E$5:$E$504,Pledges!$A$5:$A$504,8,Pledges!$B$5:$B$504,A38))</f>
        <v/>
      </c>
    </row>
    <row r="39">
      <c r="A39" s="3">
        <f>Steps!A39</f>
        <v/>
      </c>
      <c r="B39" s="3">
        <f>Steps!C39</f>
        <v/>
      </c>
      <c r="C39" s="12">
        <f>Steps!E39</f>
        <v/>
      </c>
      <c r="D39" s="13">
        <f>IF(1&gt;Settings!$B$6,"",SUMIFS('Work log'!$F$5:$F$1004,'Work log'!$B$5:$B$1004,1,'Work log'!$C$5:$C$1004,A39,'Work log'!$L$5:$L$1004,"&gt;0"))</f>
        <v/>
      </c>
      <c r="E39" s="13">
        <f>IF(2&gt;Settings!$B$6,"",SUMIFS('Work log'!$F$5:$F$1004,'Work log'!$B$5:$B$1004,2,'Work log'!$C$5:$C$1004,A39,'Work log'!$L$5:$L$1004,"&gt;0"))</f>
        <v/>
      </c>
      <c r="F39" s="13">
        <f>IF(3&gt;Settings!$B$6,"",SUMIFS('Work log'!$F$5:$F$1004,'Work log'!$B$5:$B$1004,3,'Work log'!$C$5:$C$1004,A39,'Work log'!$L$5:$L$1004,"&gt;0"))</f>
        <v/>
      </c>
      <c r="G39" s="13">
        <f>IF(4&gt;Settings!$B$6,"",SUMIFS('Work log'!$F$5:$F$1004,'Work log'!$B$5:$B$1004,4,'Work log'!$C$5:$C$1004,A39,'Work log'!$L$5:$L$1004,"&gt;0"))</f>
        <v/>
      </c>
      <c r="H39" s="13">
        <f>IF(5&gt;Settings!$B$6,"",SUMIFS('Work log'!$F$5:$F$1004,'Work log'!$B$5:$B$1004,5,'Work log'!$C$5:$C$1004,A39,'Work log'!$L$5:$L$1004,"&gt;0"))</f>
        <v/>
      </c>
      <c r="I39" s="13">
        <f>IF(6&gt;Settings!$B$6,"",SUMIFS('Work log'!$F$5:$F$1004,'Work log'!$B$5:$B$1004,6,'Work log'!$C$5:$C$1004,A39,'Work log'!$L$5:$L$1004,"&gt;0"))</f>
        <v/>
      </c>
      <c r="J39" s="13">
        <f>IF(7&gt;Settings!$B$6,"",SUMIFS('Work log'!$F$5:$F$1004,'Work log'!$B$5:$B$1004,7,'Work log'!$C$5:$C$1004,A39,'Work log'!$L$5:$L$1004,"&gt;0"))</f>
        <v/>
      </c>
      <c r="K39" s="13">
        <f>IF(8&gt;Settings!$B$6,"",SUMIFS('Work log'!$F$5:$F$1004,'Work log'!$B$5:$B$1004,8,'Work log'!$C$5:$C$1004,A39,'Work log'!$L$5:$L$1004,"&gt;0"))</f>
        <v/>
      </c>
      <c r="L39" s="13">
        <f>IF(1&gt;Settings!$B$6,"",SUMIFS(Pledges!$E$5:$E$504,Pledges!$A$5:$A$504,1,Pledges!$B$5:$B$504,A39))</f>
        <v/>
      </c>
      <c r="M39" s="13">
        <f>IF(2&gt;Settings!$B$6,"",SUMIFS(Pledges!$E$5:$E$504,Pledges!$A$5:$A$504,2,Pledges!$B$5:$B$504,A39))</f>
        <v/>
      </c>
      <c r="N39" s="13">
        <f>IF(3&gt;Settings!$B$6,"",SUMIFS(Pledges!$E$5:$E$504,Pledges!$A$5:$A$504,3,Pledges!$B$5:$B$504,A39))</f>
        <v/>
      </c>
      <c r="O39" s="13">
        <f>IF(4&gt;Settings!$B$6,"",SUMIFS(Pledges!$E$5:$E$504,Pledges!$A$5:$A$504,4,Pledges!$B$5:$B$504,A39))</f>
        <v/>
      </c>
      <c r="P39" s="13">
        <f>IF(5&gt;Settings!$B$6,"",SUMIFS(Pledges!$E$5:$E$504,Pledges!$A$5:$A$504,5,Pledges!$B$5:$B$504,A39))</f>
        <v/>
      </c>
      <c r="Q39" s="13">
        <f>IF(6&gt;Settings!$B$6,"",SUMIFS(Pledges!$E$5:$E$504,Pledges!$A$5:$A$504,6,Pledges!$B$5:$B$504,A39))</f>
        <v/>
      </c>
      <c r="R39" s="13">
        <f>IF(7&gt;Settings!$B$6,"",SUMIFS(Pledges!$E$5:$E$504,Pledges!$A$5:$A$504,7,Pledges!$B$5:$B$504,A39))</f>
        <v/>
      </c>
      <c r="S39" s="13">
        <f>IF(8&gt;Settings!$B$6,"",SUMIFS(Pledges!$E$5:$E$504,Pledges!$A$5:$A$504,8,Pledges!$B$5:$B$504,A39))</f>
        <v/>
      </c>
    </row>
    <row r="40">
      <c r="A40" s="3">
        <f>Steps!A40</f>
        <v/>
      </c>
      <c r="B40" s="3">
        <f>Steps!C40</f>
        <v/>
      </c>
      <c r="C40" s="12">
        <f>Steps!E40</f>
        <v/>
      </c>
      <c r="D40" s="13">
        <f>IF(1&gt;Settings!$B$6,"",SUMIFS('Work log'!$F$5:$F$1004,'Work log'!$B$5:$B$1004,1,'Work log'!$C$5:$C$1004,A40,'Work log'!$L$5:$L$1004,"&gt;0"))</f>
        <v/>
      </c>
      <c r="E40" s="13">
        <f>IF(2&gt;Settings!$B$6,"",SUMIFS('Work log'!$F$5:$F$1004,'Work log'!$B$5:$B$1004,2,'Work log'!$C$5:$C$1004,A40,'Work log'!$L$5:$L$1004,"&gt;0"))</f>
        <v/>
      </c>
      <c r="F40" s="13">
        <f>IF(3&gt;Settings!$B$6,"",SUMIFS('Work log'!$F$5:$F$1004,'Work log'!$B$5:$B$1004,3,'Work log'!$C$5:$C$1004,A40,'Work log'!$L$5:$L$1004,"&gt;0"))</f>
        <v/>
      </c>
      <c r="G40" s="13">
        <f>IF(4&gt;Settings!$B$6,"",SUMIFS('Work log'!$F$5:$F$1004,'Work log'!$B$5:$B$1004,4,'Work log'!$C$5:$C$1004,A40,'Work log'!$L$5:$L$1004,"&gt;0"))</f>
        <v/>
      </c>
      <c r="H40" s="13">
        <f>IF(5&gt;Settings!$B$6,"",SUMIFS('Work log'!$F$5:$F$1004,'Work log'!$B$5:$B$1004,5,'Work log'!$C$5:$C$1004,A40,'Work log'!$L$5:$L$1004,"&gt;0"))</f>
        <v/>
      </c>
      <c r="I40" s="13">
        <f>IF(6&gt;Settings!$B$6,"",SUMIFS('Work log'!$F$5:$F$1004,'Work log'!$B$5:$B$1004,6,'Work log'!$C$5:$C$1004,A40,'Work log'!$L$5:$L$1004,"&gt;0"))</f>
        <v/>
      </c>
      <c r="J40" s="13">
        <f>IF(7&gt;Settings!$B$6,"",SUMIFS('Work log'!$F$5:$F$1004,'Work log'!$B$5:$B$1004,7,'Work log'!$C$5:$C$1004,A40,'Work log'!$L$5:$L$1004,"&gt;0"))</f>
        <v/>
      </c>
      <c r="K40" s="13">
        <f>IF(8&gt;Settings!$B$6,"",SUMIFS('Work log'!$F$5:$F$1004,'Work log'!$B$5:$B$1004,8,'Work log'!$C$5:$C$1004,A40,'Work log'!$L$5:$L$1004,"&gt;0"))</f>
        <v/>
      </c>
      <c r="L40" s="13">
        <f>IF(1&gt;Settings!$B$6,"",SUMIFS(Pledges!$E$5:$E$504,Pledges!$A$5:$A$504,1,Pledges!$B$5:$B$504,A40))</f>
        <v/>
      </c>
      <c r="M40" s="13">
        <f>IF(2&gt;Settings!$B$6,"",SUMIFS(Pledges!$E$5:$E$504,Pledges!$A$5:$A$504,2,Pledges!$B$5:$B$504,A40))</f>
        <v/>
      </c>
      <c r="N40" s="13">
        <f>IF(3&gt;Settings!$B$6,"",SUMIFS(Pledges!$E$5:$E$504,Pledges!$A$5:$A$504,3,Pledges!$B$5:$B$504,A40))</f>
        <v/>
      </c>
      <c r="O40" s="13">
        <f>IF(4&gt;Settings!$B$6,"",SUMIFS(Pledges!$E$5:$E$504,Pledges!$A$5:$A$504,4,Pledges!$B$5:$B$504,A40))</f>
        <v/>
      </c>
      <c r="P40" s="13">
        <f>IF(5&gt;Settings!$B$6,"",SUMIFS(Pledges!$E$5:$E$504,Pledges!$A$5:$A$504,5,Pledges!$B$5:$B$504,A40))</f>
        <v/>
      </c>
      <c r="Q40" s="13">
        <f>IF(6&gt;Settings!$B$6,"",SUMIFS(Pledges!$E$5:$E$504,Pledges!$A$5:$A$504,6,Pledges!$B$5:$B$504,A40))</f>
        <v/>
      </c>
      <c r="R40" s="13">
        <f>IF(7&gt;Settings!$B$6,"",SUMIFS(Pledges!$E$5:$E$504,Pledges!$A$5:$A$504,7,Pledges!$B$5:$B$504,A40))</f>
        <v/>
      </c>
      <c r="S40" s="13">
        <f>IF(8&gt;Settings!$B$6,"",SUMIFS(Pledges!$E$5:$E$504,Pledges!$A$5:$A$504,8,Pledges!$B$5:$B$504,A40))</f>
        <v/>
      </c>
    </row>
    <row r="41">
      <c r="A41" s="3">
        <f>Steps!A41</f>
        <v/>
      </c>
      <c r="B41" s="3">
        <f>Steps!C41</f>
        <v/>
      </c>
      <c r="C41" s="12">
        <f>Steps!E41</f>
        <v/>
      </c>
      <c r="D41" s="13">
        <f>IF(1&gt;Settings!$B$6,"",SUMIFS('Work log'!$F$5:$F$1004,'Work log'!$B$5:$B$1004,1,'Work log'!$C$5:$C$1004,A41,'Work log'!$L$5:$L$1004,"&gt;0"))</f>
        <v/>
      </c>
      <c r="E41" s="13">
        <f>IF(2&gt;Settings!$B$6,"",SUMIFS('Work log'!$F$5:$F$1004,'Work log'!$B$5:$B$1004,2,'Work log'!$C$5:$C$1004,A41,'Work log'!$L$5:$L$1004,"&gt;0"))</f>
        <v/>
      </c>
      <c r="F41" s="13">
        <f>IF(3&gt;Settings!$B$6,"",SUMIFS('Work log'!$F$5:$F$1004,'Work log'!$B$5:$B$1004,3,'Work log'!$C$5:$C$1004,A41,'Work log'!$L$5:$L$1004,"&gt;0"))</f>
        <v/>
      </c>
      <c r="G41" s="13">
        <f>IF(4&gt;Settings!$B$6,"",SUMIFS('Work log'!$F$5:$F$1004,'Work log'!$B$5:$B$1004,4,'Work log'!$C$5:$C$1004,A41,'Work log'!$L$5:$L$1004,"&gt;0"))</f>
        <v/>
      </c>
      <c r="H41" s="13">
        <f>IF(5&gt;Settings!$B$6,"",SUMIFS('Work log'!$F$5:$F$1004,'Work log'!$B$5:$B$1004,5,'Work log'!$C$5:$C$1004,A41,'Work log'!$L$5:$L$1004,"&gt;0"))</f>
        <v/>
      </c>
      <c r="I41" s="13">
        <f>IF(6&gt;Settings!$B$6,"",SUMIFS('Work log'!$F$5:$F$1004,'Work log'!$B$5:$B$1004,6,'Work log'!$C$5:$C$1004,A41,'Work log'!$L$5:$L$1004,"&gt;0"))</f>
        <v/>
      </c>
      <c r="J41" s="13">
        <f>IF(7&gt;Settings!$B$6,"",SUMIFS('Work log'!$F$5:$F$1004,'Work log'!$B$5:$B$1004,7,'Work log'!$C$5:$C$1004,A41,'Work log'!$L$5:$L$1004,"&gt;0"))</f>
        <v/>
      </c>
      <c r="K41" s="13">
        <f>IF(8&gt;Settings!$B$6,"",SUMIFS('Work log'!$F$5:$F$1004,'Work log'!$B$5:$B$1004,8,'Work log'!$C$5:$C$1004,A41,'Work log'!$L$5:$L$1004,"&gt;0"))</f>
        <v/>
      </c>
      <c r="L41" s="13">
        <f>IF(1&gt;Settings!$B$6,"",SUMIFS(Pledges!$E$5:$E$504,Pledges!$A$5:$A$504,1,Pledges!$B$5:$B$504,A41))</f>
        <v/>
      </c>
      <c r="M41" s="13">
        <f>IF(2&gt;Settings!$B$6,"",SUMIFS(Pledges!$E$5:$E$504,Pledges!$A$5:$A$504,2,Pledges!$B$5:$B$504,A41))</f>
        <v/>
      </c>
      <c r="N41" s="13">
        <f>IF(3&gt;Settings!$B$6,"",SUMIFS(Pledges!$E$5:$E$504,Pledges!$A$5:$A$504,3,Pledges!$B$5:$B$504,A41))</f>
        <v/>
      </c>
      <c r="O41" s="13">
        <f>IF(4&gt;Settings!$B$6,"",SUMIFS(Pledges!$E$5:$E$504,Pledges!$A$5:$A$504,4,Pledges!$B$5:$B$504,A41))</f>
        <v/>
      </c>
      <c r="P41" s="13">
        <f>IF(5&gt;Settings!$B$6,"",SUMIFS(Pledges!$E$5:$E$504,Pledges!$A$5:$A$504,5,Pledges!$B$5:$B$504,A41))</f>
        <v/>
      </c>
      <c r="Q41" s="13">
        <f>IF(6&gt;Settings!$B$6,"",SUMIFS(Pledges!$E$5:$E$504,Pledges!$A$5:$A$504,6,Pledges!$B$5:$B$504,A41))</f>
        <v/>
      </c>
      <c r="R41" s="13">
        <f>IF(7&gt;Settings!$B$6,"",SUMIFS(Pledges!$E$5:$E$504,Pledges!$A$5:$A$504,7,Pledges!$B$5:$B$504,A41))</f>
        <v/>
      </c>
      <c r="S41" s="13">
        <f>IF(8&gt;Settings!$B$6,"",SUMIFS(Pledges!$E$5:$E$504,Pledges!$A$5:$A$504,8,Pledges!$B$5:$B$504,A41))</f>
        <v/>
      </c>
    </row>
    <row r="42">
      <c r="A42" s="3">
        <f>Steps!A42</f>
        <v/>
      </c>
      <c r="B42" s="3">
        <f>Steps!C42</f>
        <v/>
      </c>
      <c r="C42" s="12">
        <f>Steps!E42</f>
        <v/>
      </c>
      <c r="D42" s="13">
        <f>IF(1&gt;Settings!$B$6,"",SUMIFS('Work log'!$F$5:$F$1004,'Work log'!$B$5:$B$1004,1,'Work log'!$C$5:$C$1004,A42,'Work log'!$L$5:$L$1004,"&gt;0"))</f>
        <v/>
      </c>
      <c r="E42" s="13">
        <f>IF(2&gt;Settings!$B$6,"",SUMIFS('Work log'!$F$5:$F$1004,'Work log'!$B$5:$B$1004,2,'Work log'!$C$5:$C$1004,A42,'Work log'!$L$5:$L$1004,"&gt;0"))</f>
        <v/>
      </c>
      <c r="F42" s="13">
        <f>IF(3&gt;Settings!$B$6,"",SUMIFS('Work log'!$F$5:$F$1004,'Work log'!$B$5:$B$1004,3,'Work log'!$C$5:$C$1004,A42,'Work log'!$L$5:$L$1004,"&gt;0"))</f>
        <v/>
      </c>
      <c r="G42" s="13">
        <f>IF(4&gt;Settings!$B$6,"",SUMIFS('Work log'!$F$5:$F$1004,'Work log'!$B$5:$B$1004,4,'Work log'!$C$5:$C$1004,A42,'Work log'!$L$5:$L$1004,"&gt;0"))</f>
        <v/>
      </c>
      <c r="H42" s="13">
        <f>IF(5&gt;Settings!$B$6,"",SUMIFS('Work log'!$F$5:$F$1004,'Work log'!$B$5:$B$1004,5,'Work log'!$C$5:$C$1004,A42,'Work log'!$L$5:$L$1004,"&gt;0"))</f>
        <v/>
      </c>
      <c r="I42" s="13">
        <f>IF(6&gt;Settings!$B$6,"",SUMIFS('Work log'!$F$5:$F$1004,'Work log'!$B$5:$B$1004,6,'Work log'!$C$5:$C$1004,A42,'Work log'!$L$5:$L$1004,"&gt;0"))</f>
        <v/>
      </c>
      <c r="J42" s="13">
        <f>IF(7&gt;Settings!$B$6,"",SUMIFS('Work log'!$F$5:$F$1004,'Work log'!$B$5:$B$1004,7,'Work log'!$C$5:$C$1004,A42,'Work log'!$L$5:$L$1004,"&gt;0"))</f>
        <v/>
      </c>
      <c r="K42" s="13">
        <f>IF(8&gt;Settings!$B$6,"",SUMIFS('Work log'!$F$5:$F$1004,'Work log'!$B$5:$B$1004,8,'Work log'!$C$5:$C$1004,A42,'Work log'!$L$5:$L$1004,"&gt;0"))</f>
        <v/>
      </c>
      <c r="L42" s="13">
        <f>IF(1&gt;Settings!$B$6,"",SUMIFS(Pledges!$E$5:$E$504,Pledges!$A$5:$A$504,1,Pledges!$B$5:$B$504,A42))</f>
        <v/>
      </c>
      <c r="M42" s="13">
        <f>IF(2&gt;Settings!$B$6,"",SUMIFS(Pledges!$E$5:$E$504,Pledges!$A$5:$A$504,2,Pledges!$B$5:$B$504,A42))</f>
        <v/>
      </c>
      <c r="N42" s="13">
        <f>IF(3&gt;Settings!$B$6,"",SUMIFS(Pledges!$E$5:$E$504,Pledges!$A$5:$A$504,3,Pledges!$B$5:$B$504,A42))</f>
        <v/>
      </c>
      <c r="O42" s="13">
        <f>IF(4&gt;Settings!$B$6,"",SUMIFS(Pledges!$E$5:$E$504,Pledges!$A$5:$A$504,4,Pledges!$B$5:$B$504,A42))</f>
        <v/>
      </c>
      <c r="P42" s="13">
        <f>IF(5&gt;Settings!$B$6,"",SUMIFS(Pledges!$E$5:$E$504,Pledges!$A$5:$A$504,5,Pledges!$B$5:$B$504,A42))</f>
        <v/>
      </c>
      <c r="Q42" s="13">
        <f>IF(6&gt;Settings!$B$6,"",SUMIFS(Pledges!$E$5:$E$504,Pledges!$A$5:$A$504,6,Pledges!$B$5:$B$504,A42))</f>
        <v/>
      </c>
      <c r="R42" s="13">
        <f>IF(7&gt;Settings!$B$6,"",SUMIFS(Pledges!$E$5:$E$504,Pledges!$A$5:$A$504,7,Pledges!$B$5:$B$504,A42))</f>
        <v/>
      </c>
      <c r="S42" s="13">
        <f>IF(8&gt;Settings!$B$6,"",SUMIFS(Pledges!$E$5:$E$504,Pledges!$A$5:$A$504,8,Pledges!$B$5:$B$504,A42))</f>
        <v/>
      </c>
    </row>
    <row r="43">
      <c r="A43" s="3">
        <f>Steps!A43</f>
        <v/>
      </c>
      <c r="B43" s="3">
        <f>Steps!C43</f>
        <v/>
      </c>
      <c r="C43" s="12">
        <f>Steps!E43</f>
        <v/>
      </c>
      <c r="D43" s="13">
        <f>IF(1&gt;Settings!$B$6,"",SUMIFS('Work log'!$F$5:$F$1004,'Work log'!$B$5:$B$1004,1,'Work log'!$C$5:$C$1004,A43,'Work log'!$L$5:$L$1004,"&gt;0"))</f>
        <v/>
      </c>
      <c r="E43" s="13">
        <f>IF(2&gt;Settings!$B$6,"",SUMIFS('Work log'!$F$5:$F$1004,'Work log'!$B$5:$B$1004,2,'Work log'!$C$5:$C$1004,A43,'Work log'!$L$5:$L$1004,"&gt;0"))</f>
        <v/>
      </c>
      <c r="F43" s="13">
        <f>IF(3&gt;Settings!$B$6,"",SUMIFS('Work log'!$F$5:$F$1004,'Work log'!$B$5:$B$1004,3,'Work log'!$C$5:$C$1004,A43,'Work log'!$L$5:$L$1004,"&gt;0"))</f>
        <v/>
      </c>
      <c r="G43" s="13">
        <f>IF(4&gt;Settings!$B$6,"",SUMIFS('Work log'!$F$5:$F$1004,'Work log'!$B$5:$B$1004,4,'Work log'!$C$5:$C$1004,A43,'Work log'!$L$5:$L$1004,"&gt;0"))</f>
        <v/>
      </c>
      <c r="H43" s="13">
        <f>IF(5&gt;Settings!$B$6,"",SUMIFS('Work log'!$F$5:$F$1004,'Work log'!$B$5:$B$1004,5,'Work log'!$C$5:$C$1004,A43,'Work log'!$L$5:$L$1004,"&gt;0"))</f>
        <v/>
      </c>
      <c r="I43" s="13">
        <f>IF(6&gt;Settings!$B$6,"",SUMIFS('Work log'!$F$5:$F$1004,'Work log'!$B$5:$B$1004,6,'Work log'!$C$5:$C$1004,A43,'Work log'!$L$5:$L$1004,"&gt;0"))</f>
        <v/>
      </c>
      <c r="J43" s="13">
        <f>IF(7&gt;Settings!$B$6,"",SUMIFS('Work log'!$F$5:$F$1004,'Work log'!$B$5:$B$1004,7,'Work log'!$C$5:$C$1004,A43,'Work log'!$L$5:$L$1004,"&gt;0"))</f>
        <v/>
      </c>
      <c r="K43" s="13">
        <f>IF(8&gt;Settings!$B$6,"",SUMIFS('Work log'!$F$5:$F$1004,'Work log'!$B$5:$B$1004,8,'Work log'!$C$5:$C$1004,A43,'Work log'!$L$5:$L$1004,"&gt;0"))</f>
        <v/>
      </c>
      <c r="L43" s="13">
        <f>IF(1&gt;Settings!$B$6,"",SUMIFS(Pledges!$E$5:$E$504,Pledges!$A$5:$A$504,1,Pledges!$B$5:$B$504,A43))</f>
        <v/>
      </c>
      <c r="M43" s="13">
        <f>IF(2&gt;Settings!$B$6,"",SUMIFS(Pledges!$E$5:$E$504,Pledges!$A$5:$A$504,2,Pledges!$B$5:$B$504,A43))</f>
        <v/>
      </c>
      <c r="N43" s="13">
        <f>IF(3&gt;Settings!$B$6,"",SUMIFS(Pledges!$E$5:$E$504,Pledges!$A$5:$A$504,3,Pledges!$B$5:$B$504,A43))</f>
        <v/>
      </c>
      <c r="O43" s="13">
        <f>IF(4&gt;Settings!$B$6,"",SUMIFS(Pledges!$E$5:$E$504,Pledges!$A$5:$A$504,4,Pledges!$B$5:$B$504,A43))</f>
        <v/>
      </c>
      <c r="P43" s="13">
        <f>IF(5&gt;Settings!$B$6,"",SUMIFS(Pledges!$E$5:$E$504,Pledges!$A$5:$A$504,5,Pledges!$B$5:$B$504,A43))</f>
        <v/>
      </c>
      <c r="Q43" s="13">
        <f>IF(6&gt;Settings!$B$6,"",SUMIFS(Pledges!$E$5:$E$504,Pledges!$A$5:$A$504,6,Pledges!$B$5:$B$504,A43))</f>
        <v/>
      </c>
      <c r="R43" s="13">
        <f>IF(7&gt;Settings!$B$6,"",SUMIFS(Pledges!$E$5:$E$504,Pledges!$A$5:$A$504,7,Pledges!$B$5:$B$504,A43))</f>
        <v/>
      </c>
      <c r="S43" s="13">
        <f>IF(8&gt;Settings!$B$6,"",SUMIFS(Pledges!$E$5:$E$504,Pledges!$A$5:$A$504,8,Pledges!$B$5:$B$504,A43))</f>
        <v/>
      </c>
    </row>
    <row r="44">
      <c r="A44" s="3">
        <f>Steps!A44</f>
        <v/>
      </c>
      <c r="B44" s="3">
        <f>Steps!C44</f>
        <v/>
      </c>
      <c r="C44" s="12">
        <f>Steps!E44</f>
        <v/>
      </c>
      <c r="D44" s="13">
        <f>IF(1&gt;Settings!$B$6,"",SUMIFS('Work log'!$F$5:$F$1004,'Work log'!$B$5:$B$1004,1,'Work log'!$C$5:$C$1004,A44,'Work log'!$L$5:$L$1004,"&gt;0"))</f>
        <v/>
      </c>
      <c r="E44" s="13">
        <f>IF(2&gt;Settings!$B$6,"",SUMIFS('Work log'!$F$5:$F$1004,'Work log'!$B$5:$B$1004,2,'Work log'!$C$5:$C$1004,A44,'Work log'!$L$5:$L$1004,"&gt;0"))</f>
        <v/>
      </c>
      <c r="F44" s="13">
        <f>IF(3&gt;Settings!$B$6,"",SUMIFS('Work log'!$F$5:$F$1004,'Work log'!$B$5:$B$1004,3,'Work log'!$C$5:$C$1004,A44,'Work log'!$L$5:$L$1004,"&gt;0"))</f>
        <v/>
      </c>
      <c r="G44" s="13">
        <f>IF(4&gt;Settings!$B$6,"",SUMIFS('Work log'!$F$5:$F$1004,'Work log'!$B$5:$B$1004,4,'Work log'!$C$5:$C$1004,A44,'Work log'!$L$5:$L$1004,"&gt;0"))</f>
        <v/>
      </c>
      <c r="H44" s="13">
        <f>IF(5&gt;Settings!$B$6,"",SUMIFS('Work log'!$F$5:$F$1004,'Work log'!$B$5:$B$1004,5,'Work log'!$C$5:$C$1004,A44,'Work log'!$L$5:$L$1004,"&gt;0"))</f>
        <v/>
      </c>
      <c r="I44" s="13">
        <f>IF(6&gt;Settings!$B$6,"",SUMIFS('Work log'!$F$5:$F$1004,'Work log'!$B$5:$B$1004,6,'Work log'!$C$5:$C$1004,A44,'Work log'!$L$5:$L$1004,"&gt;0"))</f>
        <v/>
      </c>
      <c r="J44" s="13">
        <f>IF(7&gt;Settings!$B$6,"",SUMIFS('Work log'!$F$5:$F$1004,'Work log'!$B$5:$B$1004,7,'Work log'!$C$5:$C$1004,A44,'Work log'!$L$5:$L$1004,"&gt;0"))</f>
        <v/>
      </c>
      <c r="K44" s="13">
        <f>IF(8&gt;Settings!$B$6,"",SUMIFS('Work log'!$F$5:$F$1004,'Work log'!$B$5:$B$1004,8,'Work log'!$C$5:$C$1004,A44,'Work log'!$L$5:$L$1004,"&gt;0"))</f>
        <v/>
      </c>
      <c r="L44" s="13">
        <f>IF(1&gt;Settings!$B$6,"",SUMIFS(Pledges!$E$5:$E$504,Pledges!$A$5:$A$504,1,Pledges!$B$5:$B$504,A44))</f>
        <v/>
      </c>
      <c r="M44" s="13">
        <f>IF(2&gt;Settings!$B$6,"",SUMIFS(Pledges!$E$5:$E$504,Pledges!$A$5:$A$504,2,Pledges!$B$5:$B$504,A44))</f>
        <v/>
      </c>
      <c r="N44" s="13">
        <f>IF(3&gt;Settings!$B$6,"",SUMIFS(Pledges!$E$5:$E$504,Pledges!$A$5:$A$504,3,Pledges!$B$5:$B$504,A44))</f>
        <v/>
      </c>
      <c r="O44" s="13">
        <f>IF(4&gt;Settings!$B$6,"",SUMIFS(Pledges!$E$5:$E$504,Pledges!$A$5:$A$504,4,Pledges!$B$5:$B$504,A44))</f>
        <v/>
      </c>
      <c r="P44" s="13">
        <f>IF(5&gt;Settings!$B$6,"",SUMIFS(Pledges!$E$5:$E$504,Pledges!$A$5:$A$504,5,Pledges!$B$5:$B$504,A44))</f>
        <v/>
      </c>
      <c r="Q44" s="13">
        <f>IF(6&gt;Settings!$B$6,"",SUMIFS(Pledges!$E$5:$E$504,Pledges!$A$5:$A$504,6,Pledges!$B$5:$B$504,A44))</f>
        <v/>
      </c>
      <c r="R44" s="13">
        <f>IF(7&gt;Settings!$B$6,"",SUMIFS(Pledges!$E$5:$E$504,Pledges!$A$5:$A$504,7,Pledges!$B$5:$B$504,A44))</f>
        <v/>
      </c>
      <c r="S44" s="13">
        <f>IF(8&gt;Settings!$B$6,"",SUMIFS(Pledges!$E$5:$E$504,Pledges!$A$5:$A$504,8,Pledges!$B$5:$B$504,A44))</f>
        <v/>
      </c>
    </row>
    <row r="45">
      <c r="A45" s="3">
        <f>Steps!A45</f>
        <v/>
      </c>
      <c r="B45" s="3">
        <f>Steps!C45</f>
        <v/>
      </c>
      <c r="C45" s="12">
        <f>Steps!E45</f>
        <v/>
      </c>
      <c r="D45" s="13">
        <f>IF(1&gt;Settings!$B$6,"",SUMIFS('Work log'!$F$5:$F$1004,'Work log'!$B$5:$B$1004,1,'Work log'!$C$5:$C$1004,A45,'Work log'!$L$5:$L$1004,"&gt;0"))</f>
        <v/>
      </c>
      <c r="E45" s="13">
        <f>IF(2&gt;Settings!$B$6,"",SUMIFS('Work log'!$F$5:$F$1004,'Work log'!$B$5:$B$1004,2,'Work log'!$C$5:$C$1004,A45,'Work log'!$L$5:$L$1004,"&gt;0"))</f>
        <v/>
      </c>
      <c r="F45" s="13">
        <f>IF(3&gt;Settings!$B$6,"",SUMIFS('Work log'!$F$5:$F$1004,'Work log'!$B$5:$B$1004,3,'Work log'!$C$5:$C$1004,A45,'Work log'!$L$5:$L$1004,"&gt;0"))</f>
        <v/>
      </c>
      <c r="G45" s="13">
        <f>IF(4&gt;Settings!$B$6,"",SUMIFS('Work log'!$F$5:$F$1004,'Work log'!$B$5:$B$1004,4,'Work log'!$C$5:$C$1004,A45,'Work log'!$L$5:$L$1004,"&gt;0"))</f>
        <v/>
      </c>
      <c r="H45" s="13">
        <f>IF(5&gt;Settings!$B$6,"",SUMIFS('Work log'!$F$5:$F$1004,'Work log'!$B$5:$B$1004,5,'Work log'!$C$5:$C$1004,A45,'Work log'!$L$5:$L$1004,"&gt;0"))</f>
        <v/>
      </c>
      <c r="I45" s="13">
        <f>IF(6&gt;Settings!$B$6,"",SUMIFS('Work log'!$F$5:$F$1004,'Work log'!$B$5:$B$1004,6,'Work log'!$C$5:$C$1004,A45,'Work log'!$L$5:$L$1004,"&gt;0"))</f>
        <v/>
      </c>
      <c r="J45" s="13">
        <f>IF(7&gt;Settings!$B$6,"",SUMIFS('Work log'!$F$5:$F$1004,'Work log'!$B$5:$B$1004,7,'Work log'!$C$5:$C$1004,A45,'Work log'!$L$5:$L$1004,"&gt;0"))</f>
        <v/>
      </c>
      <c r="K45" s="13">
        <f>IF(8&gt;Settings!$B$6,"",SUMIFS('Work log'!$F$5:$F$1004,'Work log'!$B$5:$B$1004,8,'Work log'!$C$5:$C$1004,A45,'Work log'!$L$5:$L$1004,"&gt;0"))</f>
        <v/>
      </c>
      <c r="L45" s="13">
        <f>IF(1&gt;Settings!$B$6,"",SUMIFS(Pledges!$E$5:$E$504,Pledges!$A$5:$A$504,1,Pledges!$B$5:$B$504,A45))</f>
        <v/>
      </c>
      <c r="M45" s="13">
        <f>IF(2&gt;Settings!$B$6,"",SUMIFS(Pledges!$E$5:$E$504,Pledges!$A$5:$A$504,2,Pledges!$B$5:$B$504,A45))</f>
        <v/>
      </c>
      <c r="N45" s="13">
        <f>IF(3&gt;Settings!$B$6,"",SUMIFS(Pledges!$E$5:$E$504,Pledges!$A$5:$A$504,3,Pledges!$B$5:$B$504,A45))</f>
        <v/>
      </c>
      <c r="O45" s="13">
        <f>IF(4&gt;Settings!$B$6,"",SUMIFS(Pledges!$E$5:$E$504,Pledges!$A$5:$A$504,4,Pledges!$B$5:$B$504,A45))</f>
        <v/>
      </c>
      <c r="P45" s="13">
        <f>IF(5&gt;Settings!$B$6,"",SUMIFS(Pledges!$E$5:$E$504,Pledges!$A$5:$A$504,5,Pledges!$B$5:$B$504,A45))</f>
        <v/>
      </c>
      <c r="Q45" s="13">
        <f>IF(6&gt;Settings!$B$6,"",SUMIFS(Pledges!$E$5:$E$504,Pledges!$A$5:$A$504,6,Pledges!$B$5:$B$504,A45))</f>
        <v/>
      </c>
      <c r="R45" s="13">
        <f>IF(7&gt;Settings!$B$6,"",SUMIFS(Pledges!$E$5:$E$504,Pledges!$A$5:$A$504,7,Pledges!$B$5:$B$504,A45))</f>
        <v/>
      </c>
      <c r="S45" s="13">
        <f>IF(8&gt;Settings!$B$6,"",SUMIFS(Pledges!$E$5:$E$504,Pledges!$A$5:$A$504,8,Pledges!$B$5:$B$504,A45))</f>
        <v/>
      </c>
    </row>
    <row r="46">
      <c r="A46" s="3">
        <f>Steps!A46</f>
        <v/>
      </c>
      <c r="B46" s="3">
        <f>Steps!C46</f>
        <v/>
      </c>
      <c r="C46" s="12">
        <f>Steps!E46</f>
        <v/>
      </c>
      <c r="D46" s="13">
        <f>IF(1&gt;Settings!$B$6,"",SUMIFS('Work log'!$F$5:$F$1004,'Work log'!$B$5:$B$1004,1,'Work log'!$C$5:$C$1004,A46,'Work log'!$L$5:$L$1004,"&gt;0"))</f>
        <v/>
      </c>
      <c r="E46" s="13">
        <f>IF(2&gt;Settings!$B$6,"",SUMIFS('Work log'!$F$5:$F$1004,'Work log'!$B$5:$B$1004,2,'Work log'!$C$5:$C$1004,A46,'Work log'!$L$5:$L$1004,"&gt;0"))</f>
        <v/>
      </c>
      <c r="F46" s="13">
        <f>IF(3&gt;Settings!$B$6,"",SUMIFS('Work log'!$F$5:$F$1004,'Work log'!$B$5:$B$1004,3,'Work log'!$C$5:$C$1004,A46,'Work log'!$L$5:$L$1004,"&gt;0"))</f>
        <v/>
      </c>
      <c r="G46" s="13">
        <f>IF(4&gt;Settings!$B$6,"",SUMIFS('Work log'!$F$5:$F$1004,'Work log'!$B$5:$B$1004,4,'Work log'!$C$5:$C$1004,A46,'Work log'!$L$5:$L$1004,"&gt;0"))</f>
        <v/>
      </c>
      <c r="H46" s="13">
        <f>IF(5&gt;Settings!$B$6,"",SUMIFS('Work log'!$F$5:$F$1004,'Work log'!$B$5:$B$1004,5,'Work log'!$C$5:$C$1004,A46,'Work log'!$L$5:$L$1004,"&gt;0"))</f>
        <v/>
      </c>
      <c r="I46" s="13">
        <f>IF(6&gt;Settings!$B$6,"",SUMIFS('Work log'!$F$5:$F$1004,'Work log'!$B$5:$B$1004,6,'Work log'!$C$5:$C$1004,A46,'Work log'!$L$5:$L$1004,"&gt;0"))</f>
        <v/>
      </c>
      <c r="J46" s="13">
        <f>IF(7&gt;Settings!$B$6,"",SUMIFS('Work log'!$F$5:$F$1004,'Work log'!$B$5:$B$1004,7,'Work log'!$C$5:$C$1004,A46,'Work log'!$L$5:$L$1004,"&gt;0"))</f>
        <v/>
      </c>
      <c r="K46" s="13">
        <f>IF(8&gt;Settings!$B$6,"",SUMIFS('Work log'!$F$5:$F$1004,'Work log'!$B$5:$B$1004,8,'Work log'!$C$5:$C$1004,A46,'Work log'!$L$5:$L$1004,"&gt;0"))</f>
        <v/>
      </c>
      <c r="L46" s="13">
        <f>IF(1&gt;Settings!$B$6,"",SUMIFS(Pledges!$E$5:$E$504,Pledges!$A$5:$A$504,1,Pledges!$B$5:$B$504,A46))</f>
        <v/>
      </c>
      <c r="M46" s="13">
        <f>IF(2&gt;Settings!$B$6,"",SUMIFS(Pledges!$E$5:$E$504,Pledges!$A$5:$A$504,2,Pledges!$B$5:$B$504,A46))</f>
        <v/>
      </c>
      <c r="N46" s="13">
        <f>IF(3&gt;Settings!$B$6,"",SUMIFS(Pledges!$E$5:$E$504,Pledges!$A$5:$A$504,3,Pledges!$B$5:$B$504,A46))</f>
        <v/>
      </c>
      <c r="O46" s="13">
        <f>IF(4&gt;Settings!$B$6,"",SUMIFS(Pledges!$E$5:$E$504,Pledges!$A$5:$A$504,4,Pledges!$B$5:$B$504,A46))</f>
        <v/>
      </c>
      <c r="P46" s="13">
        <f>IF(5&gt;Settings!$B$6,"",SUMIFS(Pledges!$E$5:$E$504,Pledges!$A$5:$A$504,5,Pledges!$B$5:$B$504,A46))</f>
        <v/>
      </c>
      <c r="Q46" s="13">
        <f>IF(6&gt;Settings!$B$6,"",SUMIFS(Pledges!$E$5:$E$504,Pledges!$A$5:$A$504,6,Pledges!$B$5:$B$504,A46))</f>
        <v/>
      </c>
      <c r="R46" s="13">
        <f>IF(7&gt;Settings!$B$6,"",SUMIFS(Pledges!$E$5:$E$504,Pledges!$A$5:$A$504,7,Pledges!$B$5:$B$504,A46))</f>
        <v/>
      </c>
      <c r="S46" s="13">
        <f>IF(8&gt;Settings!$B$6,"",SUMIFS(Pledges!$E$5:$E$504,Pledges!$A$5:$A$504,8,Pledges!$B$5:$B$504,A46))</f>
        <v/>
      </c>
    </row>
    <row r="47">
      <c r="A47" s="3">
        <f>Steps!A47</f>
        <v/>
      </c>
      <c r="B47" s="3">
        <f>Steps!C47</f>
        <v/>
      </c>
      <c r="C47" s="12">
        <f>Steps!E47</f>
        <v/>
      </c>
      <c r="D47" s="13">
        <f>IF(1&gt;Settings!$B$6,"",SUMIFS('Work log'!$F$5:$F$1004,'Work log'!$B$5:$B$1004,1,'Work log'!$C$5:$C$1004,A47,'Work log'!$L$5:$L$1004,"&gt;0"))</f>
        <v/>
      </c>
      <c r="E47" s="13">
        <f>IF(2&gt;Settings!$B$6,"",SUMIFS('Work log'!$F$5:$F$1004,'Work log'!$B$5:$B$1004,2,'Work log'!$C$5:$C$1004,A47,'Work log'!$L$5:$L$1004,"&gt;0"))</f>
        <v/>
      </c>
      <c r="F47" s="13">
        <f>IF(3&gt;Settings!$B$6,"",SUMIFS('Work log'!$F$5:$F$1004,'Work log'!$B$5:$B$1004,3,'Work log'!$C$5:$C$1004,A47,'Work log'!$L$5:$L$1004,"&gt;0"))</f>
        <v/>
      </c>
      <c r="G47" s="13">
        <f>IF(4&gt;Settings!$B$6,"",SUMIFS('Work log'!$F$5:$F$1004,'Work log'!$B$5:$B$1004,4,'Work log'!$C$5:$C$1004,A47,'Work log'!$L$5:$L$1004,"&gt;0"))</f>
        <v/>
      </c>
      <c r="H47" s="13">
        <f>IF(5&gt;Settings!$B$6,"",SUMIFS('Work log'!$F$5:$F$1004,'Work log'!$B$5:$B$1004,5,'Work log'!$C$5:$C$1004,A47,'Work log'!$L$5:$L$1004,"&gt;0"))</f>
        <v/>
      </c>
      <c r="I47" s="13">
        <f>IF(6&gt;Settings!$B$6,"",SUMIFS('Work log'!$F$5:$F$1004,'Work log'!$B$5:$B$1004,6,'Work log'!$C$5:$C$1004,A47,'Work log'!$L$5:$L$1004,"&gt;0"))</f>
        <v/>
      </c>
      <c r="J47" s="13">
        <f>IF(7&gt;Settings!$B$6,"",SUMIFS('Work log'!$F$5:$F$1004,'Work log'!$B$5:$B$1004,7,'Work log'!$C$5:$C$1004,A47,'Work log'!$L$5:$L$1004,"&gt;0"))</f>
        <v/>
      </c>
      <c r="K47" s="13">
        <f>IF(8&gt;Settings!$B$6,"",SUMIFS('Work log'!$F$5:$F$1004,'Work log'!$B$5:$B$1004,8,'Work log'!$C$5:$C$1004,A47,'Work log'!$L$5:$L$1004,"&gt;0"))</f>
        <v/>
      </c>
      <c r="L47" s="13">
        <f>IF(1&gt;Settings!$B$6,"",SUMIFS(Pledges!$E$5:$E$504,Pledges!$A$5:$A$504,1,Pledges!$B$5:$B$504,A47))</f>
        <v/>
      </c>
      <c r="M47" s="13">
        <f>IF(2&gt;Settings!$B$6,"",SUMIFS(Pledges!$E$5:$E$504,Pledges!$A$5:$A$504,2,Pledges!$B$5:$B$504,A47))</f>
        <v/>
      </c>
      <c r="N47" s="13">
        <f>IF(3&gt;Settings!$B$6,"",SUMIFS(Pledges!$E$5:$E$504,Pledges!$A$5:$A$504,3,Pledges!$B$5:$B$504,A47))</f>
        <v/>
      </c>
      <c r="O47" s="13">
        <f>IF(4&gt;Settings!$B$6,"",SUMIFS(Pledges!$E$5:$E$504,Pledges!$A$5:$A$504,4,Pledges!$B$5:$B$504,A47))</f>
        <v/>
      </c>
      <c r="P47" s="13">
        <f>IF(5&gt;Settings!$B$6,"",SUMIFS(Pledges!$E$5:$E$504,Pledges!$A$5:$A$504,5,Pledges!$B$5:$B$504,A47))</f>
        <v/>
      </c>
      <c r="Q47" s="13">
        <f>IF(6&gt;Settings!$B$6,"",SUMIFS(Pledges!$E$5:$E$504,Pledges!$A$5:$A$504,6,Pledges!$B$5:$B$504,A47))</f>
        <v/>
      </c>
      <c r="R47" s="13">
        <f>IF(7&gt;Settings!$B$6,"",SUMIFS(Pledges!$E$5:$E$504,Pledges!$A$5:$A$504,7,Pledges!$B$5:$B$504,A47))</f>
        <v/>
      </c>
      <c r="S47" s="13">
        <f>IF(8&gt;Settings!$B$6,"",SUMIFS(Pledges!$E$5:$E$504,Pledges!$A$5:$A$504,8,Pledges!$B$5:$B$504,A47))</f>
        <v/>
      </c>
    </row>
    <row r="48">
      <c r="A48" s="3">
        <f>Steps!A48</f>
        <v/>
      </c>
      <c r="B48" s="3">
        <f>Steps!C48</f>
        <v/>
      </c>
      <c r="C48" s="12">
        <f>Steps!E48</f>
        <v/>
      </c>
      <c r="D48" s="13">
        <f>IF(1&gt;Settings!$B$6,"",SUMIFS('Work log'!$F$5:$F$1004,'Work log'!$B$5:$B$1004,1,'Work log'!$C$5:$C$1004,A48,'Work log'!$L$5:$L$1004,"&gt;0"))</f>
        <v/>
      </c>
      <c r="E48" s="13">
        <f>IF(2&gt;Settings!$B$6,"",SUMIFS('Work log'!$F$5:$F$1004,'Work log'!$B$5:$B$1004,2,'Work log'!$C$5:$C$1004,A48,'Work log'!$L$5:$L$1004,"&gt;0"))</f>
        <v/>
      </c>
      <c r="F48" s="13">
        <f>IF(3&gt;Settings!$B$6,"",SUMIFS('Work log'!$F$5:$F$1004,'Work log'!$B$5:$B$1004,3,'Work log'!$C$5:$C$1004,A48,'Work log'!$L$5:$L$1004,"&gt;0"))</f>
        <v/>
      </c>
      <c r="G48" s="13">
        <f>IF(4&gt;Settings!$B$6,"",SUMIFS('Work log'!$F$5:$F$1004,'Work log'!$B$5:$B$1004,4,'Work log'!$C$5:$C$1004,A48,'Work log'!$L$5:$L$1004,"&gt;0"))</f>
        <v/>
      </c>
      <c r="H48" s="13">
        <f>IF(5&gt;Settings!$B$6,"",SUMIFS('Work log'!$F$5:$F$1004,'Work log'!$B$5:$B$1004,5,'Work log'!$C$5:$C$1004,A48,'Work log'!$L$5:$L$1004,"&gt;0"))</f>
        <v/>
      </c>
      <c r="I48" s="13">
        <f>IF(6&gt;Settings!$B$6,"",SUMIFS('Work log'!$F$5:$F$1004,'Work log'!$B$5:$B$1004,6,'Work log'!$C$5:$C$1004,A48,'Work log'!$L$5:$L$1004,"&gt;0"))</f>
        <v/>
      </c>
      <c r="J48" s="13">
        <f>IF(7&gt;Settings!$B$6,"",SUMIFS('Work log'!$F$5:$F$1004,'Work log'!$B$5:$B$1004,7,'Work log'!$C$5:$C$1004,A48,'Work log'!$L$5:$L$1004,"&gt;0"))</f>
        <v/>
      </c>
      <c r="K48" s="13">
        <f>IF(8&gt;Settings!$B$6,"",SUMIFS('Work log'!$F$5:$F$1004,'Work log'!$B$5:$B$1004,8,'Work log'!$C$5:$C$1004,A48,'Work log'!$L$5:$L$1004,"&gt;0"))</f>
        <v/>
      </c>
      <c r="L48" s="13">
        <f>IF(1&gt;Settings!$B$6,"",SUMIFS(Pledges!$E$5:$E$504,Pledges!$A$5:$A$504,1,Pledges!$B$5:$B$504,A48))</f>
        <v/>
      </c>
      <c r="M48" s="13">
        <f>IF(2&gt;Settings!$B$6,"",SUMIFS(Pledges!$E$5:$E$504,Pledges!$A$5:$A$504,2,Pledges!$B$5:$B$504,A48))</f>
        <v/>
      </c>
      <c r="N48" s="13">
        <f>IF(3&gt;Settings!$B$6,"",SUMIFS(Pledges!$E$5:$E$504,Pledges!$A$5:$A$504,3,Pledges!$B$5:$B$504,A48))</f>
        <v/>
      </c>
      <c r="O48" s="13">
        <f>IF(4&gt;Settings!$B$6,"",SUMIFS(Pledges!$E$5:$E$504,Pledges!$A$5:$A$504,4,Pledges!$B$5:$B$504,A48))</f>
        <v/>
      </c>
      <c r="P48" s="13">
        <f>IF(5&gt;Settings!$B$6,"",SUMIFS(Pledges!$E$5:$E$504,Pledges!$A$5:$A$504,5,Pledges!$B$5:$B$504,A48))</f>
        <v/>
      </c>
      <c r="Q48" s="13">
        <f>IF(6&gt;Settings!$B$6,"",SUMIFS(Pledges!$E$5:$E$504,Pledges!$A$5:$A$504,6,Pledges!$B$5:$B$504,A48))</f>
        <v/>
      </c>
      <c r="R48" s="13">
        <f>IF(7&gt;Settings!$B$6,"",SUMIFS(Pledges!$E$5:$E$504,Pledges!$A$5:$A$504,7,Pledges!$B$5:$B$504,A48))</f>
        <v/>
      </c>
      <c r="S48" s="13">
        <f>IF(8&gt;Settings!$B$6,"",SUMIFS(Pledges!$E$5:$E$504,Pledges!$A$5:$A$504,8,Pledges!$B$5:$B$504,A48))</f>
        <v/>
      </c>
    </row>
    <row r="49">
      <c r="A49" s="3">
        <f>Steps!A49</f>
        <v/>
      </c>
      <c r="B49" s="3">
        <f>Steps!C49</f>
        <v/>
      </c>
      <c r="C49" s="12">
        <f>Steps!E49</f>
        <v/>
      </c>
      <c r="D49" s="13">
        <f>IF(1&gt;Settings!$B$6,"",SUMIFS('Work log'!$F$5:$F$1004,'Work log'!$B$5:$B$1004,1,'Work log'!$C$5:$C$1004,A49,'Work log'!$L$5:$L$1004,"&gt;0"))</f>
        <v/>
      </c>
      <c r="E49" s="13">
        <f>IF(2&gt;Settings!$B$6,"",SUMIFS('Work log'!$F$5:$F$1004,'Work log'!$B$5:$B$1004,2,'Work log'!$C$5:$C$1004,A49,'Work log'!$L$5:$L$1004,"&gt;0"))</f>
        <v/>
      </c>
      <c r="F49" s="13">
        <f>IF(3&gt;Settings!$B$6,"",SUMIFS('Work log'!$F$5:$F$1004,'Work log'!$B$5:$B$1004,3,'Work log'!$C$5:$C$1004,A49,'Work log'!$L$5:$L$1004,"&gt;0"))</f>
        <v/>
      </c>
      <c r="G49" s="13">
        <f>IF(4&gt;Settings!$B$6,"",SUMIFS('Work log'!$F$5:$F$1004,'Work log'!$B$5:$B$1004,4,'Work log'!$C$5:$C$1004,A49,'Work log'!$L$5:$L$1004,"&gt;0"))</f>
        <v/>
      </c>
      <c r="H49" s="13">
        <f>IF(5&gt;Settings!$B$6,"",SUMIFS('Work log'!$F$5:$F$1004,'Work log'!$B$5:$B$1004,5,'Work log'!$C$5:$C$1004,A49,'Work log'!$L$5:$L$1004,"&gt;0"))</f>
        <v/>
      </c>
      <c r="I49" s="13">
        <f>IF(6&gt;Settings!$B$6,"",SUMIFS('Work log'!$F$5:$F$1004,'Work log'!$B$5:$B$1004,6,'Work log'!$C$5:$C$1004,A49,'Work log'!$L$5:$L$1004,"&gt;0"))</f>
        <v/>
      </c>
      <c r="J49" s="13">
        <f>IF(7&gt;Settings!$B$6,"",SUMIFS('Work log'!$F$5:$F$1004,'Work log'!$B$5:$B$1004,7,'Work log'!$C$5:$C$1004,A49,'Work log'!$L$5:$L$1004,"&gt;0"))</f>
        <v/>
      </c>
      <c r="K49" s="13">
        <f>IF(8&gt;Settings!$B$6,"",SUMIFS('Work log'!$F$5:$F$1004,'Work log'!$B$5:$B$1004,8,'Work log'!$C$5:$C$1004,A49,'Work log'!$L$5:$L$1004,"&gt;0"))</f>
        <v/>
      </c>
      <c r="L49" s="13">
        <f>IF(1&gt;Settings!$B$6,"",SUMIFS(Pledges!$E$5:$E$504,Pledges!$A$5:$A$504,1,Pledges!$B$5:$B$504,A49))</f>
        <v/>
      </c>
      <c r="M49" s="13">
        <f>IF(2&gt;Settings!$B$6,"",SUMIFS(Pledges!$E$5:$E$504,Pledges!$A$5:$A$504,2,Pledges!$B$5:$B$504,A49))</f>
        <v/>
      </c>
      <c r="N49" s="13">
        <f>IF(3&gt;Settings!$B$6,"",SUMIFS(Pledges!$E$5:$E$504,Pledges!$A$5:$A$504,3,Pledges!$B$5:$B$504,A49))</f>
        <v/>
      </c>
      <c r="O49" s="13">
        <f>IF(4&gt;Settings!$B$6,"",SUMIFS(Pledges!$E$5:$E$504,Pledges!$A$5:$A$504,4,Pledges!$B$5:$B$504,A49))</f>
        <v/>
      </c>
      <c r="P49" s="13">
        <f>IF(5&gt;Settings!$B$6,"",SUMIFS(Pledges!$E$5:$E$504,Pledges!$A$5:$A$504,5,Pledges!$B$5:$B$504,A49))</f>
        <v/>
      </c>
      <c r="Q49" s="13">
        <f>IF(6&gt;Settings!$B$6,"",SUMIFS(Pledges!$E$5:$E$504,Pledges!$A$5:$A$504,6,Pledges!$B$5:$B$504,A49))</f>
        <v/>
      </c>
      <c r="R49" s="13">
        <f>IF(7&gt;Settings!$B$6,"",SUMIFS(Pledges!$E$5:$E$504,Pledges!$A$5:$A$504,7,Pledges!$B$5:$B$504,A49))</f>
        <v/>
      </c>
      <c r="S49" s="13">
        <f>IF(8&gt;Settings!$B$6,"",SUMIFS(Pledges!$E$5:$E$504,Pledges!$A$5:$A$504,8,Pledges!$B$5:$B$504,A49))</f>
        <v/>
      </c>
    </row>
    <row r="50">
      <c r="A50" s="3">
        <f>Steps!A50</f>
        <v/>
      </c>
      <c r="B50" s="3">
        <f>Steps!C50</f>
        <v/>
      </c>
      <c r="C50" s="12">
        <f>Steps!E50</f>
        <v/>
      </c>
      <c r="D50" s="13">
        <f>IF(1&gt;Settings!$B$6,"",SUMIFS('Work log'!$F$5:$F$1004,'Work log'!$B$5:$B$1004,1,'Work log'!$C$5:$C$1004,A50,'Work log'!$L$5:$L$1004,"&gt;0"))</f>
        <v/>
      </c>
      <c r="E50" s="13">
        <f>IF(2&gt;Settings!$B$6,"",SUMIFS('Work log'!$F$5:$F$1004,'Work log'!$B$5:$B$1004,2,'Work log'!$C$5:$C$1004,A50,'Work log'!$L$5:$L$1004,"&gt;0"))</f>
        <v/>
      </c>
      <c r="F50" s="13">
        <f>IF(3&gt;Settings!$B$6,"",SUMIFS('Work log'!$F$5:$F$1004,'Work log'!$B$5:$B$1004,3,'Work log'!$C$5:$C$1004,A50,'Work log'!$L$5:$L$1004,"&gt;0"))</f>
        <v/>
      </c>
      <c r="G50" s="13">
        <f>IF(4&gt;Settings!$B$6,"",SUMIFS('Work log'!$F$5:$F$1004,'Work log'!$B$5:$B$1004,4,'Work log'!$C$5:$C$1004,A50,'Work log'!$L$5:$L$1004,"&gt;0"))</f>
        <v/>
      </c>
      <c r="H50" s="13">
        <f>IF(5&gt;Settings!$B$6,"",SUMIFS('Work log'!$F$5:$F$1004,'Work log'!$B$5:$B$1004,5,'Work log'!$C$5:$C$1004,A50,'Work log'!$L$5:$L$1004,"&gt;0"))</f>
        <v/>
      </c>
      <c r="I50" s="13">
        <f>IF(6&gt;Settings!$B$6,"",SUMIFS('Work log'!$F$5:$F$1004,'Work log'!$B$5:$B$1004,6,'Work log'!$C$5:$C$1004,A50,'Work log'!$L$5:$L$1004,"&gt;0"))</f>
        <v/>
      </c>
      <c r="J50" s="13">
        <f>IF(7&gt;Settings!$B$6,"",SUMIFS('Work log'!$F$5:$F$1004,'Work log'!$B$5:$B$1004,7,'Work log'!$C$5:$C$1004,A50,'Work log'!$L$5:$L$1004,"&gt;0"))</f>
        <v/>
      </c>
      <c r="K50" s="13">
        <f>IF(8&gt;Settings!$B$6,"",SUMIFS('Work log'!$F$5:$F$1004,'Work log'!$B$5:$B$1004,8,'Work log'!$C$5:$C$1004,A50,'Work log'!$L$5:$L$1004,"&gt;0"))</f>
        <v/>
      </c>
      <c r="L50" s="13">
        <f>IF(1&gt;Settings!$B$6,"",SUMIFS(Pledges!$E$5:$E$504,Pledges!$A$5:$A$504,1,Pledges!$B$5:$B$504,A50))</f>
        <v/>
      </c>
      <c r="M50" s="13">
        <f>IF(2&gt;Settings!$B$6,"",SUMIFS(Pledges!$E$5:$E$504,Pledges!$A$5:$A$504,2,Pledges!$B$5:$B$504,A50))</f>
        <v/>
      </c>
      <c r="N50" s="13">
        <f>IF(3&gt;Settings!$B$6,"",SUMIFS(Pledges!$E$5:$E$504,Pledges!$A$5:$A$504,3,Pledges!$B$5:$B$504,A50))</f>
        <v/>
      </c>
      <c r="O50" s="13">
        <f>IF(4&gt;Settings!$B$6,"",SUMIFS(Pledges!$E$5:$E$504,Pledges!$A$5:$A$504,4,Pledges!$B$5:$B$504,A50))</f>
        <v/>
      </c>
      <c r="P50" s="13">
        <f>IF(5&gt;Settings!$B$6,"",SUMIFS(Pledges!$E$5:$E$504,Pledges!$A$5:$A$504,5,Pledges!$B$5:$B$504,A50))</f>
        <v/>
      </c>
      <c r="Q50" s="13">
        <f>IF(6&gt;Settings!$B$6,"",SUMIFS(Pledges!$E$5:$E$504,Pledges!$A$5:$A$504,6,Pledges!$B$5:$B$504,A50))</f>
        <v/>
      </c>
      <c r="R50" s="13">
        <f>IF(7&gt;Settings!$B$6,"",SUMIFS(Pledges!$E$5:$E$504,Pledges!$A$5:$A$504,7,Pledges!$B$5:$B$504,A50))</f>
        <v/>
      </c>
      <c r="S50" s="13">
        <f>IF(8&gt;Settings!$B$6,"",SUMIFS(Pledges!$E$5:$E$504,Pledges!$A$5:$A$504,8,Pledges!$B$5:$B$504,A50))</f>
        <v/>
      </c>
    </row>
    <row r="51">
      <c r="A51" s="3">
        <f>Steps!A51</f>
        <v/>
      </c>
      <c r="B51" s="3">
        <f>Steps!C51</f>
        <v/>
      </c>
      <c r="C51" s="12">
        <f>Steps!E51</f>
        <v/>
      </c>
      <c r="D51" s="13">
        <f>IF(1&gt;Settings!$B$6,"",SUMIFS('Work log'!$F$5:$F$1004,'Work log'!$B$5:$B$1004,1,'Work log'!$C$5:$C$1004,A51,'Work log'!$L$5:$L$1004,"&gt;0"))</f>
        <v/>
      </c>
      <c r="E51" s="13">
        <f>IF(2&gt;Settings!$B$6,"",SUMIFS('Work log'!$F$5:$F$1004,'Work log'!$B$5:$B$1004,2,'Work log'!$C$5:$C$1004,A51,'Work log'!$L$5:$L$1004,"&gt;0"))</f>
        <v/>
      </c>
      <c r="F51" s="13">
        <f>IF(3&gt;Settings!$B$6,"",SUMIFS('Work log'!$F$5:$F$1004,'Work log'!$B$5:$B$1004,3,'Work log'!$C$5:$C$1004,A51,'Work log'!$L$5:$L$1004,"&gt;0"))</f>
        <v/>
      </c>
      <c r="G51" s="13">
        <f>IF(4&gt;Settings!$B$6,"",SUMIFS('Work log'!$F$5:$F$1004,'Work log'!$B$5:$B$1004,4,'Work log'!$C$5:$C$1004,A51,'Work log'!$L$5:$L$1004,"&gt;0"))</f>
        <v/>
      </c>
      <c r="H51" s="13">
        <f>IF(5&gt;Settings!$B$6,"",SUMIFS('Work log'!$F$5:$F$1004,'Work log'!$B$5:$B$1004,5,'Work log'!$C$5:$C$1004,A51,'Work log'!$L$5:$L$1004,"&gt;0"))</f>
        <v/>
      </c>
      <c r="I51" s="13">
        <f>IF(6&gt;Settings!$B$6,"",SUMIFS('Work log'!$F$5:$F$1004,'Work log'!$B$5:$B$1004,6,'Work log'!$C$5:$C$1004,A51,'Work log'!$L$5:$L$1004,"&gt;0"))</f>
        <v/>
      </c>
      <c r="J51" s="13">
        <f>IF(7&gt;Settings!$B$6,"",SUMIFS('Work log'!$F$5:$F$1004,'Work log'!$B$5:$B$1004,7,'Work log'!$C$5:$C$1004,A51,'Work log'!$L$5:$L$1004,"&gt;0"))</f>
        <v/>
      </c>
      <c r="K51" s="13">
        <f>IF(8&gt;Settings!$B$6,"",SUMIFS('Work log'!$F$5:$F$1004,'Work log'!$B$5:$B$1004,8,'Work log'!$C$5:$C$1004,A51,'Work log'!$L$5:$L$1004,"&gt;0"))</f>
        <v/>
      </c>
      <c r="L51" s="13">
        <f>IF(1&gt;Settings!$B$6,"",SUMIFS(Pledges!$E$5:$E$504,Pledges!$A$5:$A$504,1,Pledges!$B$5:$B$504,A51))</f>
        <v/>
      </c>
      <c r="M51" s="13">
        <f>IF(2&gt;Settings!$B$6,"",SUMIFS(Pledges!$E$5:$E$504,Pledges!$A$5:$A$504,2,Pledges!$B$5:$B$504,A51))</f>
        <v/>
      </c>
      <c r="N51" s="13">
        <f>IF(3&gt;Settings!$B$6,"",SUMIFS(Pledges!$E$5:$E$504,Pledges!$A$5:$A$504,3,Pledges!$B$5:$B$504,A51))</f>
        <v/>
      </c>
      <c r="O51" s="13">
        <f>IF(4&gt;Settings!$B$6,"",SUMIFS(Pledges!$E$5:$E$504,Pledges!$A$5:$A$504,4,Pledges!$B$5:$B$504,A51))</f>
        <v/>
      </c>
      <c r="P51" s="13">
        <f>IF(5&gt;Settings!$B$6,"",SUMIFS(Pledges!$E$5:$E$504,Pledges!$A$5:$A$504,5,Pledges!$B$5:$B$504,A51))</f>
        <v/>
      </c>
      <c r="Q51" s="13">
        <f>IF(6&gt;Settings!$B$6,"",SUMIFS(Pledges!$E$5:$E$504,Pledges!$A$5:$A$504,6,Pledges!$B$5:$B$504,A51))</f>
        <v/>
      </c>
      <c r="R51" s="13">
        <f>IF(7&gt;Settings!$B$6,"",SUMIFS(Pledges!$E$5:$E$504,Pledges!$A$5:$A$504,7,Pledges!$B$5:$B$504,A51))</f>
        <v/>
      </c>
      <c r="S51" s="13">
        <f>IF(8&gt;Settings!$B$6,"",SUMIFS(Pledges!$E$5:$E$504,Pledges!$A$5:$A$504,8,Pledges!$B$5:$B$504,A51))</f>
        <v/>
      </c>
    </row>
    <row r="52">
      <c r="A52" s="3">
        <f>Steps!A52</f>
        <v/>
      </c>
      <c r="B52" s="3">
        <f>Steps!C52</f>
        <v/>
      </c>
      <c r="C52" s="12">
        <f>Steps!E52</f>
        <v/>
      </c>
      <c r="D52" s="13">
        <f>IF(1&gt;Settings!$B$6,"",SUMIFS('Work log'!$F$5:$F$1004,'Work log'!$B$5:$B$1004,1,'Work log'!$C$5:$C$1004,A52,'Work log'!$L$5:$L$1004,"&gt;0"))</f>
        <v/>
      </c>
      <c r="E52" s="13">
        <f>IF(2&gt;Settings!$B$6,"",SUMIFS('Work log'!$F$5:$F$1004,'Work log'!$B$5:$B$1004,2,'Work log'!$C$5:$C$1004,A52,'Work log'!$L$5:$L$1004,"&gt;0"))</f>
        <v/>
      </c>
      <c r="F52" s="13">
        <f>IF(3&gt;Settings!$B$6,"",SUMIFS('Work log'!$F$5:$F$1004,'Work log'!$B$5:$B$1004,3,'Work log'!$C$5:$C$1004,A52,'Work log'!$L$5:$L$1004,"&gt;0"))</f>
        <v/>
      </c>
      <c r="G52" s="13">
        <f>IF(4&gt;Settings!$B$6,"",SUMIFS('Work log'!$F$5:$F$1004,'Work log'!$B$5:$B$1004,4,'Work log'!$C$5:$C$1004,A52,'Work log'!$L$5:$L$1004,"&gt;0"))</f>
        <v/>
      </c>
      <c r="H52" s="13">
        <f>IF(5&gt;Settings!$B$6,"",SUMIFS('Work log'!$F$5:$F$1004,'Work log'!$B$5:$B$1004,5,'Work log'!$C$5:$C$1004,A52,'Work log'!$L$5:$L$1004,"&gt;0"))</f>
        <v/>
      </c>
      <c r="I52" s="13">
        <f>IF(6&gt;Settings!$B$6,"",SUMIFS('Work log'!$F$5:$F$1004,'Work log'!$B$5:$B$1004,6,'Work log'!$C$5:$C$1004,A52,'Work log'!$L$5:$L$1004,"&gt;0"))</f>
        <v/>
      </c>
      <c r="J52" s="13">
        <f>IF(7&gt;Settings!$B$6,"",SUMIFS('Work log'!$F$5:$F$1004,'Work log'!$B$5:$B$1004,7,'Work log'!$C$5:$C$1004,A52,'Work log'!$L$5:$L$1004,"&gt;0"))</f>
        <v/>
      </c>
      <c r="K52" s="13">
        <f>IF(8&gt;Settings!$B$6,"",SUMIFS('Work log'!$F$5:$F$1004,'Work log'!$B$5:$B$1004,8,'Work log'!$C$5:$C$1004,A52,'Work log'!$L$5:$L$1004,"&gt;0"))</f>
        <v/>
      </c>
      <c r="L52" s="13">
        <f>IF(1&gt;Settings!$B$6,"",SUMIFS(Pledges!$E$5:$E$504,Pledges!$A$5:$A$504,1,Pledges!$B$5:$B$504,A52))</f>
        <v/>
      </c>
      <c r="M52" s="13">
        <f>IF(2&gt;Settings!$B$6,"",SUMIFS(Pledges!$E$5:$E$504,Pledges!$A$5:$A$504,2,Pledges!$B$5:$B$504,A52))</f>
        <v/>
      </c>
      <c r="N52" s="13">
        <f>IF(3&gt;Settings!$B$6,"",SUMIFS(Pledges!$E$5:$E$504,Pledges!$A$5:$A$504,3,Pledges!$B$5:$B$504,A52))</f>
        <v/>
      </c>
      <c r="O52" s="13">
        <f>IF(4&gt;Settings!$B$6,"",SUMIFS(Pledges!$E$5:$E$504,Pledges!$A$5:$A$504,4,Pledges!$B$5:$B$504,A52))</f>
        <v/>
      </c>
      <c r="P52" s="13">
        <f>IF(5&gt;Settings!$B$6,"",SUMIFS(Pledges!$E$5:$E$504,Pledges!$A$5:$A$504,5,Pledges!$B$5:$B$504,A52))</f>
        <v/>
      </c>
      <c r="Q52" s="13">
        <f>IF(6&gt;Settings!$B$6,"",SUMIFS(Pledges!$E$5:$E$504,Pledges!$A$5:$A$504,6,Pledges!$B$5:$B$504,A52))</f>
        <v/>
      </c>
      <c r="R52" s="13">
        <f>IF(7&gt;Settings!$B$6,"",SUMIFS(Pledges!$E$5:$E$504,Pledges!$A$5:$A$504,7,Pledges!$B$5:$B$504,A52))</f>
        <v/>
      </c>
      <c r="S52" s="13">
        <f>IF(8&gt;Settings!$B$6,"",SUMIFS(Pledges!$E$5:$E$504,Pledges!$A$5:$A$504,8,Pledges!$B$5:$B$504,A52))</f>
        <v/>
      </c>
    </row>
    <row r="53">
      <c r="A53" s="3">
        <f>Steps!A53</f>
        <v/>
      </c>
      <c r="B53" s="3">
        <f>Steps!C53</f>
        <v/>
      </c>
      <c r="C53" s="12">
        <f>Steps!E53</f>
        <v/>
      </c>
      <c r="D53" s="13">
        <f>IF(1&gt;Settings!$B$6,"",SUMIFS('Work log'!$F$5:$F$1004,'Work log'!$B$5:$B$1004,1,'Work log'!$C$5:$C$1004,A53,'Work log'!$L$5:$L$1004,"&gt;0"))</f>
        <v/>
      </c>
      <c r="E53" s="13">
        <f>IF(2&gt;Settings!$B$6,"",SUMIFS('Work log'!$F$5:$F$1004,'Work log'!$B$5:$B$1004,2,'Work log'!$C$5:$C$1004,A53,'Work log'!$L$5:$L$1004,"&gt;0"))</f>
        <v/>
      </c>
      <c r="F53" s="13">
        <f>IF(3&gt;Settings!$B$6,"",SUMIFS('Work log'!$F$5:$F$1004,'Work log'!$B$5:$B$1004,3,'Work log'!$C$5:$C$1004,A53,'Work log'!$L$5:$L$1004,"&gt;0"))</f>
        <v/>
      </c>
      <c r="G53" s="13">
        <f>IF(4&gt;Settings!$B$6,"",SUMIFS('Work log'!$F$5:$F$1004,'Work log'!$B$5:$B$1004,4,'Work log'!$C$5:$C$1004,A53,'Work log'!$L$5:$L$1004,"&gt;0"))</f>
        <v/>
      </c>
      <c r="H53" s="13">
        <f>IF(5&gt;Settings!$B$6,"",SUMIFS('Work log'!$F$5:$F$1004,'Work log'!$B$5:$B$1004,5,'Work log'!$C$5:$C$1004,A53,'Work log'!$L$5:$L$1004,"&gt;0"))</f>
        <v/>
      </c>
      <c r="I53" s="13">
        <f>IF(6&gt;Settings!$B$6,"",SUMIFS('Work log'!$F$5:$F$1004,'Work log'!$B$5:$B$1004,6,'Work log'!$C$5:$C$1004,A53,'Work log'!$L$5:$L$1004,"&gt;0"))</f>
        <v/>
      </c>
      <c r="J53" s="13">
        <f>IF(7&gt;Settings!$B$6,"",SUMIFS('Work log'!$F$5:$F$1004,'Work log'!$B$5:$B$1004,7,'Work log'!$C$5:$C$1004,A53,'Work log'!$L$5:$L$1004,"&gt;0"))</f>
        <v/>
      </c>
      <c r="K53" s="13">
        <f>IF(8&gt;Settings!$B$6,"",SUMIFS('Work log'!$F$5:$F$1004,'Work log'!$B$5:$B$1004,8,'Work log'!$C$5:$C$1004,A53,'Work log'!$L$5:$L$1004,"&gt;0"))</f>
        <v/>
      </c>
      <c r="L53" s="13">
        <f>IF(1&gt;Settings!$B$6,"",SUMIFS(Pledges!$E$5:$E$504,Pledges!$A$5:$A$504,1,Pledges!$B$5:$B$504,A53))</f>
        <v/>
      </c>
      <c r="M53" s="13">
        <f>IF(2&gt;Settings!$B$6,"",SUMIFS(Pledges!$E$5:$E$504,Pledges!$A$5:$A$504,2,Pledges!$B$5:$B$504,A53))</f>
        <v/>
      </c>
      <c r="N53" s="13">
        <f>IF(3&gt;Settings!$B$6,"",SUMIFS(Pledges!$E$5:$E$504,Pledges!$A$5:$A$504,3,Pledges!$B$5:$B$504,A53))</f>
        <v/>
      </c>
      <c r="O53" s="13">
        <f>IF(4&gt;Settings!$B$6,"",SUMIFS(Pledges!$E$5:$E$504,Pledges!$A$5:$A$504,4,Pledges!$B$5:$B$504,A53))</f>
        <v/>
      </c>
      <c r="P53" s="13">
        <f>IF(5&gt;Settings!$B$6,"",SUMIFS(Pledges!$E$5:$E$504,Pledges!$A$5:$A$504,5,Pledges!$B$5:$B$504,A53))</f>
        <v/>
      </c>
      <c r="Q53" s="13">
        <f>IF(6&gt;Settings!$B$6,"",SUMIFS(Pledges!$E$5:$E$504,Pledges!$A$5:$A$504,6,Pledges!$B$5:$B$504,A53))</f>
        <v/>
      </c>
      <c r="R53" s="13">
        <f>IF(7&gt;Settings!$B$6,"",SUMIFS(Pledges!$E$5:$E$504,Pledges!$A$5:$A$504,7,Pledges!$B$5:$B$504,A53))</f>
        <v/>
      </c>
      <c r="S53" s="13">
        <f>IF(8&gt;Settings!$B$6,"",SUMIFS(Pledges!$E$5:$E$504,Pledges!$A$5:$A$504,8,Pledges!$B$5:$B$504,A53))</f>
        <v/>
      </c>
    </row>
    <row r="54">
      <c r="A54" s="3">
        <f>Steps!A54</f>
        <v/>
      </c>
      <c r="B54" s="3">
        <f>Steps!C54</f>
        <v/>
      </c>
      <c r="C54" s="12">
        <f>Steps!E54</f>
        <v/>
      </c>
      <c r="D54" s="13">
        <f>IF(1&gt;Settings!$B$6,"",SUMIFS('Work log'!$F$5:$F$1004,'Work log'!$B$5:$B$1004,1,'Work log'!$C$5:$C$1004,A54,'Work log'!$L$5:$L$1004,"&gt;0"))</f>
        <v/>
      </c>
      <c r="E54" s="13">
        <f>IF(2&gt;Settings!$B$6,"",SUMIFS('Work log'!$F$5:$F$1004,'Work log'!$B$5:$B$1004,2,'Work log'!$C$5:$C$1004,A54,'Work log'!$L$5:$L$1004,"&gt;0"))</f>
        <v/>
      </c>
      <c r="F54" s="13">
        <f>IF(3&gt;Settings!$B$6,"",SUMIFS('Work log'!$F$5:$F$1004,'Work log'!$B$5:$B$1004,3,'Work log'!$C$5:$C$1004,A54,'Work log'!$L$5:$L$1004,"&gt;0"))</f>
        <v/>
      </c>
      <c r="G54" s="13">
        <f>IF(4&gt;Settings!$B$6,"",SUMIFS('Work log'!$F$5:$F$1004,'Work log'!$B$5:$B$1004,4,'Work log'!$C$5:$C$1004,A54,'Work log'!$L$5:$L$1004,"&gt;0"))</f>
        <v/>
      </c>
      <c r="H54" s="13">
        <f>IF(5&gt;Settings!$B$6,"",SUMIFS('Work log'!$F$5:$F$1004,'Work log'!$B$5:$B$1004,5,'Work log'!$C$5:$C$1004,A54,'Work log'!$L$5:$L$1004,"&gt;0"))</f>
        <v/>
      </c>
      <c r="I54" s="13">
        <f>IF(6&gt;Settings!$B$6,"",SUMIFS('Work log'!$F$5:$F$1004,'Work log'!$B$5:$B$1004,6,'Work log'!$C$5:$C$1004,A54,'Work log'!$L$5:$L$1004,"&gt;0"))</f>
        <v/>
      </c>
      <c r="J54" s="13">
        <f>IF(7&gt;Settings!$B$6,"",SUMIFS('Work log'!$F$5:$F$1004,'Work log'!$B$5:$B$1004,7,'Work log'!$C$5:$C$1004,A54,'Work log'!$L$5:$L$1004,"&gt;0"))</f>
        <v/>
      </c>
      <c r="K54" s="13">
        <f>IF(8&gt;Settings!$B$6,"",SUMIFS('Work log'!$F$5:$F$1004,'Work log'!$B$5:$B$1004,8,'Work log'!$C$5:$C$1004,A54,'Work log'!$L$5:$L$1004,"&gt;0"))</f>
        <v/>
      </c>
      <c r="L54" s="13">
        <f>IF(1&gt;Settings!$B$6,"",SUMIFS(Pledges!$E$5:$E$504,Pledges!$A$5:$A$504,1,Pledges!$B$5:$B$504,A54))</f>
        <v/>
      </c>
      <c r="M54" s="13">
        <f>IF(2&gt;Settings!$B$6,"",SUMIFS(Pledges!$E$5:$E$504,Pledges!$A$5:$A$504,2,Pledges!$B$5:$B$504,A54))</f>
        <v/>
      </c>
      <c r="N54" s="13">
        <f>IF(3&gt;Settings!$B$6,"",SUMIFS(Pledges!$E$5:$E$504,Pledges!$A$5:$A$504,3,Pledges!$B$5:$B$504,A54))</f>
        <v/>
      </c>
      <c r="O54" s="13">
        <f>IF(4&gt;Settings!$B$6,"",SUMIFS(Pledges!$E$5:$E$504,Pledges!$A$5:$A$504,4,Pledges!$B$5:$B$504,A54))</f>
        <v/>
      </c>
      <c r="P54" s="13">
        <f>IF(5&gt;Settings!$B$6,"",SUMIFS(Pledges!$E$5:$E$504,Pledges!$A$5:$A$504,5,Pledges!$B$5:$B$504,A54))</f>
        <v/>
      </c>
      <c r="Q54" s="13">
        <f>IF(6&gt;Settings!$B$6,"",SUMIFS(Pledges!$E$5:$E$504,Pledges!$A$5:$A$504,6,Pledges!$B$5:$B$504,A54))</f>
        <v/>
      </c>
      <c r="R54" s="13">
        <f>IF(7&gt;Settings!$B$6,"",SUMIFS(Pledges!$E$5:$E$504,Pledges!$A$5:$A$504,7,Pledges!$B$5:$B$504,A54))</f>
        <v/>
      </c>
      <c r="S54" s="13">
        <f>IF(8&gt;Settings!$B$6,"",SUMIFS(Pledges!$E$5:$E$504,Pledges!$A$5:$A$504,8,Pledges!$B$5:$B$504,A54))</f>
        <v/>
      </c>
    </row>
    <row r="55">
      <c r="A55" s="3">
        <f>Steps!A55</f>
        <v/>
      </c>
      <c r="B55" s="3">
        <f>Steps!C55</f>
        <v/>
      </c>
      <c r="C55" s="12">
        <f>Steps!E55</f>
        <v/>
      </c>
      <c r="D55" s="13">
        <f>IF(1&gt;Settings!$B$6,"",SUMIFS('Work log'!$F$5:$F$1004,'Work log'!$B$5:$B$1004,1,'Work log'!$C$5:$C$1004,A55,'Work log'!$L$5:$L$1004,"&gt;0"))</f>
        <v/>
      </c>
      <c r="E55" s="13">
        <f>IF(2&gt;Settings!$B$6,"",SUMIFS('Work log'!$F$5:$F$1004,'Work log'!$B$5:$B$1004,2,'Work log'!$C$5:$C$1004,A55,'Work log'!$L$5:$L$1004,"&gt;0"))</f>
        <v/>
      </c>
      <c r="F55" s="13">
        <f>IF(3&gt;Settings!$B$6,"",SUMIFS('Work log'!$F$5:$F$1004,'Work log'!$B$5:$B$1004,3,'Work log'!$C$5:$C$1004,A55,'Work log'!$L$5:$L$1004,"&gt;0"))</f>
        <v/>
      </c>
      <c r="G55" s="13">
        <f>IF(4&gt;Settings!$B$6,"",SUMIFS('Work log'!$F$5:$F$1004,'Work log'!$B$5:$B$1004,4,'Work log'!$C$5:$C$1004,A55,'Work log'!$L$5:$L$1004,"&gt;0"))</f>
        <v/>
      </c>
      <c r="H55" s="13">
        <f>IF(5&gt;Settings!$B$6,"",SUMIFS('Work log'!$F$5:$F$1004,'Work log'!$B$5:$B$1004,5,'Work log'!$C$5:$C$1004,A55,'Work log'!$L$5:$L$1004,"&gt;0"))</f>
        <v/>
      </c>
      <c r="I55" s="13">
        <f>IF(6&gt;Settings!$B$6,"",SUMIFS('Work log'!$F$5:$F$1004,'Work log'!$B$5:$B$1004,6,'Work log'!$C$5:$C$1004,A55,'Work log'!$L$5:$L$1004,"&gt;0"))</f>
        <v/>
      </c>
      <c r="J55" s="13">
        <f>IF(7&gt;Settings!$B$6,"",SUMIFS('Work log'!$F$5:$F$1004,'Work log'!$B$5:$B$1004,7,'Work log'!$C$5:$C$1004,A55,'Work log'!$L$5:$L$1004,"&gt;0"))</f>
        <v/>
      </c>
      <c r="K55" s="13">
        <f>IF(8&gt;Settings!$B$6,"",SUMIFS('Work log'!$F$5:$F$1004,'Work log'!$B$5:$B$1004,8,'Work log'!$C$5:$C$1004,A55,'Work log'!$L$5:$L$1004,"&gt;0"))</f>
        <v/>
      </c>
      <c r="L55" s="13">
        <f>IF(1&gt;Settings!$B$6,"",SUMIFS(Pledges!$E$5:$E$504,Pledges!$A$5:$A$504,1,Pledges!$B$5:$B$504,A55))</f>
        <v/>
      </c>
      <c r="M55" s="13">
        <f>IF(2&gt;Settings!$B$6,"",SUMIFS(Pledges!$E$5:$E$504,Pledges!$A$5:$A$504,2,Pledges!$B$5:$B$504,A55))</f>
        <v/>
      </c>
      <c r="N55" s="13">
        <f>IF(3&gt;Settings!$B$6,"",SUMIFS(Pledges!$E$5:$E$504,Pledges!$A$5:$A$504,3,Pledges!$B$5:$B$504,A55))</f>
        <v/>
      </c>
      <c r="O55" s="13">
        <f>IF(4&gt;Settings!$B$6,"",SUMIFS(Pledges!$E$5:$E$504,Pledges!$A$5:$A$504,4,Pledges!$B$5:$B$504,A55))</f>
        <v/>
      </c>
      <c r="P55" s="13">
        <f>IF(5&gt;Settings!$B$6,"",SUMIFS(Pledges!$E$5:$E$504,Pledges!$A$5:$A$504,5,Pledges!$B$5:$B$504,A55))</f>
        <v/>
      </c>
      <c r="Q55" s="13">
        <f>IF(6&gt;Settings!$B$6,"",SUMIFS(Pledges!$E$5:$E$504,Pledges!$A$5:$A$504,6,Pledges!$B$5:$B$504,A55))</f>
        <v/>
      </c>
      <c r="R55" s="13">
        <f>IF(7&gt;Settings!$B$6,"",SUMIFS(Pledges!$E$5:$E$504,Pledges!$A$5:$A$504,7,Pledges!$B$5:$B$504,A55))</f>
        <v/>
      </c>
      <c r="S55" s="13">
        <f>IF(8&gt;Settings!$B$6,"",SUMIFS(Pledges!$E$5:$E$504,Pledges!$A$5:$A$504,8,Pledges!$B$5:$B$504,A55))</f>
        <v/>
      </c>
    </row>
    <row r="56">
      <c r="A56" s="3">
        <f>Steps!A56</f>
        <v/>
      </c>
      <c r="B56" s="3">
        <f>Steps!C56</f>
        <v/>
      </c>
      <c r="C56" s="12">
        <f>Steps!E56</f>
        <v/>
      </c>
      <c r="D56" s="13">
        <f>IF(1&gt;Settings!$B$6,"",SUMIFS('Work log'!$F$5:$F$1004,'Work log'!$B$5:$B$1004,1,'Work log'!$C$5:$C$1004,A56,'Work log'!$L$5:$L$1004,"&gt;0"))</f>
        <v/>
      </c>
      <c r="E56" s="13">
        <f>IF(2&gt;Settings!$B$6,"",SUMIFS('Work log'!$F$5:$F$1004,'Work log'!$B$5:$B$1004,2,'Work log'!$C$5:$C$1004,A56,'Work log'!$L$5:$L$1004,"&gt;0"))</f>
        <v/>
      </c>
      <c r="F56" s="13">
        <f>IF(3&gt;Settings!$B$6,"",SUMIFS('Work log'!$F$5:$F$1004,'Work log'!$B$5:$B$1004,3,'Work log'!$C$5:$C$1004,A56,'Work log'!$L$5:$L$1004,"&gt;0"))</f>
        <v/>
      </c>
      <c r="G56" s="13">
        <f>IF(4&gt;Settings!$B$6,"",SUMIFS('Work log'!$F$5:$F$1004,'Work log'!$B$5:$B$1004,4,'Work log'!$C$5:$C$1004,A56,'Work log'!$L$5:$L$1004,"&gt;0"))</f>
        <v/>
      </c>
      <c r="H56" s="13">
        <f>IF(5&gt;Settings!$B$6,"",SUMIFS('Work log'!$F$5:$F$1004,'Work log'!$B$5:$B$1004,5,'Work log'!$C$5:$C$1004,A56,'Work log'!$L$5:$L$1004,"&gt;0"))</f>
        <v/>
      </c>
      <c r="I56" s="13">
        <f>IF(6&gt;Settings!$B$6,"",SUMIFS('Work log'!$F$5:$F$1004,'Work log'!$B$5:$B$1004,6,'Work log'!$C$5:$C$1004,A56,'Work log'!$L$5:$L$1004,"&gt;0"))</f>
        <v/>
      </c>
      <c r="J56" s="13">
        <f>IF(7&gt;Settings!$B$6,"",SUMIFS('Work log'!$F$5:$F$1004,'Work log'!$B$5:$B$1004,7,'Work log'!$C$5:$C$1004,A56,'Work log'!$L$5:$L$1004,"&gt;0"))</f>
        <v/>
      </c>
      <c r="K56" s="13">
        <f>IF(8&gt;Settings!$B$6,"",SUMIFS('Work log'!$F$5:$F$1004,'Work log'!$B$5:$B$1004,8,'Work log'!$C$5:$C$1004,A56,'Work log'!$L$5:$L$1004,"&gt;0"))</f>
        <v/>
      </c>
      <c r="L56" s="13">
        <f>IF(1&gt;Settings!$B$6,"",SUMIFS(Pledges!$E$5:$E$504,Pledges!$A$5:$A$504,1,Pledges!$B$5:$B$504,A56))</f>
        <v/>
      </c>
      <c r="M56" s="13">
        <f>IF(2&gt;Settings!$B$6,"",SUMIFS(Pledges!$E$5:$E$504,Pledges!$A$5:$A$504,2,Pledges!$B$5:$B$504,A56))</f>
        <v/>
      </c>
      <c r="N56" s="13">
        <f>IF(3&gt;Settings!$B$6,"",SUMIFS(Pledges!$E$5:$E$504,Pledges!$A$5:$A$504,3,Pledges!$B$5:$B$504,A56))</f>
        <v/>
      </c>
      <c r="O56" s="13">
        <f>IF(4&gt;Settings!$B$6,"",SUMIFS(Pledges!$E$5:$E$504,Pledges!$A$5:$A$504,4,Pledges!$B$5:$B$504,A56))</f>
        <v/>
      </c>
      <c r="P56" s="13">
        <f>IF(5&gt;Settings!$B$6,"",SUMIFS(Pledges!$E$5:$E$504,Pledges!$A$5:$A$504,5,Pledges!$B$5:$B$504,A56))</f>
        <v/>
      </c>
      <c r="Q56" s="13">
        <f>IF(6&gt;Settings!$B$6,"",SUMIFS(Pledges!$E$5:$E$504,Pledges!$A$5:$A$504,6,Pledges!$B$5:$B$504,A56))</f>
        <v/>
      </c>
      <c r="R56" s="13">
        <f>IF(7&gt;Settings!$B$6,"",SUMIFS(Pledges!$E$5:$E$504,Pledges!$A$5:$A$504,7,Pledges!$B$5:$B$504,A56))</f>
        <v/>
      </c>
      <c r="S56" s="13">
        <f>IF(8&gt;Settings!$B$6,"",SUMIFS(Pledges!$E$5:$E$504,Pledges!$A$5:$A$504,8,Pledges!$B$5:$B$504,A56))</f>
        <v/>
      </c>
    </row>
    <row r="57">
      <c r="A57" s="3">
        <f>Steps!A57</f>
        <v/>
      </c>
      <c r="B57" s="3">
        <f>Steps!C57</f>
        <v/>
      </c>
      <c r="C57" s="12">
        <f>Steps!E57</f>
        <v/>
      </c>
      <c r="D57" s="13">
        <f>IF(1&gt;Settings!$B$6,"",SUMIFS('Work log'!$F$5:$F$1004,'Work log'!$B$5:$B$1004,1,'Work log'!$C$5:$C$1004,A57,'Work log'!$L$5:$L$1004,"&gt;0"))</f>
        <v/>
      </c>
      <c r="E57" s="13">
        <f>IF(2&gt;Settings!$B$6,"",SUMIFS('Work log'!$F$5:$F$1004,'Work log'!$B$5:$B$1004,2,'Work log'!$C$5:$C$1004,A57,'Work log'!$L$5:$L$1004,"&gt;0"))</f>
        <v/>
      </c>
      <c r="F57" s="13">
        <f>IF(3&gt;Settings!$B$6,"",SUMIFS('Work log'!$F$5:$F$1004,'Work log'!$B$5:$B$1004,3,'Work log'!$C$5:$C$1004,A57,'Work log'!$L$5:$L$1004,"&gt;0"))</f>
        <v/>
      </c>
      <c r="G57" s="13">
        <f>IF(4&gt;Settings!$B$6,"",SUMIFS('Work log'!$F$5:$F$1004,'Work log'!$B$5:$B$1004,4,'Work log'!$C$5:$C$1004,A57,'Work log'!$L$5:$L$1004,"&gt;0"))</f>
        <v/>
      </c>
      <c r="H57" s="13">
        <f>IF(5&gt;Settings!$B$6,"",SUMIFS('Work log'!$F$5:$F$1004,'Work log'!$B$5:$B$1004,5,'Work log'!$C$5:$C$1004,A57,'Work log'!$L$5:$L$1004,"&gt;0"))</f>
        <v/>
      </c>
      <c r="I57" s="13">
        <f>IF(6&gt;Settings!$B$6,"",SUMIFS('Work log'!$F$5:$F$1004,'Work log'!$B$5:$B$1004,6,'Work log'!$C$5:$C$1004,A57,'Work log'!$L$5:$L$1004,"&gt;0"))</f>
        <v/>
      </c>
      <c r="J57" s="13">
        <f>IF(7&gt;Settings!$B$6,"",SUMIFS('Work log'!$F$5:$F$1004,'Work log'!$B$5:$B$1004,7,'Work log'!$C$5:$C$1004,A57,'Work log'!$L$5:$L$1004,"&gt;0"))</f>
        <v/>
      </c>
      <c r="K57" s="13">
        <f>IF(8&gt;Settings!$B$6,"",SUMIFS('Work log'!$F$5:$F$1004,'Work log'!$B$5:$B$1004,8,'Work log'!$C$5:$C$1004,A57,'Work log'!$L$5:$L$1004,"&gt;0"))</f>
        <v/>
      </c>
      <c r="L57" s="13">
        <f>IF(1&gt;Settings!$B$6,"",SUMIFS(Pledges!$E$5:$E$504,Pledges!$A$5:$A$504,1,Pledges!$B$5:$B$504,A57))</f>
        <v/>
      </c>
      <c r="M57" s="13">
        <f>IF(2&gt;Settings!$B$6,"",SUMIFS(Pledges!$E$5:$E$504,Pledges!$A$5:$A$504,2,Pledges!$B$5:$B$504,A57))</f>
        <v/>
      </c>
      <c r="N57" s="13">
        <f>IF(3&gt;Settings!$B$6,"",SUMIFS(Pledges!$E$5:$E$504,Pledges!$A$5:$A$504,3,Pledges!$B$5:$B$504,A57))</f>
        <v/>
      </c>
      <c r="O57" s="13">
        <f>IF(4&gt;Settings!$B$6,"",SUMIFS(Pledges!$E$5:$E$504,Pledges!$A$5:$A$504,4,Pledges!$B$5:$B$504,A57))</f>
        <v/>
      </c>
      <c r="P57" s="13">
        <f>IF(5&gt;Settings!$B$6,"",SUMIFS(Pledges!$E$5:$E$504,Pledges!$A$5:$A$504,5,Pledges!$B$5:$B$504,A57))</f>
        <v/>
      </c>
      <c r="Q57" s="13">
        <f>IF(6&gt;Settings!$B$6,"",SUMIFS(Pledges!$E$5:$E$504,Pledges!$A$5:$A$504,6,Pledges!$B$5:$B$504,A57))</f>
        <v/>
      </c>
      <c r="R57" s="13">
        <f>IF(7&gt;Settings!$B$6,"",SUMIFS(Pledges!$E$5:$E$504,Pledges!$A$5:$A$504,7,Pledges!$B$5:$B$504,A57))</f>
        <v/>
      </c>
      <c r="S57" s="13">
        <f>IF(8&gt;Settings!$B$6,"",SUMIFS(Pledges!$E$5:$E$504,Pledges!$A$5:$A$504,8,Pledges!$B$5:$B$504,A57))</f>
        <v/>
      </c>
    </row>
    <row r="58">
      <c r="A58" s="3">
        <f>Steps!A58</f>
        <v/>
      </c>
      <c r="B58" s="3">
        <f>Steps!C58</f>
        <v/>
      </c>
      <c r="C58" s="12">
        <f>Steps!E58</f>
        <v/>
      </c>
      <c r="D58" s="13">
        <f>IF(1&gt;Settings!$B$6,"",SUMIFS('Work log'!$F$5:$F$1004,'Work log'!$B$5:$B$1004,1,'Work log'!$C$5:$C$1004,A58,'Work log'!$L$5:$L$1004,"&gt;0"))</f>
        <v/>
      </c>
      <c r="E58" s="13">
        <f>IF(2&gt;Settings!$B$6,"",SUMIFS('Work log'!$F$5:$F$1004,'Work log'!$B$5:$B$1004,2,'Work log'!$C$5:$C$1004,A58,'Work log'!$L$5:$L$1004,"&gt;0"))</f>
        <v/>
      </c>
      <c r="F58" s="13">
        <f>IF(3&gt;Settings!$B$6,"",SUMIFS('Work log'!$F$5:$F$1004,'Work log'!$B$5:$B$1004,3,'Work log'!$C$5:$C$1004,A58,'Work log'!$L$5:$L$1004,"&gt;0"))</f>
        <v/>
      </c>
      <c r="G58" s="13">
        <f>IF(4&gt;Settings!$B$6,"",SUMIFS('Work log'!$F$5:$F$1004,'Work log'!$B$5:$B$1004,4,'Work log'!$C$5:$C$1004,A58,'Work log'!$L$5:$L$1004,"&gt;0"))</f>
        <v/>
      </c>
      <c r="H58" s="13">
        <f>IF(5&gt;Settings!$B$6,"",SUMIFS('Work log'!$F$5:$F$1004,'Work log'!$B$5:$B$1004,5,'Work log'!$C$5:$C$1004,A58,'Work log'!$L$5:$L$1004,"&gt;0"))</f>
        <v/>
      </c>
      <c r="I58" s="13">
        <f>IF(6&gt;Settings!$B$6,"",SUMIFS('Work log'!$F$5:$F$1004,'Work log'!$B$5:$B$1004,6,'Work log'!$C$5:$C$1004,A58,'Work log'!$L$5:$L$1004,"&gt;0"))</f>
        <v/>
      </c>
      <c r="J58" s="13">
        <f>IF(7&gt;Settings!$B$6,"",SUMIFS('Work log'!$F$5:$F$1004,'Work log'!$B$5:$B$1004,7,'Work log'!$C$5:$C$1004,A58,'Work log'!$L$5:$L$1004,"&gt;0"))</f>
        <v/>
      </c>
      <c r="K58" s="13">
        <f>IF(8&gt;Settings!$B$6,"",SUMIFS('Work log'!$F$5:$F$1004,'Work log'!$B$5:$B$1004,8,'Work log'!$C$5:$C$1004,A58,'Work log'!$L$5:$L$1004,"&gt;0"))</f>
        <v/>
      </c>
      <c r="L58" s="13">
        <f>IF(1&gt;Settings!$B$6,"",SUMIFS(Pledges!$E$5:$E$504,Pledges!$A$5:$A$504,1,Pledges!$B$5:$B$504,A58))</f>
        <v/>
      </c>
      <c r="M58" s="13">
        <f>IF(2&gt;Settings!$B$6,"",SUMIFS(Pledges!$E$5:$E$504,Pledges!$A$5:$A$504,2,Pledges!$B$5:$B$504,A58))</f>
        <v/>
      </c>
      <c r="N58" s="13">
        <f>IF(3&gt;Settings!$B$6,"",SUMIFS(Pledges!$E$5:$E$504,Pledges!$A$5:$A$504,3,Pledges!$B$5:$B$504,A58))</f>
        <v/>
      </c>
      <c r="O58" s="13">
        <f>IF(4&gt;Settings!$B$6,"",SUMIFS(Pledges!$E$5:$E$504,Pledges!$A$5:$A$504,4,Pledges!$B$5:$B$504,A58))</f>
        <v/>
      </c>
      <c r="P58" s="13">
        <f>IF(5&gt;Settings!$B$6,"",SUMIFS(Pledges!$E$5:$E$504,Pledges!$A$5:$A$504,5,Pledges!$B$5:$B$504,A58))</f>
        <v/>
      </c>
      <c r="Q58" s="13">
        <f>IF(6&gt;Settings!$B$6,"",SUMIFS(Pledges!$E$5:$E$504,Pledges!$A$5:$A$504,6,Pledges!$B$5:$B$504,A58))</f>
        <v/>
      </c>
      <c r="R58" s="13">
        <f>IF(7&gt;Settings!$B$6,"",SUMIFS(Pledges!$E$5:$E$504,Pledges!$A$5:$A$504,7,Pledges!$B$5:$B$504,A58))</f>
        <v/>
      </c>
      <c r="S58" s="13">
        <f>IF(8&gt;Settings!$B$6,"",SUMIFS(Pledges!$E$5:$E$504,Pledges!$A$5:$A$504,8,Pledges!$B$5:$B$504,A58))</f>
        <v/>
      </c>
    </row>
    <row r="59">
      <c r="A59" s="3">
        <f>Steps!A59</f>
        <v/>
      </c>
      <c r="B59" s="3">
        <f>Steps!C59</f>
        <v/>
      </c>
      <c r="C59" s="12">
        <f>Steps!E59</f>
        <v/>
      </c>
      <c r="D59" s="13">
        <f>IF(1&gt;Settings!$B$6,"",SUMIFS('Work log'!$F$5:$F$1004,'Work log'!$B$5:$B$1004,1,'Work log'!$C$5:$C$1004,A59,'Work log'!$L$5:$L$1004,"&gt;0"))</f>
        <v/>
      </c>
      <c r="E59" s="13">
        <f>IF(2&gt;Settings!$B$6,"",SUMIFS('Work log'!$F$5:$F$1004,'Work log'!$B$5:$B$1004,2,'Work log'!$C$5:$C$1004,A59,'Work log'!$L$5:$L$1004,"&gt;0"))</f>
        <v/>
      </c>
      <c r="F59" s="13">
        <f>IF(3&gt;Settings!$B$6,"",SUMIFS('Work log'!$F$5:$F$1004,'Work log'!$B$5:$B$1004,3,'Work log'!$C$5:$C$1004,A59,'Work log'!$L$5:$L$1004,"&gt;0"))</f>
        <v/>
      </c>
      <c r="G59" s="13">
        <f>IF(4&gt;Settings!$B$6,"",SUMIFS('Work log'!$F$5:$F$1004,'Work log'!$B$5:$B$1004,4,'Work log'!$C$5:$C$1004,A59,'Work log'!$L$5:$L$1004,"&gt;0"))</f>
        <v/>
      </c>
      <c r="H59" s="13">
        <f>IF(5&gt;Settings!$B$6,"",SUMIFS('Work log'!$F$5:$F$1004,'Work log'!$B$5:$B$1004,5,'Work log'!$C$5:$C$1004,A59,'Work log'!$L$5:$L$1004,"&gt;0"))</f>
        <v/>
      </c>
      <c r="I59" s="13">
        <f>IF(6&gt;Settings!$B$6,"",SUMIFS('Work log'!$F$5:$F$1004,'Work log'!$B$5:$B$1004,6,'Work log'!$C$5:$C$1004,A59,'Work log'!$L$5:$L$1004,"&gt;0"))</f>
        <v/>
      </c>
      <c r="J59" s="13">
        <f>IF(7&gt;Settings!$B$6,"",SUMIFS('Work log'!$F$5:$F$1004,'Work log'!$B$5:$B$1004,7,'Work log'!$C$5:$C$1004,A59,'Work log'!$L$5:$L$1004,"&gt;0"))</f>
        <v/>
      </c>
      <c r="K59" s="13">
        <f>IF(8&gt;Settings!$B$6,"",SUMIFS('Work log'!$F$5:$F$1004,'Work log'!$B$5:$B$1004,8,'Work log'!$C$5:$C$1004,A59,'Work log'!$L$5:$L$1004,"&gt;0"))</f>
        <v/>
      </c>
      <c r="L59" s="13">
        <f>IF(1&gt;Settings!$B$6,"",SUMIFS(Pledges!$E$5:$E$504,Pledges!$A$5:$A$504,1,Pledges!$B$5:$B$504,A59))</f>
        <v/>
      </c>
      <c r="M59" s="13">
        <f>IF(2&gt;Settings!$B$6,"",SUMIFS(Pledges!$E$5:$E$504,Pledges!$A$5:$A$504,2,Pledges!$B$5:$B$504,A59))</f>
        <v/>
      </c>
      <c r="N59" s="13">
        <f>IF(3&gt;Settings!$B$6,"",SUMIFS(Pledges!$E$5:$E$504,Pledges!$A$5:$A$504,3,Pledges!$B$5:$B$504,A59))</f>
        <v/>
      </c>
      <c r="O59" s="13">
        <f>IF(4&gt;Settings!$B$6,"",SUMIFS(Pledges!$E$5:$E$504,Pledges!$A$5:$A$504,4,Pledges!$B$5:$B$504,A59))</f>
        <v/>
      </c>
      <c r="P59" s="13">
        <f>IF(5&gt;Settings!$B$6,"",SUMIFS(Pledges!$E$5:$E$504,Pledges!$A$5:$A$504,5,Pledges!$B$5:$B$504,A59))</f>
        <v/>
      </c>
      <c r="Q59" s="13">
        <f>IF(6&gt;Settings!$B$6,"",SUMIFS(Pledges!$E$5:$E$504,Pledges!$A$5:$A$504,6,Pledges!$B$5:$B$504,A59))</f>
        <v/>
      </c>
      <c r="R59" s="13">
        <f>IF(7&gt;Settings!$B$6,"",SUMIFS(Pledges!$E$5:$E$504,Pledges!$A$5:$A$504,7,Pledges!$B$5:$B$504,A59))</f>
        <v/>
      </c>
      <c r="S59" s="13">
        <f>IF(8&gt;Settings!$B$6,"",SUMIFS(Pledges!$E$5:$E$504,Pledges!$A$5:$A$504,8,Pledges!$B$5:$B$504,A59))</f>
        <v/>
      </c>
    </row>
    <row r="60">
      <c r="A60" s="3">
        <f>Steps!A60</f>
        <v/>
      </c>
      <c r="B60" s="3">
        <f>Steps!C60</f>
        <v/>
      </c>
      <c r="C60" s="12">
        <f>Steps!E60</f>
        <v/>
      </c>
      <c r="D60" s="13">
        <f>IF(1&gt;Settings!$B$6,"",SUMIFS('Work log'!$F$5:$F$1004,'Work log'!$B$5:$B$1004,1,'Work log'!$C$5:$C$1004,A60,'Work log'!$L$5:$L$1004,"&gt;0"))</f>
        <v/>
      </c>
      <c r="E60" s="13">
        <f>IF(2&gt;Settings!$B$6,"",SUMIFS('Work log'!$F$5:$F$1004,'Work log'!$B$5:$B$1004,2,'Work log'!$C$5:$C$1004,A60,'Work log'!$L$5:$L$1004,"&gt;0"))</f>
        <v/>
      </c>
      <c r="F60" s="13">
        <f>IF(3&gt;Settings!$B$6,"",SUMIFS('Work log'!$F$5:$F$1004,'Work log'!$B$5:$B$1004,3,'Work log'!$C$5:$C$1004,A60,'Work log'!$L$5:$L$1004,"&gt;0"))</f>
        <v/>
      </c>
      <c r="G60" s="13">
        <f>IF(4&gt;Settings!$B$6,"",SUMIFS('Work log'!$F$5:$F$1004,'Work log'!$B$5:$B$1004,4,'Work log'!$C$5:$C$1004,A60,'Work log'!$L$5:$L$1004,"&gt;0"))</f>
        <v/>
      </c>
      <c r="H60" s="13">
        <f>IF(5&gt;Settings!$B$6,"",SUMIFS('Work log'!$F$5:$F$1004,'Work log'!$B$5:$B$1004,5,'Work log'!$C$5:$C$1004,A60,'Work log'!$L$5:$L$1004,"&gt;0"))</f>
        <v/>
      </c>
      <c r="I60" s="13">
        <f>IF(6&gt;Settings!$B$6,"",SUMIFS('Work log'!$F$5:$F$1004,'Work log'!$B$5:$B$1004,6,'Work log'!$C$5:$C$1004,A60,'Work log'!$L$5:$L$1004,"&gt;0"))</f>
        <v/>
      </c>
      <c r="J60" s="13">
        <f>IF(7&gt;Settings!$B$6,"",SUMIFS('Work log'!$F$5:$F$1004,'Work log'!$B$5:$B$1004,7,'Work log'!$C$5:$C$1004,A60,'Work log'!$L$5:$L$1004,"&gt;0"))</f>
        <v/>
      </c>
      <c r="K60" s="13">
        <f>IF(8&gt;Settings!$B$6,"",SUMIFS('Work log'!$F$5:$F$1004,'Work log'!$B$5:$B$1004,8,'Work log'!$C$5:$C$1004,A60,'Work log'!$L$5:$L$1004,"&gt;0"))</f>
        <v/>
      </c>
      <c r="L60" s="13">
        <f>IF(1&gt;Settings!$B$6,"",SUMIFS(Pledges!$E$5:$E$504,Pledges!$A$5:$A$504,1,Pledges!$B$5:$B$504,A60))</f>
        <v/>
      </c>
      <c r="M60" s="13">
        <f>IF(2&gt;Settings!$B$6,"",SUMIFS(Pledges!$E$5:$E$504,Pledges!$A$5:$A$504,2,Pledges!$B$5:$B$504,A60))</f>
        <v/>
      </c>
      <c r="N60" s="13">
        <f>IF(3&gt;Settings!$B$6,"",SUMIFS(Pledges!$E$5:$E$504,Pledges!$A$5:$A$504,3,Pledges!$B$5:$B$504,A60))</f>
        <v/>
      </c>
      <c r="O60" s="13">
        <f>IF(4&gt;Settings!$B$6,"",SUMIFS(Pledges!$E$5:$E$504,Pledges!$A$5:$A$504,4,Pledges!$B$5:$B$504,A60))</f>
        <v/>
      </c>
      <c r="P60" s="13">
        <f>IF(5&gt;Settings!$B$6,"",SUMIFS(Pledges!$E$5:$E$504,Pledges!$A$5:$A$504,5,Pledges!$B$5:$B$504,A60))</f>
        <v/>
      </c>
      <c r="Q60" s="13">
        <f>IF(6&gt;Settings!$B$6,"",SUMIFS(Pledges!$E$5:$E$504,Pledges!$A$5:$A$504,6,Pledges!$B$5:$B$504,A60))</f>
        <v/>
      </c>
      <c r="R60" s="13">
        <f>IF(7&gt;Settings!$B$6,"",SUMIFS(Pledges!$E$5:$E$504,Pledges!$A$5:$A$504,7,Pledges!$B$5:$B$504,A60))</f>
        <v/>
      </c>
      <c r="S60" s="13">
        <f>IF(8&gt;Settings!$B$6,"",SUMIFS(Pledges!$E$5:$E$504,Pledges!$A$5:$A$504,8,Pledges!$B$5:$B$504,A60))</f>
        <v/>
      </c>
    </row>
    <row r="61">
      <c r="A61" s="3">
        <f>Steps!A61</f>
        <v/>
      </c>
      <c r="B61" s="3">
        <f>Steps!C61</f>
        <v/>
      </c>
      <c r="C61" s="12">
        <f>Steps!E61</f>
        <v/>
      </c>
      <c r="D61" s="13">
        <f>IF(1&gt;Settings!$B$6,"",SUMIFS('Work log'!$F$5:$F$1004,'Work log'!$B$5:$B$1004,1,'Work log'!$C$5:$C$1004,A61,'Work log'!$L$5:$L$1004,"&gt;0"))</f>
        <v/>
      </c>
      <c r="E61" s="13">
        <f>IF(2&gt;Settings!$B$6,"",SUMIFS('Work log'!$F$5:$F$1004,'Work log'!$B$5:$B$1004,2,'Work log'!$C$5:$C$1004,A61,'Work log'!$L$5:$L$1004,"&gt;0"))</f>
        <v/>
      </c>
      <c r="F61" s="13">
        <f>IF(3&gt;Settings!$B$6,"",SUMIFS('Work log'!$F$5:$F$1004,'Work log'!$B$5:$B$1004,3,'Work log'!$C$5:$C$1004,A61,'Work log'!$L$5:$L$1004,"&gt;0"))</f>
        <v/>
      </c>
      <c r="G61" s="13">
        <f>IF(4&gt;Settings!$B$6,"",SUMIFS('Work log'!$F$5:$F$1004,'Work log'!$B$5:$B$1004,4,'Work log'!$C$5:$C$1004,A61,'Work log'!$L$5:$L$1004,"&gt;0"))</f>
        <v/>
      </c>
      <c r="H61" s="13">
        <f>IF(5&gt;Settings!$B$6,"",SUMIFS('Work log'!$F$5:$F$1004,'Work log'!$B$5:$B$1004,5,'Work log'!$C$5:$C$1004,A61,'Work log'!$L$5:$L$1004,"&gt;0"))</f>
        <v/>
      </c>
      <c r="I61" s="13">
        <f>IF(6&gt;Settings!$B$6,"",SUMIFS('Work log'!$F$5:$F$1004,'Work log'!$B$5:$B$1004,6,'Work log'!$C$5:$C$1004,A61,'Work log'!$L$5:$L$1004,"&gt;0"))</f>
        <v/>
      </c>
      <c r="J61" s="13">
        <f>IF(7&gt;Settings!$B$6,"",SUMIFS('Work log'!$F$5:$F$1004,'Work log'!$B$5:$B$1004,7,'Work log'!$C$5:$C$1004,A61,'Work log'!$L$5:$L$1004,"&gt;0"))</f>
        <v/>
      </c>
      <c r="K61" s="13">
        <f>IF(8&gt;Settings!$B$6,"",SUMIFS('Work log'!$F$5:$F$1004,'Work log'!$B$5:$B$1004,8,'Work log'!$C$5:$C$1004,A61,'Work log'!$L$5:$L$1004,"&gt;0"))</f>
        <v/>
      </c>
      <c r="L61" s="13">
        <f>IF(1&gt;Settings!$B$6,"",SUMIFS(Pledges!$E$5:$E$504,Pledges!$A$5:$A$504,1,Pledges!$B$5:$B$504,A61))</f>
        <v/>
      </c>
      <c r="M61" s="13">
        <f>IF(2&gt;Settings!$B$6,"",SUMIFS(Pledges!$E$5:$E$504,Pledges!$A$5:$A$504,2,Pledges!$B$5:$B$504,A61))</f>
        <v/>
      </c>
      <c r="N61" s="13">
        <f>IF(3&gt;Settings!$B$6,"",SUMIFS(Pledges!$E$5:$E$504,Pledges!$A$5:$A$504,3,Pledges!$B$5:$B$504,A61))</f>
        <v/>
      </c>
      <c r="O61" s="13">
        <f>IF(4&gt;Settings!$B$6,"",SUMIFS(Pledges!$E$5:$E$504,Pledges!$A$5:$A$504,4,Pledges!$B$5:$B$504,A61))</f>
        <v/>
      </c>
      <c r="P61" s="13">
        <f>IF(5&gt;Settings!$B$6,"",SUMIFS(Pledges!$E$5:$E$504,Pledges!$A$5:$A$504,5,Pledges!$B$5:$B$504,A61))</f>
        <v/>
      </c>
      <c r="Q61" s="13">
        <f>IF(6&gt;Settings!$B$6,"",SUMIFS(Pledges!$E$5:$E$504,Pledges!$A$5:$A$504,6,Pledges!$B$5:$B$504,A61))</f>
        <v/>
      </c>
      <c r="R61" s="13">
        <f>IF(7&gt;Settings!$B$6,"",SUMIFS(Pledges!$E$5:$E$504,Pledges!$A$5:$A$504,7,Pledges!$B$5:$B$504,A61))</f>
        <v/>
      </c>
      <c r="S61" s="13">
        <f>IF(8&gt;Settings!$B$6,"",SUMIFS(Pledges!$E$5:$E$504,Pledges!$A$5:$A$504,8,Pledges!$B$5:$B$504,A61))</f>
        <v/>
      </c>
    </row>
    <row r="62">
      <c r="A62" s="3">
        <f>Steps!A62</f>
        <v/>
      </c>
      <c r="B62" s="3">
        <f>Steps!C62</f>
        <v/>
      </c>
      <c r="C62" s="12">
        <f>Steps!E62</f>
        <v/>
      </c>
      <c r="D62" s="13">
        <f>IF(1&gt;Settings!$B$6,"",SUMIFS('Work log'!$F$5:$F$1004,'Work log'!$B$5:$B$1004,1,'Work log'!$C$5:$C$1004,A62,'Work log'!$L$5:$L$1004,"&gt;0"))</f>
        <v/>
      </c>
      <c r="E62" s="13">
        <f>IF(2&gt;Settings!$B$6,"",SUMIFS('Work log'!$F$5:$F$1004,'Work log'!$B$5:$B$1004,2,'Work log'!$C$5:$C$1004,A62,'Work log'!$L$5:$L$1004,"&gt;0"))</f>
        <v/>
      </c>
      <c r="F62" s="13">
        <f>IF(3&gt;Settings!$B$6,"",SUMIFS('Work log'!$F$5:$F$1004,'Work log'!$B$5:$B$1004,3,'Work log'!$C$5:$C$1004,A62,'Work log'!$L$5:$L$1004,"&gt;0"))</f>
        <v/>
      </c>
      <c r="G62" s="13">
        <f>IF(4&gt;Settings!$B$6,"",SUMIFS('Work log'!$F$5:$F$1004,'Work log'!$B$5:$B$1004,4,'Work log'!$C$5:$C$1004,A62,'Work log'!$L$5:$L$1004,"&gt;0"))</f>
        <v/>
      </c>
      <c r="H62" s="13">
        <f>IF(5&gt;Settings!$B$6,"",SUMIFS('Work log'!$F$5:$F$1004,'Work log'!$B$5:$B$1004,5,'Work log'!$C$5:$C$1004,A62,'Work log'!$L$5:$L$1004,"&gt;0"))</f>
        <v/>
      </c>
      <c r="I62" s="13">
        <f>IF(6&gt;Settings!$B$6,"",SUMIFS('Work log'!$F$5:$F$1004,'Work log'!$B$5:$B$1004,6,'Work log'!$C$5:$C$1004,A62,'Work log'!$L$5:$L$1004,"&gt;0"))</f>
        <v/>
      </c>
      <c r="J62" s="13">
        <f>IF(7&gt;Settings!$B$6,"",SUMIFS('Work log'!$F$5:$F$1004,'Work log'!$B$5:$B$1004,7,'Work log'!$C$5:$C$1004,A62,'Work log'!$L$5:$L$1004,"&gt;0"))</f>
        <v/>
      </c>
      <c r="K62" s="13">
        <f>IF(8&gt;Settings!$B$6,"",SUMIFS('Work log'!$F$5:$F$1004,'Work log'!$B$5:$B$1004,8,'Work log'!$C$5:$C$1004,A62,'Work log'!$L$5:$L$1004,"&gt;0"))</f>
        <v/>
      </c>
      <c r="L62" s="13">
        <f>IF(1&gt;Settings!$B$6,"",SUMIFS(Pledges!$E$5:$E$504,Pledges!$A$5:$A$504,1,Pledges!$B$5:$B$504,A62))</f>
        <v/>
      </c>
      <c r="M62" s="13">
        <f>IF(2&gt;Settings!$B$6,"",SUMIFS(Pledges!$E$5:$E$504,Pledges!$A$5:$A$504,2,Pledges!$B$5:$B$504,A62))</f>
        <v/>
      </c>
      <c r="N62" s="13">
        <f>IF(3&gt;Settings!$B$6,"",SUMIFS(Pledges!$E$5:$E$504,Pledges!$A$5:$A$504,3,Pledges!$B$5:$B$504,A62))</f>
        <v/>
      </c>
      <c r="O62" s="13">
        <f>IF(4&gt;Settings!$B$6,"",SUMIFS(Pledges!$E$5:$E$504,Pledges!$A$5:$A$504,4,Pledges!$B$5:$B$504,A62))</f>
        <v/>
      </c>
      <c r="P62" s="13">
        <f>IF(5&gt;Settings!$B$6,"",SUMIFS(Pledges!$E$5:$E$504,Pledges!$A$5:$A$504,5,Pledges!$B$5:$B$504,A62))</f>
        <v/>
      </c>
      <c r="Q62" s="13">
        <f>IF(6&gt;Settings!$B$6,"",SUMIFS(Pledges!$E$5:$E$504,Pledges!$A$5:$A$504,6,Pledges!$B$5:$B$504,A62))</f>
        <v/>
      </c>
      <c r="R62" s="13">
        <f>IF(7&gt;Settings!$B$6,"",SUMIFS(Pledges!$E$5:$E$504,Pledges!$A$5:$A$504,7,Pledges!$B$5:$B$504,A62))</f>
        <v/>
      </c>
      <c r="S62" s="13">
        <f>IF(8&gt;Settings!$B$6,"",SUMIFS(Pledges!$E$5:$E$504,Pledges!$A$5:$A$504,8,Pledges!$B$5:$B$504,A62))</f>
        <v/>
      </c>
    </row>
    <row r="63">
      <c r="B63" s="4" t="inlineStr">
        <is>
          <t>Value done and signed off ($)</t>
        </is>
      </c>
      <c r="D63" s="10">
        <f>IF(1&gt;Settings!$B$6,"",SUMPRODUCT($C$5:$C$62,D5:D62))</f>
        <v/>
      </c>
      <c r="E63" s="10">
        <f>IF(2&gt;Settings!$B$6,"",SUMPRODUCT($C$5:$C$62,E5:E62))</f>
        <v/>
      </c>
      <c r="F63" s="10">
        <f>IF(3&gt;Settings!$B$6,"",SUMPRODUCT($C$5:$C$62,F5:F62))</f>
        <v/>
      </c>
      <c r="G63" s="10">
        <f>IF(4&gt;Settings!$B$6,"",SUMPRODUCT($C$5:$C$62,G5:G62))</f>
        <v/>
      </c>
      <c r="H63" s="10">
        <f>IF(5&gt;Settings!$B$6,"",SUMPRODUCT($C$5:$C$62,H5:H62))</f>
        <v/>
      </c>
      <c r="I63" s="10">
        <f>IF(6&gt;Settings!$B$6,"",SUMPRODUCT($C$5:$C$62,I5:I62))</f>
        <v/>
      </c>
      <c r="J63" s="10">
        <f>IF(7&gt;Settings!$B$6,"",SUMPRODUCT($C$5:$C$62,J5:J62))</f>
        <v/>
      </c>
      <c r="K63" s="10">
        <f>IF(8&gt;Settings!$B$6,"",SUMPRODUCT($C$5:$C$62,K5:K62))</f>
        <v/>
      </c>
    </row>
    <row r="64">
      <c r="B64" s="4" t="inlineStr">
        <is>
          <t>Share of the build done</t>
        </is>
      </c>
      <c r="D64" s="14">
        <f>IF(1&gt;Settings!$B$6,"",D63/Steps!$E$63)</f>
        <v/>
      </c>
      <c r="E64" s="14">
        <f>IF(2&gt;Settings!$B$6,"",E63/Steps!$E$63)</f>
        <v/>
      </c>
      <c r="F64" s="14">
        <f>IF(3&gt;Settings!$B$6,"",F63/Steps!$E$63)</f>
        <v/>
      </c>
      <c r="G64" s="14">
        <f>IF(4&gt;Settings!$B$6,"",G63/Steps!$E$63)</f>
        <v/>
      </c>
      <c r="H64" s="14">
        <f>IF(5&gt;Settings!$B$6,"",H63/Steps!$E$63)</f>
        <v/>
      </c>
      <c r="I64" s="14">
        <f>IF(6&gt;Settings!$B$6,"",I63/Steps!$E$63)</f>
        <v/>
      </c>
      <c r="J64" s="14">
        <f>IF(7&gt;Settings!$B$6,"",J63/Steps!$E$63)</f>
        <v/>
      </c>
      <c r="K64" s="14">
        <f>IF(8&gt;Settings!$B$6,"",K63/Steps!$E$63)</f>
        <v/>
      </c>
    </row>
  </sheetData>
  <conditionalFormatting sqref="D5:S62">
    <cfRule type="cellIs" priority="1" operator="greaterThan" dxfId="1">
      <formula>1.0001</formula>
    </cfRule>
    <cfRule type="cellIs" priority="2" operator="between" dxfId="2">
      <formula>0.9999</formula>
      <formula>1.0001</formula>
    </cfRule>
    <cfRule type="cellIs" priority="3" operator="between" dxfId="3">
      <formula>0.0001</formula>
      <formula>0.9999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9" customWidth="1" min="8" max="8"/>
    <col width="13" customWidth="1" min="9" max="9"/>
    <col width="10" customWidth="1" min="10" max="10"/>
    <col width="11" customWidth="1" min="11" max="11"/>
  </cols>
  <sheetData>
    <row r="1">
      <c r="A1" s="1" t="inlineStr">
        <is>
          <t>Credit and ownership</t>
        </is>
      </c>
    </row>
    <row r="2">
      <c r="A2" s="2" t="inlineStr">
        <is>
          <t>Counted credit = (work + pro overrun + contributions) x the share kept. Ownership = counted credit / total.</t>
        </is>
      </c>
    </row>
    <row r="4">
      <c r="A4" s="5" t="inlineStr">
        <is>
          <t>Member</t>
        </is>
      </c>
      <c r="B4" s="5" t="inlineStr">
        <is>
          <t>Status</t>
        </is>
      </c>
      <c r="C4" s="5" t="inlineStr">
        <is>
          <t>Pledged ($)</t>
        </is>
      </c>
      <c r="D4" s="5" t="inlineStr">
        <is>
          <t>Work credit ($)</t>
        </is>
      </c>
      <c r="E4" s="5" t="inlineStr">
        <is>
          <t>Pro overrun as cash ($)</t>
        </is>
      </c>
      <c r="F4" s="5" t="inlineStr">
        <is>
          <t>Contributions ($)</t>
        </is>
      </c>
      <c r="G4" s="5" t="inlineStr">
        <is>
          <t>Total credit ($)</t>
        </is>
      </c>
      <c r="H4" s="5" t="inlineStr">
        <is>
          <t>Share kept</t>
        </is>
      </c>
      <c r="I4" s="5" t="inlineStr">
        <is>
          <t>Counted credit ($)</t>
        </is>
      </c>
      <c r="J4" s="5" t="inlineStr">
        <is>
          <t>Ownership</t>
        </is>
      </c>
      <c r="K4" s="5" t="inlineStr">
        <is>
          <t>Pledged work done</t>
        </is>
      </c>
    </row>
    <row r="5">
      <c r="A5" s="3">
        <f>IF(Members!B5="","",Members!B5)</f>
        <v/>
      </c>
      <c r="B5" s="3">
        <f>IF(A5="","",Members!E5)</f>
        <v/>
      </c>
      <c r="C5" s="11">
        <f>IF(A5="",0,SUMIFS(Pledges!$H$5:$H$504,Pledges!$D$5:$D$504,A5))</f>
        <v/>
      </c>
      <c r="D5" s="11">
        <f>IF(A5="",0,SUMIFS('Work log'!$L$5:$L$1004,'Work log'!$E$5:$E$1004,A5))</f>
        <v/>
      </c>
      <c r="E5" s="11">
        <f>IF(A5="",0,SUMIFS('Work log'!$M$5:$M$1004,'Work log'!$E$5:$E$1004,A5))</f>
        <v/>
      </c>
      <c r="F5" s="11">
        <f>IF(A5="",0,SUMIFS(Contributions!$G$5:$G$304,Contributions!$B$5:$B$304,A5))</f>
        <v/>
      </c>
      <c r="G5" s="11">
        <f>D5+E5+F5</f>
        <v/>
      </c>
      <c r="H5" s="13">
        <f>IF(A5="","",IF(B5="Withdrawn",Settings!$B$8,1))</f>
        <v/>
      </c>
      <c r="I5" s="11">
        <f>IF(A5="",0,G5*H5)</f>
        <v/>
      </c>
      <c r="J5" s="13">
        <f>IF(OR(A5="",$I$17=0),"",I5/$I$17)</f>
        <v/>
      </c>
      <c r="K5" s="13">
        <f>IF(OR(A5="",C5=0),"",D5/C5)</f>
        <v/>
      </c>
    </row>
    <row r="6">
      <c r="A6" s="3">
        <f>IF(Members!B6="","",Members!B6)</f>
        <v/>
      </c>
      <c r="B6" s="3">
        <f>IF(A6="","",Members!E6)</f>
        <v/>
      </c>
      <c r="C6" s="11">
        <f>IF(A6="",0,SUMIFS(Pledges!$H$5:$H$504,Pledges!$D$5:$D$504,A6))</f>
        <v/>
      </c>
      <c r="D6" s="11">
        <f>IF(A6="",0,SUMIFS('Work log'!$L$5:$L$1004,'Work log'!$E$5:$E$1004,A6))</f>
        <v/>
      </c>
      <c r="E6" s="11">
        <f>IF(A6="",0,SUMIFS('Work log'!$M$5:$M$1004,'Work log'!$E$5:$E$1004,A6))</f>
        <v/>
      </c>
      <c r="F6" s="11">
        <f>IF(A6="",0,SUMIFS(Contributions!$G$5:$G$304,Contributions!$B$5:$B$304,A6))</f>
        <v/>
      </c>
      <c r="G6" s="11">
        <f>D6+E6+F6</f>
        <v/>
      </c>
      <c r="H6" s="13">
        <f>IF(A6="","",IF(B6="Withdrawn",Settings!$B$8,1))</f>
        <v/>
      </c>
      <c r="I6" s="11">
        <f>IF(A6="",0,G6*H6)</f>
        <v/>
      </c>
      <c r="J6" s="13">
        <f>IF(OR(A6="",$I$17=0),"",I6/$I$17)</f>
        <v/>
      </c>
      <c r="K6" s="13">
        <f>IF(OR(A6="",C6=0),"",D6/C6)</f>
        <v/>
      </c>
    </row>
    <row r="7">
      <c r="A7" s="3">
        <f>IF(Members!B7="","",Members!B7)</f>
        <v/>
      </c>
      <c r="B7" s="3">
        <f>IF(A7="","",Members!E7)</f>
        <v/>
      </c>
      <c r="C7" s="11">
        <f>IF(A7="",0,SUMIFS(Pledges!$H$5:$H$504,Pledges!$D$5:$D$504,A7))</f>
        <v/>
      </c>
      <c r="D7" s="11">
        <f>IF(A7="",0,SUMIFS('Work log'!$L$5:$L$1004,'Work log'!$E$5:$E$1004,A7))</f>
        <v/>
      </c>
      <c r="E7" s="11">
        <f>IF(A7="",0,SUMIFS('Work log'!$M$5:$M$1004,'Work log'!$E$5:$E$1004,A7))</f>
        <v/>
      </c>
      <c r="F7" s="11">
        <f>IF(A7="",0,SUMIFS(Contributions!$G$5:$G$304,Contributions!$B$5:$B$304,A7))</f>
        <v/>
      </c>
      <c r="G7" s="11">
        <f>D7+E7+F7</f>
        <v/>
      </c>
      <c r="H7" s="13">
        <f>IF(A7="","",IF(B7="Withdrawn",Settings!$B$8,1))</f>
        <v/>
      </c>
      <c r="I7" s="11">
        <f>IF(A7="",0,G7*H7)</f>
        <v/>
      </c>
      <c r="J7" s="13">
        <f>IF(OR(A7="",$I$17=0),"",I7/$I$17)</f>
        <v/>
      </c>
      <c r="K7" s="13">
        <f>IF(OR(A7="",C7=0),"",D7/C7)</f>
        <v/>
      </c>
    </row>
    <row r="8">
      <c r="A8" s="3">
        <f>IF(Members!B8="","",Members!B8)</f>
        <v/>
      </c>
      <c r="B8" s="3">
        <f>IF(A8="","",Members!E8)</f>
        <v/>
      </c>
      <c r="C8" s="11">
        <f>IF(A8="",0,SUMIFS(Pledges!$H$5:$H$504,Pledges!$D$5:$D$504,A8))</f>
        <v/>
      </c>
      <c r="D8" s="11">
        <f>IF(A8="",0,SUMIFS('Work log'!$L$5:$L$1004,'Work log'!$E$5:$E$1004,A8))</f>
        <v/>
      </c>
      <c r="E8" s="11">
        <f>IF(A8="",0,SUMIFS('Work log'!$M$5:$M$1004,'Work log'!$E$5:$E$1004,A8))</f>
        <v/>
      </c>
      <c r="F8" s="11">
        <f>IF(A8="",0,SUMIFS(Contributions!$G$5:$G$304,Contributions!$B$5:$B$304,A8))</f>
        <v/>
      </c>
      <c r="G8" s="11">
        <f>D8+E8+F8</f>
        <v/>
      </c>
      <c r="H8" s="13">
        <f>IF(A8="","",IF(B8="Withdrawn",Settings!$B$8,1))</f>
        <v/>
      </c>
      <c r="I8" s="11">
        <f>IF(A8="",0,G8*H8)</f>
        <v/>
      </c>
      <c r="J8" s="13">
        <f>IF(OR(A8="",$I$17=0),"",I8/$I$17)</f>
        <v/>
      </c>
      <c r="K8" s="13">
        <f>IF(OR(A8="",C8=0),"",D8/C8)</f>
        <v/>
      </c>
    </row>
    <row r="9">
      <c r="A9" s="3">
        <f>IF(Members!B9="","",Members!B9)</f>
        <v/>
      </c>
      <c r="B9" s="3">
        <f>IF(A9="","",Members!E9)</f>
        <v/>
      </c>
      <c r="C9" s="11">
        <f>IF(A9="",0,SUMIFS(Pledges!$H$5:$H$504,Pledges!$D$5:$D$504,A9))</f>
        <v/>
      </c>
      <c r="D9" s="11">
        <f>IF(A9="",0,SUMIFS('Work log'!$L$5:$L$1004,'Work log'!$E$5:$E$1004,A9))</f>
        <v/>
      </c>
      <c r="E9" s="11">
        <f>IF(A9="",0,SUMIFS('Work log'!$M$5:$M$1004,'Work log'!$E$5:$E$1004,A9))</f>
        <v/>
      </c>
      <c r="F9" s="11">
        <f>IF(A9="",0,SUMIFS(Contributions!$G$5:$G$304,Contributions!$B$5:$B$304,A9))</f>
        <v/>
      </c>
      <c r="G9" s="11">
        <f>D9+E9+F9</f>
        <v/>
      </c>
      <c r="H9" s="13">
        <f>IF(A9="","",IF(B9="Withdrawn",Settings!$B$8,1))</f>
        <v/>
      </c>
      <c r="I9" s="11">
        <f>IF(A9="",0,G9*H9)</f>
        <v/>
      </c>
      <c r="J9" s="13">
        <f>IF(OR(A9="",$I$17=0),"",I9/$I$17)</f>
        <v/>
      </c>
      <c r="K9" s="13">
        <f>IF(OR(A9="",C9=0),"",D9/C9)</f>
        <v/>
      </c>
    </row>
    <row r="10">
      <c r="A10" s="3">
        <f>IF(Members!B10="","",Members!B10)</f>
        <v/>
      </c>
      <c r="B10" s="3">
        <f>IF(A10="","",Members!E10)</f>
        <v/>
      </c>
      <c r="C10" s="11">
        <f>IF(A10="",0,SUMIFS(Pledges!$H$5:$H$504,Pledges!$D$5:$D$504,A10))</f>
        <v/>
      </c>
      <c r="D10" s="11">
        <f>IF(A10="",0,SUMIFS('Work log'!$L$5:$L$1004,'Work log'!$E$5:$E$1004,A10))</f>
        <v/>
      </c>
      <c r="E10" s="11">
        <f>IF(A10="",0,SUMIFS('Work log'!$M$5:$M$1004,'Work log'!$E$5:$E$1004,A10))</f>
        <v/>
      </c>
      <c r="F10" s="11">
        <f>IF(A10="",0,SUMIFS(Contributions!$G$5:$G$304,Contributions!$B$5:$B$304,A10))</f>
        <v/>
      </c>
      <c r="G10" s="11">
        <f>D10+E10+F10</f>
        <v/>
      </c>
      <c r="H10" s="13">
        <f>IF(A10="","",IF(B10="Withdrawn",Settings!$B$8,1))</f>
        <v/>
      </c>
      <c r="I10" s="11">
        <f>IF(A10="",0,G10*H10)</f>
        <v/>
      </c>
      <c r="J10" s="13">
        <f>IF(OR(A10="",$I$17=0),"",I10/$I$17)</f>
        <v/>
      </c>
      <c r="K10" s="13">
        <f>IF(OR(A10="",C10=0),"",D10/C10)</f>
        <v/>
      </c>
    </row>
    <row r="11">
      <c r="A11" s="3">
        <f>IF(Members!B11="","",Members!B11)</f>
        <v/>
      </c>
      <c r="B11" s="3">
        <f>IF(A11="","",Members!E11)</f>
        <v/>
      </c>
      <c r="C11" s="11">
        <f>IF(A11="",0,SUMIFS(Pledges!$H$5:$H$504,Pledges!$D$5:$D$504,A11))</f>
        <v/>
      </c>
      <c r="D11" s="11">
        <f>IF(A11="",0,SUMIFS('Work log'!$L$5:$L$1004,'Work log'!$E$5:$E$1004,A11))</f>
        <v/>
      </c>
      <c r="E11" s="11">
        <f>IF(A11="",0,SUMIFS('Work log'!$M$5:$M$1004,'Work log'!$E$5:$E$1004,A11))</f>
        <v/>
      </c>
      <c r="F11" s="11">
        <f>IF(A11="",0,SUMIFS(Contributions!$G$5:$G$304,Contributions!$B$5:$B$304,A11))</f>
        <v/>
      </c>
      <c r="G11" s="11">
        <f>D11+E11+F11</f>
        <v/>
      </c>
      <c r="H11" s="13">
        <f>IF(A11="","",IF(B11="Withdrawn",Settings!$B$8,1))</f>
        <v/>
      </c>
      <c r="I11" s="11">
        <f>IF(A11="",0,G11*H11)</f>
        <v/>
      </c>
      <c r="J11" s="13">
        <f>IF(OR(A11="",$I$17=0),"",I11/$I$17)</f>
        <v/>
      </c>
      <c r="K11" s="13">
        <f>IF(OR(A11="",C11=0),"",D11/C11)</f>
        <v/>
      </c>
    </row>
    <row r="12">
      <c r="A12" s="3">
        <f>IF(Members!B12="","",Members!B12)</f>
        <v/>
      </c>
      <c r="B12" s="3">
        <f>IF(A12="","",Members!E12)</f>
        <v/>
      </c>
      <c r="C12" s="11">
        <f>IF(A12="",0,SUMIFS(Pledges!$H$5:$H$504,Pledges!$D$5:$D$504,A12))</f>
        <v/>
      </c>
      <c r="D12" s="11">
        <f>IF(A12="",0,SUMIFS('Work log'!$L$5:$L$1004,'Work log'!$E$5:$E$1004,A12))</f>
        <v/>
      </c>
      <c r="E12" s="11">
        <f>IF(A12="",0,SUMIFS('Work log'!$M$5:$M$1004,'Work log'!$E$5:$E$1004,A12))</f>
        <v/>
      </c>
      <c r="F12" s="11">
        <f>IF(A12="",0,SUMIFS(Contributions!$G$5:$G$304,Contributions!$B$5:$B$304,A12))</f>
        <v/>
      </c>
      <c r="G12" s="11">
        <f>D12+E12+F12</f>
        <v/>
      </c>
      <c r="H12" s="13">
        <f>IF(A12="","",IF(B12="Withdrawn",Settings!$B$8,1))</f>
        <v/>
      </c>
      <c r="I12" s="11">
        <f>IF(A12="",0,G12*H12)</f>
        <v/>
      </c>
      <c r="J12" s="13">
        <f>IF(OR(A12="",$I$17=0),"",I12/$I$17)</f>
        <v/>
      </c>
      <c r="K12" s="13">
        <f>IF(OR(A12="",C12=0),"",D12/C12)</f>
        <v/>
      </c>
    </row>
    <row r="13">
      <c r="A13" s="3">
        <f>IF(Members!B13="","",Members!B13)</f>
        <v/>
      </c>
      <c r="B13" s="3">
        <f>IF(A13="","",Members!E13)</f>
        <v/>
      </c>
      <c r="C13" s="11">
        <f>IF(A13="",0,SUMIFS(Pledges!$H$5:$H$504,Pledges!$D$5:$D$504,A13))</f>
        <v/>
      </c>
      <c r="D13" s="11">
        <f>IF(A13="",0,SUMIFS('Work log'!$L$5:$L$1004,'Work log'!$E$5:$E$1004,A13))</f>
        <v/>
      </c>
      <c r="E13" s="11">
        <f>IF(A13="",0,SUMIFS('Work log'!$M$5:$M$1004,'Work log'!$E$5:$E$1004,A13))</f>
        <v/>
      </c>
      <c r="F13" s="11">
        <f>IF(A13="",0,SUMIFS(Contributions!$G$5:$G$304,Contributions!$B$5:$B$304,A13))</f>
        <v/>
      </c>
      <c r="G13" s="11">
        <f>D13+E13+F13</f>
        <v/>
      </c>
      <c r="H13" s="13">
        <f>IF(A13="","",IF(B13="Withdrawn",Settings!$B$8,1))</f>
        <v/>
      </c>
      <c r="I13" s="11">
        <f>IF(A13="",0,G13*H13)</f>
        <v/>
      </c>
      <c r="J13" s="13">
        <f>IF(OR(A13="",$I$17=0),"",I13/$I$17)</f>
        <v/>
      </c>
      <c r="K13" s="13">
        <f>IF(OR(A13="",C13=0),"",D13/C13)</f>
        <v/>
      </c>
    </row>
    <row r="14">
      <c r="A14" s="3">
        <f>IF(Members!B14="","",Members!B14)</f>
        <v/>
      </c>
      <c r="B14" s="3">
        <f>IF(A14="","",Members!E14)</f>
        <v/>
      </c>
      <c r="C14" s="11">
        <f>IF(A14="",0,SUMIFS(Pledges!$H$5:$H$504,Pledges!$D$5:$D$504,A14))</f>
        <v/>
      </c>
      <c r="D14" s="11">
        <f>IF(A14="",0,SUMIFS('Work log'!$L$5:$L$1004,'Work log'!$E$5:$E$1004,A14))</f>
        <v/>
      </c>
      <c r="E14" s="11">
        <f>IF(A14="",0,SUMIFS('Work log'!$M$5:$M$1004,'Work log'!$E$5:$E$1004,A14))</f>
        <v/>
      </c>
      <c r="F14" s="11">
        <f>IF(A14="",0,SUMIFS(Contributions!$G$5:$G$304,Contributions!$B$5:$B$304,A14))</f>
        <v/>
      </c>
      <c r="G14" s="11">
        <f>D14+E14+F14</f>
        <v/>
      </c>
      <c r="H14" s="13">
        <f>IF(A14="","",IF(B14="Withdrawn",Settings!$B$8,1))</f>
        <v/>
      </c>
      <c r="I14" s="11">
        <f>IF(A14="",0,G14*H14)</f>
        <v/>
      </c>
      <c r="J14" s="13">
        <f>IF(OR(A14="",$I$17=0),"",I14/$I$17)</f>
        <v/>
      </c>
      <c r="K14" s="13">
        <f>IF(OR(A14="",C14=0),"",D14/C14)</f>
        <v/>
      </c>
    </row>
    <row r="15">
      <c r="A15" s="3">
        <f>IF(Members!B15="","",Members!B15)</f>
        <v/>
      </c>
      <c r="B15" s="3">
        <f>IF(A15="","",Members!E15)</f>
        <v/>
      </c>
      <c r="C15" s="11">
        <f>IF(A15="",0,SUMIFS(Pledges!$H$5:$H$504,Pledges!$D$5:$D$504,A15))</f>
        <v/>
      </c>
      <c r="D15" s="11">
        <f>IF(A15="",0,SUMIFS('Work log'!$L$5:$L$1004,'Work log'!$E$5:$E$1004,A15))</f>
        <v/>
      </c>
      <c r="E15" s="11">
        <f>IF(A15="",0,SUMIFS('Work log'!$M$5:$M$1004,'Work log'!$E$5:$E$1004,A15))</f>
        <v/>
      </c>
      <c r="F15" s="11">
        <f>IF(A15="",0,SUMIFS(Contributions!$G$5:$G$304,Contributions!$B$5:$B$304,A15))</f>
        <v/>
      </c>
      <c r="G15" s="11">
        <f>D15+E15+F15</f>
        <v/>
      </c>
      <c r="H15" s="13">
        <f>IF(A15="","",IF(B15="Withdrawn",Settings!$B$8,1))</f>
        <v/>
      </c>
      <c r="I15" s="11">
        <f>IF(A15="",0,G15*H15)</f>
        <v/>
      </c>
      <c r="J15" s="13">
        <f>IF(OR(A15="",$I$17=0),"",I15/$I$17)</f>
        <v/>
      </c>
      <c r="K15" s="13">
        <f>IF(OR(A15="",C15=0),"",D15/C15)</f>
        <v/>
      </c>
    </row>
    <row r="16">
      <c r="A16" s="3">
        <f>IF(Members!B16="","",Members!B16)</f>
        <v/>
      </c>
      <c r="B16" s="3">
        <f>IF(A16="","",Members!E16)</f>
        <v/>
      </c>
      <c r="C16" s="11">
        <f>IF(A16="",0,SUMIFS(Pledges!$H$5:$H$504,Pledges!$D$5:$D$504,A16))</f>
        <v/>
      </c>
      <c r="D16" s="11">
        <f>IF(A16="",0,SUMIFS('Work log'!$L$5:$L$1004,'Work log'!$E$5:$E$1004,A16))</f>
        <v/>
      </c>
      <c r="E16" s="11">
        <f>IF(A16="",0,SUMIFS('Work log'!$M$5:$M$1004,'Work log'!$E$5:$E$1004,A16))</f>
        <v/>
      </c>
      <c r="F16" s="11">
        <f>IF(A16="",0,SUMIFS(Contributions!$G$5:$G$304,Contributions!$B$5:$B$304,A16))</f>
        <v/>
      </c>
      <c r="G16" s="11">
        <f>D16+E16+F16</f>
        <v/>
      </c>
      <c r="H16" s="13">
        <f>IF(A16="","",IF(B16="Withdrawn",Settings!$B$8,1))</f>
        <v/>
      </c>
      <c r="I16" s="11">
        <f>IF(A16="",0,G16*H16)</f>
        <v/>
      </c>
      <c r="J16" s="13">
        <f>IF(OR(A16="",$I$17=0),"",I16/$I$17)</f>
        <v/>
      </c>
      <c r="K16" s="13">
        <f>IF(OR(A16="",C16=0),"",D16/C16)</f>
        <v/>
      </c>
    </row>
    <row r="17">
      <c r="A17" s="4" t="inlineStr">
        <is>
          <t>Total</t>
        </is>
      </c>
      <c r="C17" s="10">
        <f>SUM(C5:C16)</f>
        <v/>
      </c>
      <c r="D17" s="10">
        <f>SUM(D5:D16)</f>
        <v/>
      </c>
      <c r="E17" s="10">
        <f>SUM(E5:E16)</f>
        <v/>
      </c>
      <c r="F17" s="10">
        <f>SUM(F5:F16)</f>
        <v/>
      </c>
      <c r="G17" s="10">
        <f>SUM(G5:G16)</f>
        <v/>
      </c>
      <c r="I17" s="10">
        <f>SUM(I5:I16)</f>
        <v/>
      </c>
      <c r="J17" s="14">
        <f>SUM(J5:J16)</f>
        <v/>
      </c>
    </row>
    <row r="19">
      <c r="A19" s="4" t="inlineStr">
        <is>
          <t>Build summary</t>
        </is>
      </c>
    </row>
    <row r="20">
      <c r="A20" s="3" t="inlineStr">
        <is>
          <t>Boats in this build</t>
        </is>
      </c>
      <c r="B20" s="15">
        <f>Settings!$B$6</f>
        <v/>
      </c>
    </row>
    <row r="21">
      <c r="A21" s="3" t="inlineStr">
        <is>
          <t>Labor value of the whole build ($)</t>
        </is>
      </c>
      <c r="B21" s="11">
        <f>Steps!$E$63*Settings!$B$6</f>
        <v/>
      </c>
    </row>
    <row r="22">
      <c r="A22" s="3" t="inlineStr">
        <is>
          <t>Labor value done and signed off ($)</t>
        </is>
      </c>
      <c r="B22" s="11">
        <f>SUM(D5:D16)</f>
        <v/>
      </c>
    </row>
    <row r="23">
      <c r="A23" s="3" t="inlineStr">
        <is>
          <t>Labor value pledged ($)</t>
        </is>
      </c>
      <c r="B23" s="11">
        <f>C17</f>
        <v/>
      </c>
    </row>
    <row r="24">
      <c r="A24" s="3" t="inlineStr">
        <is>
          <t>Labor not yet pledged ($)</t>
        </is>
      </c>
      <c r="B24" s="11">
        <f>MAX(0,B21-B23)</f>
        <v/>
      </c>
    </row>
    <row r="25">
      <c r="A25" s="3" t="inlineStr">
        <is>
          <t>Materials budget for the build ($)</t>
        </is>
      </c>
      <c r="B25" s="11">
        <f>Settings!$B$7*Settings!$B$6</f>
        <v/>
      </c>
    </row>
    <row r="26">
      <c r="A26" s="3" t="inlineStr">
        <is>
          <t>Cash and materials contributed so far ($)</t>
        </is>
      </c>
      <c r="B26" s="11">
        <f>SUMIFS(Contributions!$G$5:$G$304,Contributions!$C$5:$C$304,"Cash")+SUMIFS(Contributions!$G$5:$G$304,Contributions!$C$5:$C$304,"Materials")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22" customWidth="1" min="4" max="4"/>
    <col width="10" customWidth="1" min="5" max="5"/>
    <col width="10" customWidth="1" min="6" max="6"/>
    <col width="8" customWidth="1" min="7" max="7"/>
    <col width="9" customWidth="1" min="8" max="8"/>
    <col width="10" customWidth="1" min="9" max="9"/>
    <col width="9" customWidth="1" min="10" max="10"/>
    <col width="40" customWidth="1" min="11" max="11"/>
    <col width="24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Usage log (after the build)</t>
        </is>
      </c>
    </row>
    <row r="2">
      <c r="A2" s="2" t="inlineStr">
        <is>
          <t>One row per trip. Engine hours and fuel split running costs by use; compare with ownership on the right.</t>
        </is>
      </c>
    </row>
    <row r="4">
      <c r="A4" s="5" t="inlineStr">
        <is>
          <t>Out</t>
        </is>
      </c>
      <c r="B4" s="5" t="inlineStr">
        <is>
          <t>Back</t>
        </is>
      </c>
      <c r="C4" s="5" t="inlineStr">
        <is>
          <t>Boat</t>
        </is>
      </c>
      <c r="D4" s="5" t="inlineStr">
        <is>
          <t>Member</t>
        </is>
      </c>
      <c r="E4" s="5" t="inlineStr">
        <is>
          <t>Engine hours out</t>
        </is>
      </c>
      <c r="F4" s="5" t="inlineStr">
        <is>
          <t>Engine hours back</t>
        </is>
      </c>
      <c r="G4" s="5" t="inlineStr">
        <is>
          <t>Hours</t>
        </is>
      </c>
      <c r="H4" s="5" t="inlineStr">
        <is>
          <t>Fuel added (gal)</t>
        </is>
      </c>
      <c r="I4" s="5" t="inlineStr">
        <is>
          <t>Fuel cost ($)</t>
        </is>
      </c>
      <c r="J4" s="5" t="inlineStr">
        <is>
          <t>Checklist done</t>
        </is>
      </c>
      <c r="K4" s="5" t="inlineStr">
        <is>
          <t>Problems found</t>
        </is>
      </c>
      <c r="M4" s="5" t="inlineStr">
        <is>
          <t>Member</t>
        </is>
      </c>
      <c r="N4" s="5" t="inlineStr">
        <is>
          <t>Engine hours</t>
        </is>
      </c>
      <c r="O4" s="5" t="inlineStr">
        <is>
          <t>Share of use</t>
        </is>
      </c>
      <c r="P4" s="5" t="inlineStr">
        <is>
          <t>Ownership</t>
        </is>
      </c>
    </row>
    <row r="5">
      <c r="A5" s="9" t="n"/>
      <c r="B5" s="9" t="n"/>
      <c r="C5" s="6" t="n"/>
      <c r="D5" s="6" t="n"/>
      <c r="E5" s="6" t="n"/>
      <c r="F5" s="6" t="n"/>
      <c r="G5" s="16">
        <f>IF(OR(E5="",F5=""),0,F5-E5)</f>
        <v/>
      </c>
      <c r="H5" s="6" t="n"/>
      <c r="I5" s="7" t="n"/>
      <c r="J5" s="6" t="n"/>
      <c r="K5" s="6" t="n"/>
      <c r="M5" s="3">
        <f>Ownership!A5</f>
        <v/>
      </c>
      <c r="N5" s="17">
        <f>IF(M5="",0,SUMIFS($G$5:$G$504,$D$5:$D$504,M5))</f>
        <v/>
      </c>
      <c r="O5" s="18">
        <f>IF(OR(M5="",SUM($N$5:$N$16)=0),"",N5/SUM($N$5:$N$16))</f>
        <v/>
      </c>
      <c r="P5" s="18">
        <f>Ownership!J5</f>
        <v/>
      </c>
    </row>
    <row r="6">
      <c r="A6" s="9" t="n"/>
      <c r="B6" s="9" t="n"/>
      <c r="C6" s="6" t="n"/>
      <c r="D6" s="6" t="n"/>
      <c r="E6" s="6" t="n"/>
      <c r="F6" s="6" t="n"/>
      <c r="G6" s="16">
        <f>IF(OR(E6="",F6=""),0,F6-E6)</f>
        <v/>
      </c>
      <c r="H6" s="6" t="n"/>
      <c r="I6" s="7" t="n"/>
      <c r="J6" s="6" t="n"/>
      <c r="K6" s="6" t="n"/>
      <c r="M6" s="3">
        <f>Ownership!A6</f>
        <v/>
      </c>
      <c r="N6" s="17">
        <f>IF(M6="",0,SUMIFS($G$5:$G$504,$D$5:$D$504,M6))</f>
        <v/>
      </c>
      <c r="O6" s="18">
        <f>IF(OR(M6="",SUM($N$5:$N$16)=0),"",N6/SUM($N$5:$N$16))</f>
        <v/>
      </c>
      <c r="P6" s="18">
        <f>Ownership!J6</f>
        <v/>
      </c>
    </row>
    <row r="7">
      <c r="A7" s="9" t="n"/>
      <c r="B7" s="9" t="n"/>
      <c r="C7" s="6" t="n"/>
      <c r="D7" s="6" t="n"/>
      <c r="E7" s="6" t="n"/>
      <c r="F7" s="6" t="n"/>
      <c r="G7" s="16">
        <f>IF(OR(E7="",F7=""),0,F7-E7)</f>
        <v/>
      </c>
      <c r="H7" s="6" t="n"/>
      <c r="I7" s="7" t="n"/>
      <c r="J7" s="6" t="n"/>
      <c r="K7" s="6" t="n"/>
      <c r="M7" s="3">
        <f>Ownership!A7</f>
        <v/>
      </c>
      <c r="N7" s="17">
        <f>IF(M7="",0,SUMIFS($G$5:$G$504,$D$5:$D$504,M7))</f>
        <v/>
      </c>
      <c r="O7" s="18">
        <f>IF(OR(M7="",SUM($N$5:$N$16)=0),"",N7/SUM($N$5:$N$16))</f>
        <v/>
      </c>
      <c r="P7" s="18">
        <f>Ownership!J7</f>
        <v/>
      </c>
    </row>
    <row r="8">
      <c r="A8" s="9" t="n"/>
      <c r="B8" s="9" t="n"/>
      <c r="C8" s="6" t="n"/>
      <c r="D8" s="6" t="n"/>
      <c r="E8" s="6" t="n"/>
      <c r="F8" s="6" t="n"/>
      <c r="G8" s="16">
        <f>IF(OR(E8="",F8=""),0,F8-E8)</f>
        <v/>
      </c>
      <c r="H8" s="6" t="n"/>
      <c r="I8" s="7" t="n"/>
      <c r="J8" s="6" t="n"/>
      <c r="K8" s="6" t="n"/>
      <c r="M8" s="3">
        <f>Ownership!A8</f>
        <v/>
      </c>
      <c r="N8" s="17">
        <f>IF(M8="",0,SUMIFS($G$5:$G$504,$D$5:$D$504,M8))</f>
        <v/>
      </c>
      <c r="O8" s="18">
        <f>IF(OR(M8="",SUM($N$5:$N$16)=0),"",N8/SUM($N$5:$N$16))</f>
        <v/>
      </c>
      <c r="P8" s="18">
        <f>Ownership!J8</f>
        <v/>
      </c>
    </row>
    <row r="9">
      <c r="A9" s="9" t="n"/>
      <c r="B9" s="9" t="n"/>
      <c r="C9" s="6" t="n"/>
      <c r="D9" s="6" t="n"/>
      <c r="E9" s="6" t="n"/>
      <c r="F9" s="6" t="n"/>
      <c r="G9" s="16">
        <f>IF(OR(E9="",F9=""),0,F9-E9)</f>
        <v/>
      </c>
      <c r="H9" s="6" t="n"/>
      <c r="I9" s="7" t="n"/>
      <c r="J9" s="6" t="n"/>
      <c r="K9" s="6" t="n"/>
      <c r="M9" s="3">
        <f>Ownership!A9</f>
        <v/>
      </c>
      <c r="N9" s="17">
        <f>IF(M9="",0,SUMIFS($G$5:$G$504,$D$5:$D$504,M9))</f>
        <v/>
      </c>
      <c r="O9" s="18">
        <f>IF(OR(M9="",SUM($N$5:$N$16)=0),"",N9/SUM($N$5:$N$16))</f>
        <v/>
      </c>
      <c r="P9" s="18">
        <f>Ownership!J9</f>
        <v/>
      </c>
    </row>
    <row r="10">
      <c r="A10" s="9" t="n"/>
      <c r="B10" s="9" t="n"/>
      <c r="C10" s="6" t="n"/>
      <c r="D10" s="6" t="n"/>
      <c r="E10" s="6" t="n"/>
      <c r="F10" s="6" t="n"/>
      <c r="G10" s="16">
        <f>IF(OR(E10="",F10=""),0,F10-E10)</f>
        <v/>
      </c>
      <c r="H10" s="6" t="n"/>
      <c r="I10" s="7" t="n"/>
      <c r="J10" s="6" t="n"/>
      <c r="K10" s="6" t="n"/>
      <c r="M10" s="3">
        <f>Ownership!A10</f>
        <v/>
      </c>
      <c r="N10" s="17">
        <f>IF(M10="",0,SUMIFS($G$5:$G$504,$D$5:$D$504,M10))</f>
        <v/>
      </c>
      <c r="O10" s="18">
        <f>IF(OR(M10="",SUM($N$5:$N$16)=0),"",N10/SUM($N$5:$N$16))</f>
        <v/>
      </c>
      <c r="P10" s="18">
        <f>Ownership!J10</f>
        <v/>
      </c>
    </row>
    <row r="11">
      <c r="A11" s="9" t="n"/>
      <c r="B11" s="9" t="n"/>
      <c r="C11" s="6" t="n"/>
      <c r="D11" s="6" t="n"/>
      <c r="E11" s="6" t="n"/>
      <c r="F11" s="6" t="n"/>
      <c r="G11" s="16">
        <f>IF(OR(E11="",F11=""),0,F11-E11)</f>
        <v/>
      </c>
      <c r="H11" s="6" t="n"/>
      <c r="I11" s="7" t="n"/>
      <c r="J11" s="6" t="n"/>
      <c r="K11" s="6" t="n"/>
      <c r="M11" s="3">
        <f>Ownership!A11</f>
        <v/>
      </c>
      <c r="N11" s="17">
        <f>IF(M11="",0,SUMIFS($G$5:$G$504,$D$5:$D$504,M11))</f>
        <v/>
      </c>
      <c r="O11" s="18">
        <f>IF(OR(M11="",SUM($N$5:$N$16)=0),"",N11/SUM($N$5:$N$16))</f>
        <v/>
      </c>
      <c r="P11" s="18">
        <f>Ownership!J11</f>
        <v/>
      </c>
    </row>
    <row r="12">
      <c r="A12" s="9" t="n"/>
      <c r="B12" s="9" t="n"/>
      <c r="C12" s="6" t="n"/>
      <c r="D12" s="6" t="n"/>
      <c r="E12" s="6" t="n"/>
      <c r="F12" s="6" t="n"/>
      <c r="G12" s="16">
        <f>IF(OR(E12="",F12=""),0,F12-E12)</f>
        <v/>
      </c>
      <c r="H12" s="6" t="n"/>
      <c r="I12" s="7" t="n"/>
      <c r="J12" s="6" t="n"/>
      <c r="K12" s="6" t="n"/>
      <c r="M12" s="3">
        <f>Ownership!A12</f>
        <v/>
      </c>
      <c r="N12" s="17">
        <f>IF(M12="",0,SUMIFS($G$5:$G$504,$D$5:$D$504,M12))</f>
        <v/>
      </c>
      <c r="O12" s="18">
        <f>IF(OR(M12="",SUM($N$5:$N$16)=0),"",N12/SUM($N$5:$N$16))</f>
        <v/>
      </c>
      <c r="P12" s="18">
        <f>Ownership!J12</f>
        <v/>
      </c>
    </row>
    <row r="13">
      <c r="A13" s="9" t="n"/>
      <c r="B13" s="9" t="n"/>
      <c r="C13" s="6" t="n"/>
      <c r="D13" s="6" t="n"/>
      <c r="E13" s="6" t="n"/>
      <c r="F13" s="6" t="n"/>
      <c r="G13" s="16">
        <f>IF(OR(E13="",F13=""),0,F13-E13)</f>
        <v/>
      </c>
      <c r="H13" s="6" t="n"/>
      <c r="I13" s="7" t="n"/>
      <c r="J13" s="6" t="n"/>
      <c r="K13" s="6" t="n"/>
      <c r="M13" s="3">
        <f>Ownership!A13</f>
        <v/>
      </c>
      <c r="N13" s="17">
        <f>IF(M13="",0,SUMIFS($G$5:$G$504,$D$5:$D$504,M13))</f>
        <v/>
      </c>
      <c r="O13" s="18">
        <f>IF(OR(M13="",SUM($N$5:$N$16)=0),"",N13/SUM($N$5:$N$16))</f>
        <v/>
      </c>
      <c r="P13" s="18">
        <f>Ownership!J13</f>
        <v/>
      </c>
    </row>
    <row r="14">
      <c r="A14" s="9" t="n"/>
      <c r="B14" s="9" t="n"/>
      <c r="C14" s="6" t="n"/>
      <c r="D14" s="6" t="n"/>
      <c r="E14" s="6" t="n"/>
      <c r="F14" s="6" t="n"/>
      <c r="G14" s="16">
        <f>IF(OR(E14="",F14=""),0,F14-E14)</f>
        <v/>
      </c>
      <c r="H14" s="6" t="n"/>
      <c r="I14" s="7" t="n"/>
      <c r="J14" s="6" t="n"/>
      <c r="K14" s="6" t="n"/>
      <c r="M14" s="3">
        <f>Ownership!A14</f>
        <v/>
      </c>
      <c r="N14" s="17">
        <f>IF(M14="",0,SUMIFS($G$5:$G$504,$D$5:$D$504,M14))</f>
        <v/>
      </c>
      <c r="O14" s="18">
        <f>IF(OR(M14="",SUM($N$5:$N$16)=0),"",N14/SUM($N$5:$N$16))</f>
        <v/>
      </c>
      <c r="P14" s="18">
        <f>Ownership!J14</f>
        <v/>
      </c>
    </row>
    <row r="15">
      <c r="A15" s="9" t="n"/>
      <c r="B15" s="9" t="n"/>
      <c r="C15" s="6" t="n"/>
      <c r="D15" s="6" t="n"/>
      <c r="E15" s="6" t="n"/>
      <c r="F15" s="6" t="n"/>
      <c r="G15" s="16">
        <f>IF(OR(E15="",F15=""),0,F15-E15)</f>
        <v/>
      </c>
      <c r="H15" s="6" t="n"/>
      <c r="I15" s="7" t="n"/>
      <c r="J15" s="6" t="n"/>
      <c r="K15" s="6" t="n"/>
      <c r="M15" s="3">
        <f>Ownership!A15</f>
        <v/>
      </c>
      <c r="N15" s="17">
        <f>IF(M15="",0,SUMIFS($G$5:$G$504,$D$5:$D$504,M15))</f>
        <v/>
      </c>
      <c r="O15" s="18">
        <f>IF(OR(M15="",SUM($N$5:$N$16)=0),"",N15/SUM($N$5:$N$16))</f>
        <v/>
      </c>
      <c r="P15" s="18">
        <f>Ownership!J15</f>
        <v/>
      </c>
    </row>
    <row r="16">
      <c r="A16" s="9" t="n"/>
      <c r="B16" s="9" t="n"/>
      <c r="C16" s="6" t="n"/>
      <c r="D16" s="6" t="n"/>
      <c r="E16" s="6" t="n"/>
      <c r="F16" s="6" t="n"/>
      <c r="G16" s="16">
        <f>IF(OR(E16="",F16=""),0,F16-E16)</f>
        <v/>
      </c>
      <c r="H16" s="6" t="n"/>
      <c r="I16" s="7" t="n"/>
      <c r="J16" s="6" t="n"/>
      <c r="K16" s="6" t="n"/>
      <c r="M16" s="3">
        <f>Ownership!A16</f>
        <v/>
      </c>
      <c r="N16" s="17">
        <f>IF(M16="",0,SUMIFS($G$5:$G$504,$D$5:$D$504,M16))</f>
        <v/>
      </c>
      <c r="O16" s="18">
        <f>IF(OR(M16="",SUM($N$5:$N$16)=0),"",N16/SUM($N$5:$N$16))</f>
        <v/>
      </c>
      <c r="P16" s="18">
        <f>Ownership!J16</f>
        <v/>
      </c>
    </row>
    <row r="17">
      <c r="A17" s="9" t="n"/>
      <c r="B17" s="9" t="n"/>
      <c r="C17" s="6" t="n"/>
      <c r="D17" s="6" t="n"/>
      <c r="E17" s="6" t="n"/>
      <c r="F17" s="6" t="n"/>
      <c r="G17" s="16">
        <f>IF(OR(E17="",F17=""),0,F17-E17)</f>
        <v/>
      </c>
      <c r="H17" s="6" t="n"/>
      <c r="I17" s="7" t="n"/>
      <c r="J17" s="6" t="n"/>
      <c r="K17" s="6" t="n"/>
    </row>
    <row r="18">
      <c r="A18" s="9" t="n"/>
      <c r="B18" s="9" t="n"/>
      <c r="C18" s="6" t="n"/>
      <c r="D18" s="6" t="n"/>
      <c r="E18" s="6" t="n"/>
      <c r="F18" s="6" t="n"/>
      <c r="G18" s="16">
        <f>IF(OR(E18="",F18=""),0,F18-E18)</f>
        <v/>
      </c>
      <c r="H18" s="6" t="n"/>
      <c r="I18" s="7" t="n"/>
      <c r="J18" s="6" t="n"/>
      <c r="K18" s="6" t="n"/>
    </row>
    <row r="19">
      <c r="A19" s="9" t="n"/>
      <c r="B19" s="9" t="n"/>
      <c r="C19" s="6" t="n"/>
      <c r="D19" s="6" t="n"/>
      <c r="E19" s="6" t="n"/>
      <c r="F19" s="6" t="n"/>
      <c r="G19" s="16">
        <f>IF(OR(E19="",F19=""),0,F19-E19)</f>
        <v/>
      </c>
      <c r="H19" s="6" t="n"/>
      <c r="I19" s="7" t="n"/>
      <c r="J19" s="6" t="n"/>
      <c r="K19" s="6" t="n"/>
    </row>
    <row r="20">
      <c r="A20" s="9" t="n"/>
      <c r="B20" s="9" t="n"/>
      <c r="C20" s="6" t="n"/>
      <c r="D20" s="6" t="n"/>
      <c r="E20" s="6" t="n"/>
      <c r="F20" s="6" t="n"/>
      <c r="G20" s="16">
        <f>IF(OR(E20="",F20=""),0,F20-E20)</f>
        <v/>
      </c>
      <c r="H20" s="6" t="n"/>
      <c r="I20" s="7" t="n"/>
      <c r="J20" s="6" t="n"/>
      <c r="K20" s="6" t="n"/>
    </row>
    <row r="21">
      <c r="A21" s="9" t="n"/>
      <c r="B21" s="9" t="n"/>
      <c r="C21" s="6" t="n"/>
      <c r="D21" s="6" t="n"/>
      <c r="E21" s="6" t="n"/>
      <c r="F21" s="6" t="n"/>
      <c r="G21" s="16">
        <f>IF(OR(E21="",F21=""),0,F21-E21)</f>
        <v/>
      </c>
      <c r="H21" s="6" t="n"/>
      <c r="I21" s="7" t="n"/>
      <c r="J21" s="6" t="n"/>
      <c r="K21" s="6" t="n"/>
    </row>
    <row r="22">
      <c r="A22" s="9" t="n"/>
      <c r="B22" s="9" t="n"/>
      <c r="C22" s="6" t="n"/>
      <c r="D22" s="6" t="n"/>
      <c r="E22" s="6" t="n"/>
      <c r="F22" s="6" t="n"/>
      <c r="G22" s="16">
        <f>IF(OR(E22="",F22=""),0,F22-E22)</f>
        <v/>
      </c>
      <c r="H22" s="6" t="n"/>
      <c r="I22" s="7" t="n"/>
      <c r="J22" s="6" t="n"/>
      <c r="K22" s="6" t="n"/>
    </row>
    <row r="23">
      <c r="A23" s="9" t="n"/>
      <c r="B23" s="9" t="n"/>
      <c r="C23" s="6" t="n"/>
      <c r="D23" s="6" t="n"/>
      <c r="E23" s="6" t="n"/>
      <c r="F23" s="6" t="n"/>
      <c r="G23" s="16">
        <f>IF(OR(E23="",F23=""),0,F23-E23)</f>
        <v/>
      </c>
      <c r="H23" s="6" t="n"/>
      <c r="I23" s="7" t="n"/>
      <c r="J23" s="6" t="n"/>
      <c r="K23" s="6" t="n"/>
    </row>
    <row r="24">
      <c r="A24" s="9" t="n"/>
      <c r="B24" s="9" t="n"/>
      <c r="C24" s="6" t="n"/>
      <c r="D24" s="6" t="n"/>
      <c r="E24" s="6" t="n"/>
      <c r="F24" s="6" t="n"/>
      <c r="G24" s="16">
        <f>IF(OR(E24="",F24=""),0,F24-E24)</f>
        <v/>
      </c>
      <c r="H24" s="6" t="n"/>
      <c r="I24" s="7" t="n"/>
      <c r="J24" s="6" t="n"/>
      <c r="K24" s="6" t="n"/>
    </row>
    <row r="25">
      <c r="A25" s="9" t="n"/>
      <c r="B25" s="9" t="n"/>
      <c r="C25" s="6" t="n"/>
      <c r="D25" s="6" t="n"/>
      <c r="E25" s="6" t="n"/>
      <c r="F25" s="6" t="n"/>
      <c r="G25" s="16">
        <f>IF(OR(E25="",F25=""),0,F25-E25)</f>
        <v/>
      </c>
      <c r="H25" s="6" t="n"/>
      <c r="I25" s="7" t="n"/>
      <c r="J25" s="6" t="n"/>
      <c r="K25" s="6" t="n"/>
    </row>
    <row r="26">
      <c r="A26" s="9" t="n"/>
      <c r="B26" s="9" t="n"/>
      <c r="C26" s="6" t="n"/>
      <c r="D26" s="6" t="n"/>
      <c r="E26" s="6" t="n"/>
      <c r="F26" s="6" t="n"/>
      <c r="G26" s="16">
        <f>IF(OR(E26="",F26=""),0,F26-E26)</f>
        <v/>
      </c>
      <c r="H26" s="6" t="n"/>
      <c r="I26" s="7" t="n"/>
      <c r="J26" s="6" t="n"/>
      <c r="K26" s="6" t="n"/>
    </row>
    <row r="27">
      <c r="A27" s="9" t="n"/>
      <c r="B27" s="9" t="n"/>
      <c r="C27" s="6" t="n"/>
      <c r="D27" s="6" t="n"/>
      <c r="E27" s="6" t="n"/>
      <c r="F27" s="6" t="n"/>
      <c r="G27" s="16">
        <f>IF(OR(E27="",F27=""),0,F27-E27)</f>
        <v/>
      </c>
      <c r="H27" s="6" t="n"/>
      <c r="I27" s="7" t="n"/>
      <c r="J27" s="6" t="n"/>
      <c r="K27" s="6" t="n"/>
    </row>
    <row r="28">
      <c r="A28" s="9" t="n"/>
      <c r="B28" s="9" t="n"/>
      <c r="C28" s="6" t="n"/>
      <c r="D28" s="6" t="n"/>
      <c r="E28" s="6" t="n"/>
      <c r="F28" s="6" t="n"/>
      <c r="G28" s="16">
        <f>IF(OR(E28="",F28=""),0,F28-E28)</f>
        <v/>
      </c>
      <c r="H28" s="6" t="n"/>
      <c r="I28" s="7" t="n"/>
      <c r="J28" s="6" t="n"/>
      <c r="K28" s="6" t="n"/>
    </row>
    <row r="29">
      <c r="A29" s="9" t="n"/>
      <c r="B29" s="9" t="n"/>
      <c r="C29" s="6" t="n"/>
      <c r="D29" s="6" t="n"/>
      <c r="E29" s="6" t="n"/>
      <c r="F29" s="6" t="n"/>
      <c r="G29" s="16">
        <f>IF(OR(E29="",F29=""),0,F29-E29)</f>
        <v/>
      </c>
      <c r="H29" s="6" t="n"/>
      <c r="I29" s="7" t="n"/>
      <c r="J29" s="6" t="n"/>
      <c r="K29" s="6" t="n"/>
    </row>
    <row r="30">
      <c r="A30" s="9" t="n"/>
      <c r="B30" s="9" t="n"/>
      <c r="C30" s="6" t="n"/>
      <c r="D30" s="6" t="n"/>
      <c r="E30" s="6" t="n"/>
      <c r="F30" s="6" t="n"/>
      <c r="G30" s="16">
        <f>IF(OR(E30="",F30=""),0,F30-E30)</f>
        <v/>
      </c>
      <c r="H30" s="6" t="n"/>
      <c r="I30" s="7" t="n"/>
      <c r="J30" s="6" t="n"/>
      <c r="K30" s="6" t="n"/>
    </row>
    <row r="31">
      <c r="A31" s="9" t="n"/>
      <c r="B31" s="9" t="n"/>
      <c r="C31" s="6" t="n"/>
      <c r="D31" s="6" t="n"/>
      <c r="E31" s="6" t="n"/>
      <c r="F31" s="6" t="n"/>
      <c r="G31" s="16">
        <f>IF(OR(E31="",F31=""),0,F31-E31)</f>
        <v/>
      </c>
      <c r="H31" s="6" t="n"/>
      <c r="I31" s="7" t="n"/>
      <c r="J31" s="6" t="n"/>
      <c r="K31" s="6" t="n"/>
    </row>
    <row r="32">
      <c r="A32" s="9" t="n"/>
      <c r="B32" s="9" t="n"/>
      <c r="C32" s="6" t="n"/>
      <c r="D32" s="6" t="n"/>
      <c r="E32" s="6" t="n"/>
      <c r="F32" s="6" t="n"/>
      <c r="G32" s="16">
        <f>IF(OR(E32="",F32=""),0,F32-E32)</f>
        <v/>
      </c>
      <c r="H32" s="6" t="n"/>
      <c r="I32" s="7" t="n"/>
      <c r="J32" s="6" t="n"/>
      <c r="K32" s="6" t="n"/>
    </row>
    <row r="33">
      <c r="A33" s="9" t="n"/>
      <c r="B33" s="9" t="n"/>
      <c r="C33" s="6" t="n"/>
      <c r="D33" s="6" t="n"/>
      <c r="E33" s="6" t="n"/>
      <c r="F33" s="6" t="n"/>
      <c r="G33" s="16">
        <f>IF(OR(E33="",F33=""),0,F33-E33)</f>
        <v/>
      </c>
      <c r="H33" s="6" t="n"/>
      <c r="I33" s="7" t="n"/>
      <c r="J33" s="6" t="n"/>
      <c r="K33" s="6" t="n"/>
    </row>
    <row r="34">
      <c r="A34" s="9" t="n"/>
      <c r="B34" s="9" t="n"/>
      <c r="C34" s="6" t="n"/>
      <c r="D34" s="6" t="n"/>
      <c r="E34" s="6" t="n"/>
      <c r="F34" s="6" t="n"/>
      <c r="G34" s="16">
        <f>IF(OR(E34="",F34=""),0,F34-E34)</f>
        <v/>
      </c>
      <c r="H34" s="6" t="n"/>
      <c r="I34" s="7" t="n"/>
      <c r="J34" s="6" t="n"/>
      <c r="K34" s="6" t="n"/>
    </row>
    <row r="35">
      <c r="A35" s="9" t="n"/>
      <c r="B35" s="9" t="n"/>
      <c r="C35" s="6" t="n"/>
      <c r="D35" s="6" t="n"/>
      <c r="E35" s="6" t="n"/>
      <c r="F35" s="6" t="n"/>
      <c r="G35" s="16">
        <f>IF(OR(E35="",F35=""),0,F35-E35)</f>
        <v/>
      </c>
      <c r="H35" s="6" t="n"/>
      <c r="I35" s="7" t="n"/>
      <c r="J35" s="6" t="n"/>
      <c r="K35" s="6" t="n"/>
    </row>
    <row r="36">
      <c r="A36" s="9" t="n"/>
      <c r="B36" s="9" t="n"/>
      <c r="C36" s="6" t="n"/>
      <c r="D36" s="6" t="n"/>
      <c r="E36" s="6" t="n"/>
      <c r="F36" s="6" t="n"/>
      <c r="G36" s="16">
        <f>IF(OR(E36="",F36=""),0,F36-E36)</f>
        <v/>
      </c>
      <c r="H36" s="6" t="n"/>
      <c r="I36" s="7" t="n"/>
      <c r="J36" s="6" t="n"/>
      <c r="K36" s="6" t="n"/>
    </row>
    <row r="37">
      <c r="A37" s="9" t="n"/>
      <c r="B37" s="9" t="n"/>
      <c r="C37" s="6" t="n"/>
      <c r="D37" s="6" t="n"/>
      <c r="E37" s="6" t="n"/>
      <c r="F37" s="6" t="n"/>
      <c r="G37" s="16">
        <f>IF(OR(E37="",F37=""),0,F37-E37)</f>
        <v/>
      </c>
      <c r="H37" s="6" t="n"/>
      <c r="I37" s="7" t="n"/>
      <c r="J37" s="6" t="n"/>
      <c r="K37" s="6" t="n"/>
    </row>
    <row r="38">
      <c r="A38" s="9" t="n"/>
      <c r="B38" s="9" t="n"/>
      <c r="C38" s="6" t="n"/>
      <c r="D38" s="6" t="n"/>
      <c r="E38" s="6" t="n"/>
      <c r="F38" s="6" t="n"/>
      <c r="G38" s="16">
        <f>IF(OR(E38="",F38=""),0,F38-E38)</f>
        <v/>
      </c>
      <c r="H38" s="6" t="n"/>
      <c r="I38" s="7" t="n"/>
      <c r="J38" s="6" t="n"/>
      <c r="K38" s="6" t="n"/>
    </row>
    <row r="39">
      <c r="A39" s="9" t="n"/>
      <c r="B39" s="9" t="n"/>
      <c r="C39" s="6" t="n"/>
      <c r="D39" s="6" t="n"/>
      <c r="E39" s="6" t="n"/>
      <c r="F39" s="6" t="n"/>
      <c r="G39" s="16">
        <f>IF(OR(E39="",F39=""),0,F39-E39)</f>
        <v/>
      </c>
      <c r="H39" s="6" t="n"/>
      <c r="I39" s="7" t="n"/>
      <c r="J39" s="6" t="n"/>
      <c r="K39" s="6" t="n"/>
    </row>
    <row r="40">
      <c r="A40" s="9" t="n"/>
      <c r="B40" s="9" t="n"/>
      <c r="C40" s="6" t="n"/>
      <c r="D40" s="6" t="n"/>
      <c r="E40" s="6" t="n"/>
      <c r="F40" s="6" t="n"/>
      <c r="G40" s="16">
        <f>IF(OR(E40="",F40=""),0,F40-E40)</f>
        <v/>
      </c>
      <c r="H40" s="6" t="n"/>
      <c r="I40" s="7" t="n"/>
      <c r="J40" s="6" t="n"/>
      <c r="K40" s="6" t="n"/>
    </row>
    <row r="41">
      <c r="A41" s="9" t="n"/>
      <c r="B41" s="9" t="n"/>
      <c r="C41" s="6" t="n"/>
      <c r="D41" s="6" t="n"/>
      <c r="E41" s="6" t="n"/>
      <c r="F41" s="6" t="n"/>
      <c r="G41" s="16">
        <f>IF(OR(E41="",F41=""),0,F41-E41)</f>
        <v/>
      </c>
      <c r="H41" s="6" t="n"/>
      <c r="I41" s="7" t="n"/>
      <c r="J41" s="6" t="n"/>
      <c r="K41" s="6" t="n"/>
    </row>
    <row r="42">
      <c r="A42" s="9" t="n"/>
      <c r="B42" s="9" t="n"/>
      <c r="C42" s="6" t="n"/>
      <c r="D42" s="6" t="n"/>
      <c r="E42" s="6" t="n"/>
      <c r="F42" s="6" t="n"/>
      <c r="G42" s="16">
        <f>IF(OR(E42="",F42=""),0,F42-E42)</f>
        <v/>
      </c>
      <c r="H42" s="6" t="n"/>
      <c r="I42" s="7" t="n"/>
      <c r="J42" s="6" t="n"/>
      <c r="K42" s="6" t="n"/>
    </row>
    <row r="43">
      <c r="A43" s="9" t="n"/>
      <c r="B43" s="9" t="n"/>
      <c r="C43" s="6" t="n"/>
      <c r="D43" s="6" t="n"/>
      <c r="E43" s="6" t="n"/>
      <c r="F43" s="6" t="n"/>
      <c r="G43" s="16">
        <f>IF(OR(E43="",F43=""),0,F43-E43)</f>
        <v/>
      </c>
      <c r="H43" s="6" t="n"/>
      <c r="I43" s="7" t="n"/>
      <c r="J43" s="6" t="n"/>
      <c r="K43" s="6" t="n"/>
    </row>
    <row r="44">
      <c r="A44" s="9" t="n"/>
      <c r="B44" s="9" t="n"/>
      <c r="C44" s="6" t="n"/>
      <c r="D44" s="6" t="n"/>
      <c r="E44" s="6" t="n"/>
      <c r="F44" s="6" t="n"/>
      <c r="G44" s="16">
        <f>IF(OR(E44="",F44=""),0,F44-E44)</f>
        <v/>
      </c>
      <c r="H44" s="6" t="n"/>
      <c r="I44" s="7" t="n"/>
      <c r="J44" s="6" t="n"/>
      <c r="K44" s="6" t="n"/>
    </row>
    <row r="45">
      <c r="A45" s="9" t="n"/>
      <c r="B45" s="9" t="n"/>
      <c r="C45" s="6" t="n"/>
      <c r="D45" s="6" t="n"/>
      <c r="E45" s="6" t="n"/>
      <c r="F45" s="6" t="n"/>
      <c r="G45" s="16">
        <f>IF(OR(E45="",F45=""),0,F45-E45)</f>
        <v/>
      </c>
      <c r="H45" s="6" t="n"/>
      <c r="I45" s="7" t="n"/>
      <c r="J45" s="6" t="n"/>
      <c r="K45" s="6" t="n"/>
    </row>
    <row r="46">
      <c r="A46" s="9" t="n"/>
      <c r="B46" s="9" t="n"/>
      <c r="C46" s="6" t="n"/>
      <c r="D46" s="6" t="n"/>
      <c r="E46" s="6" t="n"/>
      <c r="F46" s="6" t="n"/>
      <c r="G46" s="16">
        <f>IF(OR(E46="",F46=""),0,F46-E46)</f>
        <v/>
      </c>
      <c r="H46" s="6" t="n"/>
      <c r="I46" s="7" t="n"/>
      <c r="J46" s="6" t="n"/>
      <c r="K46" s="6" t="n"/>
    </row>
    <row r="47">
      <c r="A47" s="9" t="n"/>
      <c r="B47" s="9" t="n"/>
      <c r="C47" s="6" t="n"/>
      <c r="D47" s="6" t="n"/>
      <c r="E47" s="6" t="n"/>
      <c r="F47" s="6" t="n"/>
      <c r="G47" s="16">
        <f>IF(OR(E47="",F47=""),0,F47-E47)</f>
        <v/>
      </c>
      <c r="H47" s="6" t="n"/>
      <c r="I47" s="7" t="n"/>
      <c r="J47" s="6" t="n"/>
      <c r="K47" s="6" t="n"/>
    </row>
    <row r="48">
      <c r="A48" s="9" t="n"/>
      <c r="B48" s="9" t="n"/>
      <c r="C48" s="6" t="n"/>
      <c r="D48" s="6" t="n"/>
      <c r="E48" s="6" t="n"/>
      <c r="F48" s="6" t="n"/>
      <c r="G48" s="16">
        <f>IF(OR(E48="",F48=""),0,F48-E48)</f>
        <v/>
      </c>
      <c r="H48" s="6" t="n"/>
      <c r="I48" s="7" t="n"/>
      <c r="J48" s="6" t="n"/>
      <c r="K48" s="6" t="n"/>
    </row>
    <row r="49">
      <c r="A49" s="9" t="n"/>
      <c r="B49" s="9" t="n"/>
      <c r="C49" s="6" t="n"/>
      <c r="D49" s="6" t="n"/>
      <c r="E49" s="6" t="n"/>
      <c r="F49" s="6" t="n"/>
      <c r="G49" s="16">
        <f>IF(OR(E49="",F49=""),0,F49-E49)</f>
        <v/>
      </c>
      <c r="H49" s="6" t="n"/>
      <c r="I49" s="7" t="n"/>
      <c r="J49" s="6" t="n"/>
      <c r="K49" s="6" t="n"/>
    </row>
    <row r="50">
      <c r="A50" s="9" t="n"/>
      <c r="B50" s="9" t="n"/>
      <c r="C50" s="6" t="n"/>
      <c r="D50" s="6" t="n"/>
      <c r="E50" s="6" t="n"/>
      <c r="F50" s="6" t="n"/>
      <c r="G50" s="16">
        <f>IF(OR(E50="",F50=""),0,F50-E50)</f>
        <v/>
      </c>
      <c r="H50" s="6" t="n"/>
      <c r="I50" s="7" t="n"/>
      <c r="J50" s="6" t="n"/>
      <c r="K50" s="6" t="n"/>
    </row>
    <row r="51">
      <c r="A51" s="9" t="n"/>
      <c r="B51" s="9" t="n"/>
      <c r="C51" s="6" t="n"/>
      <c r="D51" s="6" t="n"/>
      <c r="E51" s="6" t="n"/>
      <c r="F51" s="6" t="n"/>
      <c r="G51" s="16">
        <f>IF(OR(E51="",F51=""),0,F51-E51)</f>
        <v/>
      </c>
      <c r="H51" s="6" t="n"/>
      <c r="I51" s="7" t="n"/>
      <c r="J51" s="6" t="n"/>
      <c r="K51" s="6" t="n"/>
    </row>
    <row r="52">
      <c r="A52" s="9" t="n"/>
      <c r="B52" s="9" t="n"/>
      <c r="C52" s="6" t="n"/>
      <c r="D52" s="6" t="n"/>
      <c r="E52" s="6" t="n"/>
      <c r="F52" s="6" t="n"/>
      <c r="G52" s="16">
        <f>IF(OR(E52="",F52=""),0,F52-E52)</f>
        <v/>
      </c>
      <c r="H52" s="6" t="n"/>
      <c r="I52" s="7" t="n"/>
      <c r="J52" s="6" t="n"/>
      <c r="K52" s="6" t="n"/>
    </row>
    <row r="53">
      <c r="A53" s="9" t="n"/>
      <c r="B53" s="9" t="n"/>
      <c r="C53" s="6" t="n"/>
      <c r="D53" s="6" t="n"/>
      <c r="E53" s="6" t="n"/>
      <c r="F53" s="6" t="n"/>
      <c r="G53" s="16">
        <f>IF(OR(E53="",F53=""),0,F53-E53)</f>
        <v/>
      </c>
      <c r="H53" s="6" t="n"/>
      <c r="I53" s="7" t="n"/>
      <c r="J53" s="6" t="n"/>
      <c r="K53" s="6" t="n"/>
    </row>
    <row r="54">
      <c r="A54" s="9" t="n"/>
      <c r="B54" s="9" t="n"/>
      <c r="C54" s="6" t="n"/>
      <c r="D54" s="6" t="n"/>
      <c r="E54" s="6" t="n"/>
      <c r="F54" s="6" t="n"/>
      <c r="G54" s="16">
        <f>IF(OR(E54="",F54=""),0,F54-E54)</f>
        <v/>
      </c>
      <c r="H54" s="6" t="n"/>
      <c r="I54" s="7" t="n"/>
      <c r="J54" s="6" t="n"/>
      <c r="K54" s="6" t="n"/>
    </row>
    <row r="55">
      <c r="A55" s="9" t="n"/>
      <c r="B55" s="9" t="n"/>
      <c r="C55" s="6" t="n"/>
      <c r="D55" s="6" t="n"/>
      <c r="E55" s="6" t="n"/>
      <c r="F55" s="6" t="n"/>
      <c r="G55" s="16">
        <f>IF(OR(E55="",F55=""),0,F55-E55)</f>
        <v/>
      </c>
      <c r="H55" s="6" t="n"/>
      <c r="I55" s="7" t="n"/>
      <c r="J55" s="6" t="n"/>
      <c r="K55" s="6" t="n"/>
    </row>
    <row r="56">
      <c r="A56" s="9" t="n"/>
      <c r="B56" s="9" t="n"/>
      <c r="C56" s="6" t="n"/>
      <c r="D56" s="6" t="n"/>
      <c r="E56" s="6" t="n"/>
      <c r="F56" s="6" t="n"/>
      <c r="G56" s="16">
        <f>IF(OR(E56="",F56=""),0,F56-E56)</f>
        <v/>
      </c>
      <c r="H56" s="6" t="n"/>
      <c r="I56" s="7" t="n"/>
      <c r="J56" s="6" t="n"/>
      <c r="K56" s="6" t="n"/>
    </row>
    <row r="57">
      <c r="A57" s="9" t="n"/>
      <c r="B57" s="9" t="n"/>
      <c r="C57" s="6" t="n"/>
      <c r="D57" s="6" t="n"/>
      <c r="E57" s="6" t="n"/>
      <c r="F57" s="6" t="n"/>
      <c r="G57" s="16">
        <f>IF(OR(E57="",F57=""),0,F57-E57)</f>
        <v/>
      </c>
      <c r="H57" s="6" t="n"/>
      <c r="I57" s="7" t="n"/>
      <c r="J57" s="6" t="n"/>
      <c r="K57" s="6" t="n"/>
    </row>
    <row r="58">
      <c r="A58" s="9" t="n"/>
      <c r="B58" s="9" t="n"/>
      <c r="C58" s="6" t="n"/>
      <c r="D58" s="6" t="n"/>
      <c r="E58" s="6" t="n"/>
      <c r="F58" s="6" t="n"/>
      <c r="G58" s="16">
        <f>IF(OR(E58="",F58=""),0,F58-E58)</f>
        <v/>
      </c>
      <c r="H58" s="6" t="n"/>
      <c r="I58" s="7" t="n"/>
      <c r="J58" s="6" t="n"/>
      <c r="K58" s="6" t="n"/>
    </row>
    <row r="59">
      <c r="A59" s="9" t="n"/>
      <c r="B59" s="9" t="n"/>
      <c r="C59" s="6" t="n"/>
      <c r="D59" s="6" t="n"/>
      <c r="E59" s="6" t="n"/>
      <c r="F59" s="6" t="n"/>
      <c r="G59" s="16">
        <f>IF(OR(E59="",F59=""),0,F59-E59)</f>
        <v/>
      </c>
      <c r="H59" s="6" t="n"/>
      <c r="I59" s="7" t="n"/>
      <c r="J59" s="6" t="n"/>
      <c r="K59" s="6" t="n"/>
    </row>
    <row r="60">
      <c r="A60" s="9" t="n"/>
      <c r="B60" s="9" t="n"/>
      <c r="C60" s="6" t="n"/>
      <c r="D60" s="6" t="n"/>
      <c r="E60" s="6" t="n"/>
      <c r="F60" s="6" t="n"/>
      <c r="G60" s="16">
        <f>IF(OR(E60="",F60=""),0,F60-E60)</f>
        <v/>
      </c>
      <c r="H60" s="6" t="n"/>
      <c r="I60" s="7" t="n"/>
      <c r="J60" s="6" t="n"/>
      <c r="K60" s="6" t="n"/>
    </row>
    <row r="61">
      <c r="A61" s="9" t="n"/>
      <c r="B61" s="9" t="n"/>
      <c r="C61" s="6" t="n"/>
      <c r="D61" s="6" t="n"/>
      <c r="E61" s="6" t="n"/>
      <c r="F61" s="6" t="n"/>
      <c r="G61" s="16">
        <f>IF(OR(E61="",F61=""),0,F61-E61)</f>
        <v/>
      </c>
      <c r="H61" s="6" t="n"/>
      <c r="I61" s="7" t="n"/>
      <c r="J61" s="6" t="n"/>
      <c r="K61" s="6" t="n"/>
    </row>
    <row r="62">
      <c r="A62" s="9" t="n"/>
      <c r="B62" s="9" t="n"/>
      <c r="C62" s="6" t="n"/>
      <c r="D62" s="6" t="n"/>
      <c r="E62" s="6" t="n"/>
      <c r="F62" s="6" t="n"/>
      <c r="G62" s="16">
        <f>IF(OR(E62="",F62=""),0,F62-E62)</f>
        <v/>
      </c>
      <c r="H62" s="6" t="n"/>
      <c r="I62" s="7" t="n"/>
      <c r="J62" s="6" t="n"/>
      <c r="K62" s="6" t="n"/>
    </row>
    <row r="63">
      <c r="A63" s="9" t="n"/>
      <c r="B63" s="9" t="n"/>
      <c r="C63" s="6" t="n"/>
      <c r="D63" s="6" t="n"/>
      <c r="E63" s="6" t="n"/>
      <c r="F63" s="6" t="n"/>
      <c r="G63" s="16">
        <f>IF(OR(E63="",F63=""),0,F63-E63)</f>
        <v/>
      </c>
      <c r="H63" s="6" t="n"/>
      <c r="I63" s="7" t="n"/>
      <c r="J63" s="6" t="n"/>
      <c r="K63" s="6" t="n"/>
    </row>
    <row r="64">
      <c r="A64" s="9" t="n"/>
      <c r="B64" s="9" t="n"/>
      <c r="C64" s="6" t="n"/>
      <c r="D64" s="6" t="n"/>
      <c r="E64" s="6" t="n"/>
      <c r="F64" s="6" t="n"/>
      <c r="G64" s="16">
        <f>IF(OR(E64="",F64=""),0,F64-E64)</f>
        <v/>
      </c>
      <c r="H64" s="6" t="n"/>
      <c r="I64" s="7" t="n"/>
      <c r="J64" s="6" t="n"/>
      <c r="K64" s="6" t="n"/>
    </row>
    <row r="65">
      <c r="A65" s="9" t="n"/>
      <c r="B65" s="9" t="n"/>
      <c r="C65" s="6" t="n"/>
      <c r="D65" s="6" t="n"/>
      <c r="E65" s="6" t="n"/>
      <c r="F65" s="6" t="n"/>
      <c r="G65" s="16">
        <f>IF(OR(E65="",F65=""),0,F65-E65)</f>
        <v/>
      </c>
      <c r="H65" s="6" t="n"/>
      <c r="I65" s="7" t="n"/>
      <c r="J65" s="6" t="n"/>
      <c r="K65" s="6" t="n"/>
    </row>
    <row r="66">
      <c r="A66" s="9" t="n"/>
      <c r="B66" s="9" t="n"/>
      <c r="C66" s="6" t="n"/>
      <c r="D66" s="6" t="n"/>
      <c r="E66" s="6" t="n"/>
      <c r="F66" s="6" t="n"/>
      <c r="G66" s="16">
        <f>IF(OR(E66="",F66=""),0,F66-E66)</f>
        <v/>
      </c>
      <c r="H66" s="6" t="n"/>
      <c r="I66" s="7" t="n"/>
      <c r="J66" s="6" t="n"/>
      <c r="K66" s="6" t="n"/>
    </row>
    <row r="67">
      <c r="A67" s="9" t="n"/>
      <c r="B67" s="9" t="n"/>
      <c r="C67" s="6" t="n"/>
      <c r="D67" s="6" t="n"/>
      <c r="E67" s="6" t="n"/>
      <c r="F67" s="6" t="n"/>
      <c r="G67" s="16">
        <f>IF(OR(E67="",F67=""),0,F67-E67)</f>
        <v/>
      </c>
      <c r="H67" s="6" t="n"/>
      <c r="I67" s="7" t="n"/>
      <c r="J67" s="6" t="n"/>
      <c r="K67" s="6" t="n"/>
    </row>
    <row r="68">
      <c r="A68" s="9" t="n"/>
      <c r="B68" s="9" t="n"/>
      <c r="C68" s="6" t="n"/>
      <c r="D68" s="6" t="n"/>
      <c r="E68" s="6" t="n"/>
      <c r="F68" s="6" t="n"/>
      <c r="G68" s="16">
        <f>IF(OR(E68="",F68=""),0,F68-E68)</f>
        <v/>
      </c>
      <c r="H68" s="6" t="n"/>
      <c r="I68" s="7" t="n"/>
      <c r="J68" s="6" t="n"/>
      <c r="K68" s="6" t="n"/>
    </row>
    <row r="69">
      <c r="A69" s="9" t="n"/>
      <c r="B69" s="9" t="n"/>
      <c r="C69" s="6" t="n"/>
      <c r="D69" s="6" t="n"/>
      <c r="E69" s="6" t="n"/>
      <c r="F69" s="6" t="n"/>
      <c r="G69" s="16">
        <f>IF(OR(E69="",F69=""),0,F69-E69)</f>
        <v/>
      </c>
      <c r="H69" s="6" t="n"/>
      <c r="I69" s="7" t="n"/>
      <c r="J69" s="6" t="n"/>
      <c r="K69" s="6" t="n"/>
    </row>
    <row r="70">
      <c r="A70" s="9" t="n"/>
      <c r="B70" s="9" t="n"/>
      <c r="C70" s="6" t="n"/>
      <c r="D70" s="6" t="n"/>
      <c r="E70" s="6" t="n"/>
      <c r="F70" s="6" t="n"/>
      <c r="G70" s="16">
        <f>IF(OR(E70="",F70=""),0,F70-E70)</f>
        <v/>
      </c>
      <c r="H70" s="6" t="n"/>
      <c r="I70" s="7" t="n"/>
      <c r="J70" s="6" t="n"/>
      <c r="K70" s="6" t="n"/>
    </row>
    <row r="71">
      <c r="A71" s="9" t="n"/>
      <c r="B71" s="9" t="n"/>
      <c r="C71" s="6" t="n"/>
      <c r="D71" s="6" t="n"/>
      <c r="E71" s="6" t="n"/>
      <c r="F71" s="6" t="n"/>
      <c r="G71" s="16">
        <f>IF(OR(E71="",F71=""),0,F71-E71)</f>
        <v/>
      </c>
      <c r="H71" s="6" t="n"/>
      <c r="I71" s="7" t="n"/>
      <c r="J71" s="6" t="n"/>
      <c r="K71" s="6" t="n"/>
    </row>
    <row r="72">
      <c r="A72" s="9" t="n"/>
      <c r="B72" s="9" t="n"/>
      <c r="C72" s="6" t="n"/>
      <c r="D72" s="6" t="n"/>
      <c r="E72" s="6" t="n"/>
      <c r="F72" s="6" t="n"/>
      <c r="G72" s="16">
        <f>IF(OR(E72="",F72=""),0,F72-E72)</f>
        <v/>
      </c>
      <c r="H72" s="6" t="n"/>
      <c r="I72" s="7" t="n"/>
      <c r="J72" s="6" t="n"/>
      <c r="K72" s="6" t="n"/>
    </row>
    <row r="73">
      <c r="A73" s="9" t="n"/>
      <c r="B73" s="9" t="n"/>
      <c r="C73" s="6" t="n"/>
      <c r="D73" s="6" t="n"/>
      <c r="E73" s="6" t="n"/>
      <c r="F73" s="6" t="n"/>
      <c r="G73" s="16">
        <f>IF(OR(E73="",F73=""),0,F73-E73)</f>
        <v/>
      </c>
      <c r="H73" s="6" t="n"/>
      <c r="I73" s="7" t="n"/>
      <c r="J73" s="6" t="n"/>
      <c r="K73" s="6" t="n"/>
    </row>
    <row r="74">
      <c r="A74" s="9" t="n"/>
      <c r="B74" s="9" t="n"/>
      <c r="C74" s="6" t="n"/>
      <c r="D74" s="6" t="n"/>
      <c r="E74" s="6" t="n"/>
      <c r="F74" s="6" t="n"/>
      <c r="G74" s="16">
        <f>IF(OR(E74="",F74=""),0,F74-E74)</f>
        <v/>
      </c>
      <c r="H74" s="6" t="n"/>
      <c r="I74" s="7" t="n"/>
      <c r="J74" s="6" t="n"/>
      <c r="K74" s="6" t="n"/>
    </row>
    <row r="75">
      <c r="A75" s="9" t="n"/>
      <c r="B75" s="9" t="n"/>
      <c r="C75" s="6" t="n"/>
      <c r="D75" s="6" t="n"/>
      <c r="E75" s="6" t="n"/>
      <c r="F75" s="6" t="n"/>
      <c r="G75" s="16">
        <f>IF(OR(E75="",F75=""),0,F75-E75)</f>
        <v/>
      </c>
      <c r="H75" s="6" t="n"/>
      <c r="I75" s="7" t="n"/>
      <c r="J75" s="6" t="n"/>
      <c r="K75" s="6" t="n"/>
    </row>
    <row r="76">
      <c r="A76" s="9" t="n"/>
      <c r="B76" s="9" t="n"/>
      <c r="C76" s="6" t="n"/>
      <c r="D76" s="6" t="n"/>
      <c r="E76" s="6" t="n"/>
      <c r="F76" s="6" t="n"/>
      <c r="G76" s="16">
        <f>IF(OR(E76="",F76=""),0,F76-E76)</f>
        <v/>
      </c>
      <c r="H76" s="6" t="n"/>
      <c r="I76" s="7" t="n"/>
      <c r="J76" s="6" t="n"/>
      <c r="K76" s="6" t="n"/>
    </row>
    <row r="77">
      <c r="A77" s="9" t="n"/>
      <c r="B77" s="9" t="n"/>
      <c r="C77" s="6" t="n"/>
      <c r="D77" s="6" t="n"/>
      <c r="E77" s="6" t="n"/>
      <c r="F77" s="6" t="n"/>
      <c r="G77" s="16">
        <f>IF(OR(E77="",F77=""),0,F77-E77)</f>
        <v/>
      </c>
      <c r="H77" s="6" t="n"/>
      <c r="I77" s="7" t="n"/>
      <c r="J77" s="6" t="n"/>
      <c r="K77" s="6" t="n"/>
    </row>
    <row r="78">
      <c r="A78" s="9" t="n"/>
      <c r="B78" s="9" t="n"/>
      <c r="C78" s="6" t="n"/>
      <c r="D78" s="6" t="n"/>
      <c r="E78" s="6" t="n"/>
      <c r="F78" s="6" t="n"/>
      <c r="G78" s="16">
        <f>IF(OR(E78="",F78=""),0,F78-E78)</f>
        <v/>
      </c>
      <c r="H78" s="6" t="n"/>
      <c r="I78" s="7" t="n"/>
      <c r="J78" s="6" t="n"/>
      <c r="K78" s="6" t="n"/>
    </row>
    <row r="79">
      <c r="A79" s="9" t="n"/>
      <c r="B79" s="9" t="n"/>
      <c r="C79" s="6" t="n"/>
      <c r="D79" s="6" t="n"/>
      <c r="E79" s="6" t="n"/>
      <c r="F79" s="6" t="n"/>
      <c r="G79" s="16">
        <f>IF(OR(E79="",F79=""),0,F79-E79)</f>
        <v/>
      </c>
      <c r="H79" s="6" t="n"/>
      <c r="I79" s="7" t="n"/>
      <c r="J79" s="6" t="n"/>
      <c r="K79" s="6" t="n"/>
    </row>
    <row r="80">
      <c r="A80" s="9" t="n"/>
      <c r="B80" s="9" t="n"/>
      <c r="C80" s="6" t="n"/>
      <c r="D80" s="6" t="n"/>
      <c r="E80" s="6" t="n"/>
      <c r="F80" s="6" t="n"/>
      <c r="G80" s="16">
        <f>IF(OR(E80="",F80=""),0,F80-E80)</f>
        <v/>
      </c>
      <c r="H80" s="6" t="n"/>
      <c r="I80" s="7" t="n"/>
      <c r="J80" s="6" t="n"/>
      <c r="K80" s="6" t="n"/>
    </row>
    <row r="81">
      <c r="A81" s="9" t="n"/>
      <c r="B81" s="9" t="n"/>
      <c r="C81" s="6" t="n"/>
      <c r="D81" s="6" t="n"/>
      <c r="E81" s="6" t="n"/>
      <c r="F81" s="6" t="n"/>
      <c r="G81" s="16">
        <f>IF(OR(E81="",F81=""),0,F81-E81)</f>
        <v/>
      </c>
      <c r="H81" s="6" t="n"/>
      <c r="I81" s="7" t="n"/>
      <c r="J81" s="6" t="n"/>
      <c r="K81" s="6" t="n"/>
    </row>
    <row r="82">
      <c r="A82" s="9" t="n"/>
      <c r="B82" s="9" t="n"/>
      <c r="C82" s="6" t="n"/>
      <c r="D82" s="6" t="n"/>
      <c r="E82" s="6" t="n"/>
      <c r="F82" s="6" t="n"/>
      <c r="G82" s="16">
        <f>IF(OR(E82="",F82=""),0,F82-E82)</f>
        <v/>
      </c>
      <c r="H82" s="6" t="n"/>
      <c r="I82" s="7" t="n"/>
      <c r="J82" s="6" t="n"/>
      <c r="K82" s="6" t="n"/>
    </row>
    <row r="83">
      <c r="A83" s="9" t="n"/>
      <c r="B83" s="9" t="n"/>
      <c r="C83" s="6" t="n"/>
      <c r="D83" s="6" t="n"/>
      <c r="E83" s="6" t="n"/>
      <c r="F83" s="6" t="n"/>
      <c r="G83" s="16">
        <f>IF(OR(E83="",F83=""),0,F83-E83)</f>
        <v/>
      </c>
      <c r="H83" s="6" t="n"/>
      <c r="I83" s="7" t="n"/>
      <c r="J83" s="6" t="n"/>
      <c r="K83" s="6" t="n"/>
    </row>
    <row r="84">
      <c r="A84" s="9" t="n"/>
      <c r="B84" s="9" t="n"/>
      <c r="C84" s="6" t="n"/>
      <c r="D84" s="6" t="n"/>
      <c r="E84" s="6" t="n"/>
      <c r="F84" s="6" t="n"/>
      <c r="G84" s="16">
        <f>IF(OR(E84="",F84=""),0,F84-E84)</f>
        <v/>
      </c>
      <c r="H84" s="6" t="n"/>
      <c r="I84" s="7" t="n"/>
      <c r="J84" s="6" t="n"/>
      <c r="K84" s="6" t="n"/>
    </row>
    <row r="85">
      <c r="A85" s="9" t="n"/>
      <c r="B85" s="9" t="n"/>
      <c r="C85" s="6" t="n"/>
      <c r="D85" s="6" t="n"/>
      <c r="E85" s="6" t="n"/>
      <c r="F85" s="6" t="n"/>
      <c r="G85" s="16">
        <f>IF(OR(E85="",F85=""),0,F85-E85)</f>
        <v/>
      </c>
      <c r="H85" s="6" t="n"/>
      <c r="I85" s="7" t="n"/>
      <c r="J85" s="6" t="n"/>
      <c r="K85" s="6" t="n"/>
    </row>
    <row r="86">
      <c r="A86" s="9" t="n"/>
      <c r="B86" s="9" t="n"/>
      <c r="C86" s="6" t="n"/>
      <c r="D86" s="6" t="n"/>
      <c r="E86" s="6" t="n"/>
      <c r="F86" s="6" t="n"/>
      <c r="G86" s="16">
        <f>IF(OR(E86="",F86=""),0,F86-E86)</f>
        <v/>
      </c>
      <c r="H86" s="6" t="n"/>
      <c r="I86" s="7" t="n"/>
      <c r="J86" s="6" t="n"/>
      <c r="K86" s="6" t="n"/>
    </row>
    <row r="87">
      <c r="A87" s="9" t="n"/>
      <c r="B87" s="9" t="n"/>
      <c r="C87" s="6" t="n"/>
      <c r="D87" s="6" t="n"/>
      <c r="E87" s="6" t="n"/>
      <c r="F87" s="6" t="n"/>
      <c r="G87" s="16">
        <f>IF(OR(E87="",F87=""),0,F87-E87)</f>
        <v/>
      </c>
      <c r="H87" s="6" t="n"/>
      <c r="I87" s="7" t="n"/>
      <c r="J87" s="6" t="n"/>
      <c r="K87" s="6" t="n"/>
    </row>
    <row r="88">
      <c r="A88" s="9" t="n"/>
      <c r="B88" s="9" t="n"/>
      <c r="C88" s="6" t="n"/>
      <c r="D88" s="6" t="n"/>
      <c r="E88" s="6" t="n"/>
      <c r="F88" s="6" t="n"/>
      <c r="G88" s="16">
        <f>IF(OR(E88="",F88=""),0,F88-E88)</f>
        <v/>
      </c>
      <c r="H88" s="6" t="n"/>
      <c r="I88" s="7" t="n"/>
      <c r="J88" s="6" t="n"/>
      <c r="K88" s="6" t="n"/>
    </row>
    <row r="89">
      <c r="A89" s="9" t="n"/>
      <c r="B89" s="9" t="n"/>
      <c r="C89" s="6" t="n"/>
      <c r="D89" s="6" t="n"/>
      <c r="E89" s="6" t="n"/>
      <c r="F89" s="6" t="n"/>
      <c r="G89" s="16">
        <f>IF(OR(E89="",F89=""),0,F89-E89)</f>
        <v/>
      </c>
      <c r="H89" s="6" t="n"/>
      <c r="I89" s="7" t="n"/>
      <c r="J89" s="6" t="n"/>
      <c r="K89" s="6" t="n"/>
    </row>
    <row r="90">
      <c r="A90" s="9" t="n"/>
      <c r="B90" s="9" t="n"/>
      <c r="C90" s="6" t="n"/>
      <c r="D90" s="6" t="n"/>
      <c r="E90" s="6" t="n"/>
      <c r="F90" s="6" t="n"/>
      <c r="G90" s="16">
        <f>IF(OR(E90="",F90=""),0,F90-E90)</f>
        <v/>
      </c>
      <c r="H90" s="6" t="n"/>
      <c r="I90" s="7" t="n"/>
      <c r="J90" s="6" t="n"/>
      <c r="K90" s="6" t="n"/>
    </row>
    <row r="91">
      <c r="A91" s="9" t="n"/>
      <c r="B91" s="9" t="n"/>
      <c r="C91" s="6" t="n"/>
      <c r="D91" s="6" t="n"/>
      <c r="E91" s="6" t="n"/>
      <c r="F91" s="6" t="n"/>
      <c r="G91" s="16">
        <f>IF(OR(E91="",F91=""),0,F91-E91)</f>
        <v/>
      </c>
      <c r="H91" s="6" t="n"/>
      <c r="I91" s="7" t="n"/>
      <c r="J91" s="6" t="n"/>
      <c r="K91" s="6" t="n"/>
    </row>
    <row r="92">
      <c r="A92" s="9" t="n"/>
      <c r="B92" s="9" t="n"/>
      <c r="C92" s="6" t="n"/>
      <c r="D92" s="6" t="n"/>
      <c r="E92" s="6" t="n"/>
      <c r="F92" s="6" t="n"/>
      <c r="G92" s="16">
        <f>IF(OR(E92="",F92=""),0,F92-E92)</f>
        <v/>
      </c>
      <c r="H92" s="6" t="n"/>
      <c r="I92" s="7" t="n"/>
      <c r="J92" s="6" t="n"/>
      <c r="K92" s="6" t="n"/>
    </row>
    <row r="93">
      <c r="A93" s="9" t="n"/>
      <c r="B93" s="9" t="n"/>
      <c r="C93" s="6" t="n"/>
      <c r="D93" s="6" t="n"/>
      <c r="E93" s="6" t="n"/>
      <c r="F93" s="6" t="n"/>
      <c r="G93" s="16">
        <f>IF(OR(E93="",F93=""),0,F93-E93)</f>
        <v/>
      </c>
      <c r="H93" s="6" t="n"/>
      <c r="I93" s="7" t="n"/>
      <c r="J93" s="6" t="n"/>
      <c r="K93" s="6" t="n"/>
    </row>
    <row r="94">
      <c r="A94" s="9" t="n"/>
      <c r="B94" s="9" t="n"/>
      <c r="C94" s="6" t="n"/>
      <c r="D94" s="6" t="n"/>
      <c r="E94" s="6" t="n"/>
      <c r="F94" s="6" t="n"/>
      <c r="G94" s="16">
        <f>IF(OR(E94="",F94=""),0,F94-E94)</f>
        <v/>
      </c>
      <c r="H94" s="6" t="n"/>
      <c r="I94" s="7" t="n"/>
      <c r="J94" s="6" t="n"/>
      <c r="K94" s="6" t="n"/>
    </row>
    <row r="95">
      <c r="A95" s="9" t="n"/>
      <c r="B95" s="9" t="n"/>
      <c r="C95" s="6" t="n"/>
      <c r="D95" s="6" t="n"/>
      <c r="E95" s="6" t="n"/>
      <c r="F95" s="6" t="n"/>
      <c r="G95" s="16">
        <f>IF(OR(E95="",F95=""),0,F95-E95)</f>
        <v/>
      </c>
      <c r="H95" s="6" t="n"/>
      <c r="I95" s="7" t="n"/>
      <c r="J95" s="6" t="n"/>
      <c r="K95" s="6" t="n"/>
    </row>
    <row r="96">
      <c r="A96" s="9" t="n"/>
      <c r="B96" s="9" t="n"/>
      <c r="C96" s="6" t="n"/>
      <c r="D96" s="6" t="n"/>
      <c r="E96" s="6" t="n"/>
      <c r="F96" s="6" t="n"/>
      <c r="G96" s="16">
        <f>IF(OR(E96="",F96=""),0,F96-E96)</f>
        <v/>
      </c>
      <c r="H96" s="6" t="n"/>
      <c r="I96" s="7" t="n"/>
      <c r="J96" s="6" t="n"/>
      <c r="K96" s="6" t="n"/>
    </row>
    <row r="97">
      <c r="A97" s="9" t="n"/>
      <c r="B97" s="9" t="n"/>
      <c r="C97" s="6" t="n"/>
      <c r="D97" s="6" t="n"/>
      <c r="E97" s="6" t="n"/>
      <c r="F97" s="6" t="n"/>
      <c r="G97" s="16">
        <f>IF(OR(E97="",F97=""),0,F97-E97)</f>
        <v/>
      </c>
      <c r="H97" s="6" t="n"/>
      <c r="I97" s="7" t="n"/>
      <c r="J97" s="6" t="n"/>
      <c r="K97" s="6" t="n"/>
    </row>
    <row r="98">
      <c r="A98" s="9" t="n"/>
      <c r="B98" s="9" t="n"/>
      <c r="C98" s="6" t="n"/>
      <c r="D98" s="6" t="n"/>
      <c r="E98" s="6" t="n"/>
      <c r="F98" s="6" t="n"/>
      <c r="G98" s="16">
        <f>IF(OR(E98="",F98=""),0,F98-E98)</f>
        <v/>
      </c>
      <c r="H98" s="6" t="n"/>
      <c r="I98" s="7" t="n"/>
      <c r="J98" s="6" t="n"/>
      <c r="K98" s="6" t="n"/>
    </row>
    <row r="99">
      <c r="A99" s="9" t="n"/>
      <c r="B99" s="9" t="n"/>
      <c r="C99" s="6" t="n"/>
      <c r="D99" s="6" t="n"/>
      <c r="E99" s="6" t="n"/>
      <c r="F99" s="6" t="n"/>
      <c r="G99" s="16">
        <f>IF(OR(E99="",F99=""),0,F99-E99)</f>
        <v/>
      </c>
      <c r="H99" s="6" t="n"/>
      <c r="I99" s="7" t="n"/>
      <c r="J99" s="6" t="n"/>
      <c r="K99" s="6" t="n"/>
    </row>
    <row r="100">
      <c r="A100" s="9" t="n"/>
      <c r="B100" s="9" t="n"/>
      <c r="C100" s="6" t="n"/>
      <c r="D100" s="6" t="n"/>
      <c r="E100" s="6" t="n"/>
      <c r="F100" s="6" t="n"/>
      <c r="G100" s="16">
        <f>IF(OR(E100="",F100=""),0,F100-E100)</f>
        <v/>
      </c>
      <c r="H100" s="6" t="n"/>
      <c r="I100" s="7" t="n"/>
      <c r="J100" s="6" t="n"/>
      <c r="K100" s="6" t="n"/>
    </row>
    <row r="101">
      <c r="A101" s="9" t="n"/>
      <c r="B101" s="9" t="n"/>
      <c r="C101" s="6" t="n"/>
      <c r="D101" s="6" t="n"/>
      <c r="E101" s="6" t="n"/>
      <c r="F101" s="6" t="n"/>
      <c r="G101" s="16">
        <f>IF(OR(E101="",F101=""),0,F101-E101)</f>
        <v/>
      </c>
      <c r="H101" s="6" t="n"/>
      <c r="I101" s="7" t="n"/>
      <c r="J101" s="6" t="n"/>
      <c r="K101" s="6" t="n"/>
    </row>
    <row r="102">
      <c r="A102" s="9" t="n"/>
      <c r="B102" s="9" t="n"/>
      <c r="C102" s="6" t="n"/>
      <c r="D102" s="6" t="n"/>
      <c r="E102" s="6" t="n"/>
      <c r="F102" s="6" t="n"/>
      <c r="G102" s="16">
        <f>IF(OR(E102="",F102=""),0,F102-E102)</f>
        <v/>
      </c>
      <c r="H102" s="6" t="n"/>
      <c r="I102" s="7" t="n"/>
      <c r="J102" s="6" t="n"/>
      <c r="K102" s="6" t="n"/>
    </row>
    <row r="103">
      <c r="A103" s="9" t="n"/>
      <c r="B103" s="9" t="n"/>
      <c r="C103" s="6" t="n"/>
      <c r="D103" s="6" t="n"/>
      <c r="E103" s="6" t="n"/>
      <c r="F103" s="6" t="n"/>
      <c r="G103" s="16">
        <f>IF(OR(E103="",F103=""),0,F103-E103)</f>
        <v/>
      </c>
      <c r="H103" s="6" t="n"/>
      <c r="I103" s="7" t="n"/>
      <c r="J103" s="6" t="n"/>
      <c r="K103" s="6" t="n"/>
    </row>
    <row r="104">
      <c r="A104" s="9" t="n"/>
      <c r="B104" s="9" t="n"/>
      <c r="C104" s="6" t="n"/>
      <c r="D104" s="6" t="n"/>
      <c r="E104" s="6" t="n"/>
      <c r="F104" s="6" t="n"/>
      <c r="G104" s="16">
        <f>IF(OR(E104="",F104=""),0,F104-E104)</f>
        <v/>
      </c>
      <c r="H104" s="6" t="n"/>
      <c r="I104" s="7" t="n"/>
      <c r="J104" s="6" t="n"/>
      <c r="K104" s="6" t="n"/>
    </row>
    <row r="105">
      <c r="A105" s="9" t="n"/>
      <c r="B105" s="9" t="n"/>
      <c r="C105" s="6" t="n"/>
      <c r="D105" s="6" t="n"/>
      <c r="E105" s="6" t="n"/>
      <c r="F105" s="6" t="n"/>
      <c r="G105" s="16">
        <f>IF(OR(E105="",F105=""),0,F105-E105)</f>
        <v/>
      </c>
      <c r="H105" s="6" t="n"/>
      <c r="I105" s="7" t="n"/>
      <c r="J105" s="6" t="n"/>
      <c r="K105" s="6" t="n"/>
    </row>
    <row r="106">
      <c r="A106" s="9" t="n"/>
      <c r="B106" s="9" t="n"/>
      <c r="C106" s="6" t="n"/>
      <c r="D106" s="6" t="n"/>
      <c r="E106" s="6" t="n"/>
      <c r="F106" s="6" t="n"/>
      <c r="G106" s="16">
        <f>IF(OR(E106="",F106=""),0,F106-E106)</f>
        <v/>
      </c>
      <c r="H106" s="6" t="n"/>
      <c r="I106" s="7" t="n"/>
      <c r="J106" s="6" t="n"/>
      <c r="K106" s="6" t="n"/>
    </row>
    <row r="107">
      <c r="A107" s="9" t="n"/>
      <c r="B107" s="9" t="n"/>
      <c r="C107" s="6" t="n"/>
      <c r="D107" s="6" t="n"/>
      <c r="E107" s="6" t="n"/>
      <c r="F107" s="6" t="n"/>
      <c r="G107" s="16">
        <f>IF(OR(E107="",F107=""),0,F107-E107)</f>
        <v/>
      </c>
      <c r="H107" s="6" t="n"/>
      <c r="I107" s="7" t="n"/>
      <c r="J107" s="6" t="n"/>
      <c r="K107" s="6" t="n"/>
    </row>
    <row r="108">
      <c r="A108" s="9" t="n"/>
      <c r="B108" s="9" t="n"/>
      <c r="C108" s="6" t="n"/>
      <c r="D108" s="6" t="n"/>
      <c r="E108" s="6" t="n"/>
      <c r="F108" s="6" t="n"/>
      <c r="G108" s="16">
        <f>IF(OR(E108="",F108=""),0,F108-E108)</f>
        <v/>
      </c>
      <c r="H108" s="6" t="n"/>
      <c r="I108" s="7" t="n"/>
      <c r="J108" s="6" t="n"/>
      <c r="K108" s="6" t="n"/>
    </row>
    <row r="109">
      <c r="A109" s="9" t="n"/>
      <c r="B109" s="9" t="n"/>
      <c r="C109" s="6" t="n"/>
      <c r="D109" s="6" t="n"/>
      <c r="E109" s="6" t="n"/>
      <c r="F109" s="6" t="n"/>
      <c r="G109" s="16">
        <f>IF(OR(E109="",F109=""),0,F109-E109)</f>
        <v/>
      </c>
      <c r="H109" s="6" t="n"/>
      <c r="I109" s="7" t="n"/>
      <c r="J109" s="6" t="n"/>
      <c r="K109" s="6" t="n"/>
    </row>
    <row r="110">
      <c r="A110" s="9" t="n"/>
      <c r="B110" s="9" t="n"/>
      <c r="C110" s="6" t="n"/>
      <c r="D110" s="6" t="n"/>
      <c r="E110" s="6" t="n"/>
      <c r="F110" s="6" t="n"/>
      <c r="G110" s="16">
        <f>IF(OR(E110="",F110=""),0,F110-E110)</f>
        <v/>
      </c>
      <c r="H110" s="6" t="n"/>
      <c r="I110" s="7" t="n"/>
      <c r="J110" s="6" t="n"/>
      <c r="K110" s="6" t="n"/>
    </row>
    <row r="111">
      <c r="A111" s="9" t="n"/>
      <c r="B111" s="9" t="n"/>
      <c r="C111" s="6" t="n"/>
      <c r="D111" s="6" t="n"/>
      <c r="E111" s="6" t="n"/>
      <c r="F111" s="6" t="n"/>
      <c r="G111" s="16">
        <f>IF(OR(E111="",F111=""),0,F111-E111)</f>
        <v/>
      </c>
      <c r="H111" s="6" t="n"/>
      <c r="I111" s="7" t="n"/>
      <c r="J111" s="6" t="n"/>
      <c r="K111" s="6" t="n"/>
    </row>
    <row r="112">
      <c r="A112" s="9" t="n"/>
      <c r="B112" s="9" t="n"/>
      <c r="C112" s="6" t="n"/>
      <c r="D112" s="6" t="n"/>
      <c r="E112" s="6" t="n"/>
      <c r="F112" s="6" t="n"/>
      <c r="G112" s="16">
        <f>IF(OR(E112="",F112=""),0,F112-E112)</f>
        <v/>
      </c>
      <c r="H112" s="6" t="n"/>
      <c r="I112" s="7" t="n"/>
      <c r="J112" s="6" t="n"/>
      <c r="K112" s="6" t="n"/>
    </row>
    <row r="113">
      <c r="A113" s="9" t="n"/>
      <c r="B113" s="9" t="n"/>
      <c r="C113" s="6" t="n"/>
      <c r="D113" s="6" t="n"/>
      <c r="E113" s="6" t="n"/>
      <c r="F113" s="6" t="n"/>
      <c r="G113" s="16">
        <f>IF(OR(E113="",F113=""),0,F113-E113)</f>
        <v/>
      </c>
      <c r="H113" s="6" t="n"/>
      <c r="I113" s="7" t="n"/>
      <c r="J113" s="6" t="n"/>
      <c r="K113" s="6" t="n"/>
    </row>
    <row r="114">
      <c r="A114" s="9" t="n"/>
      <c r="B114" s="9" t="n"/>
      <c r="C114" s="6" t="n"/>
      <c r="D114" s="6" t="n"/>
      <c r="E114" s="6" t="n"/>
      <c r="F114" s="6" t="n"/>
      <c r="G114" s="16">
        <f>IF(OR(E114="",F114=""),0,F114-E114)</f>
        <v/>
      </c>
      <c r="H114" s="6" t="n"/>
      <c r="I114" s="7" t="n"/>
      <c r="J114" s="6" t="n"/>
      <c r="K114" s="6" t="n"/>
    </row>
    <row r="115">
      <c r="A115" s="9" t="n"/>
      <c r="B115" s="9" t="n"/>
      <c r="C115" s="6" t="n"/>
      <c r="D115" s="6" t="n"/>
      <c r="E115" s="6" t="n"/>
      <c r="F115" s="6" t="n"/>
      <c r="G115" s="16">
        <f>IF(OR(E115="",F115=""),0,F115-E115)</f>
        <v/>
      </c>
      <c r="H115" s="6" t="n"/>
      <c r="I115" s="7" t="n"/>
      <c r="J115" s="6" t="n"/>
      <c r="K115" s="6" t="n"/>
    </row>
    <row r="116">
      <c r="A116" s="9" t="n"/>
      <c r="B116" s="9" t="n"/>
      <c r="C116" s="6" t="n"/>
      <c r="D116" s="6" t="n"/>
      <c r="E116" s="6" t="n"/>
      <c r="F116" s="6" t="n"/>
      <c r="G116" s="16">
        <f>IF(OR(E116="",F116=""),0,F116-E116)</f>
        <v/>
      </c>
      <c r="H116" s="6" t="n"/>
      <c r="I116" s="7" t="n"/>
      <c r="J116" s="6" t="n"/>
      <c r="K116" s="6" t="n"/>
    </row>
    <row r="117">
      <c r="A117" s="9" t="n"/>
      <c r="B117" s="9" t="n"/>
      <c r="C117" s="6" t="n"/>
      <c r="D117" s="6" t="n"/>
      <c r="E117" s="6" t="n"/>
      <c r="F117" s="6" t="n"/>
      <c r="G117" s="16">
        <f>IF(OR(E117="",F117=""),0,F117-E117)</f>
        <v/>
      </c>
      <c r="H117" s="6" t="n"/>
      <c r="I117" s="7" t="n"/>
      <c r="J117" s="6" t="n"/>
      <c r="K117" s="6" t="n"/>
    </row>
    <row r="118">
      <c r="A118" s="9" t="n"/>
      <c r="B118" s="9" t="n"/>
      <c r="C118" s="6" t="n"/>
      <c r="D118" s="6" t="n"/>
      <c r="E118" s="6" t="n"/>
      <c r="F118" s="6" t="n"/>
      <c r="G118" s="16">
        <f>IF(OR(E118="",F118=""),0,F118-E118)</f>
        <v/>
      </c>
      <c r="H118" s="6" t="n"/>
      <c r="I118" s="7" t="n"/>
      <c r="J118" s="6" t="n"/>
      <c r="K118" s="6" t="n"/>
    </row>
    <row r="119">
      <c r="A119" s="9" t="n"/>
      <c r="B119" s="9" t="n"/>
      <c r="C119" s="6" t="n"/>
      <c r="D119" s="6" t="n"/>
      <c r="E119" s="6" t="n"/>
      <c r="F119" s="6" t="n"/>
      <c r="G119" s="16">
        <f>IF(OR(E119="",F119=""),0,F119-E119)</f>
        <v/>
      </c>
      <c r="H119" s="6" t="n"/>
      <c r="I119" s="7" t="n"/>
      <c r="J119" s="6" t="n"/>
      <c r="K119" s="6" t="n"/>
    </row>
    <row r="120">
      <c r="A120" s="9" t="n"/>
      <c r="B120" s="9" t="n"/>
      <c r="C120" s="6" t="n"/>
      <c r="D120" s="6" t="n"/>
      <c r="E120" s="6" t="n"/>
      <c r="F120" s="6" t="n"/>
      <c r="G120" s="16">
        <f>IF(OR(E120="",F120=""),0,F120-E120)</f>
        <v/>
      </c>
      <c r="H120" s="6" t="n"/>
      <c r="I120" s="7" t="n"/>
      <c r="J120" s="6" t="n"/>
      <c r="K120" s="6" t="n"/>
    </row>
    <row r="121">
      <c r="A121" s="9" t="n"/>
      <c r="B121" s="9" t="n"/>
      <c r="C121" s="6" t="n"/>
      <c r="D121" s="6" t="n"/>
      <c r="E121" s="6" t="n"/>
      <c r="F121" s="6" t="n"/>
      <c r="G121" s="16">
        <f>IF(OR(E121="",F121=""),0,F121-E121)</f>
        <v/>
      </c>
      <c r="H121" s="6" t="n"/>
      <c r="I121" s="7" t="n"/>
      <c r="J121" s="6" t="n"/>
      <c r="K121" s="6" t="n"/>
    </row>
    <row r="122">
      <c r="A122" s="9" t="n"/>
      <c r="B122" s="9" t="n"/>
      <c r="C122" s="6" t="n"/>
      <c r="D122" s="6" t="n"/>
      <c r="E122" s="6" t="n"/>
      <c r="F122" s="6" t="n"/>
      <c r="G122" s="16">
        <f>IF(OR(E122="",F122=""),0,F122-E122)</f>
        <v/>
      </c>
      <c r="H122" s="6" t="n"/>
      <c r="I122" s="7" t="n"/>
      <c r="J122" s="6" t="n"/>
      <c r="K122" s="6" t="n"/>
    </row>
    <row r="123">
      <c r="A123" s="9" t="n"/>
      <c r="B123" s="9" t="n"/>
      <c r="C123" s="6" t="n"/>
      <c r="D123" s="6" t="n"/>
      <c r="E123" s="6" t="n"/>
      <c r="F123" s="6" t="n"/>
      <c r="G123" s="16">
        <f>IF(OR(E123="",F123=""),0,F123-E123)</f>
        <v/>
      </c>
      <c r="H123" s="6" t="n"/>
      <c r="I123" s="7" t="n"/>
      <c r="J123" s="6" t="n"/>
      <c r="K123" s="6" t="n"/>
    </row>
    <row r="124">
      <c r="A124" s="9" t="n"/>
      <c r="B124" s="9" t="n"/>
      <c r="C124" s="6" t="n"/>
      <c r="D124" s="6" t="n"/>
      <c r="E124" s="6" t="n"/>
      <c r="F124" s="6" t="n"/>
      <c r="G124" s="16">
        <f>IF(OR(E124="",F124=""),0,F124-E124)</f>
        <v/>
      </c>
      <c r="H124" s="6" t="n"/>
      <c r="I124" s="7" t="n"/>
      <c r="J124" s="6" t="n"/>
      <c r="K124" s="6" t="n"/>
    </row>
    <row r="125">
      <c r="A125" s="9" t="n"/>
      <c r="B125" s="9" t="n"/>
      <c r="C125" s="6" t="n"/>
      <c r="D125" s="6" t="n"/>
      <c r="E125" s="6" t="n"/>
      <c r="F125" s="6" t="n"/>
      <c r="G125" s="16">
        <f>IF(OR(E125="",F125=""),0,F125-E125)</f>
        <v/>
      </c>
      <c r="H125" s="6" t="n"/>
      <c r="I125" s="7" t="n"/>
      <c r="J125" s="6" t="n"/>
      <c r="K125" s="6" t="n"/>
    </row>
    <row r="126">
      <c r="A126" s="9" t="n"/>
      <c r="B126" s="9" t="n"/>
      <c r="C126" s="6" t="n"/>
      <c r="D126" s="6" t="n"/>
      <c r="E126" s="6" t="n"/>
      <c r="F126" s="6" t="n"/>
      <c r="G126" s="16">
        <f>IF(OR(E126="",F126=""),0,F126-E126)</f>
        <v/>
      </c>
      <c r="H126" s="6" t="n"/>
      <c r="I126" s="7" t="n"/>
      <c r="J126" s="6" t="n"/>
      <c r="K126" s="6" t="n"/>
    </row>
    <row r="127">
      <c r="A127" s="9" t="n"/>
      <c r="B127" s="9" t="n"/>
      <c r="C127" s="6" t="n"/>
      <c r="D127" s="6" t="n"/>
      <c r="E127" s="6" t="n"/>
      <c r="F127" s="6" t="n"/>
      <c r="G127" s="16">
        <f>IF(OR(E127="",F127=""),0,F127-E127)</f>
        <v/>
      </c>
      <c r="H127" s="6" t="n"/>
      <c r="I127" s="7" t="n"/>
      <c r="J127" s="6" t="n"/>
      <c r="K127" s="6" t="n"/>
    </row>
    <row r="128">
      <c r="A128" s="9" t="n"/>
      <c r="B128" s="9" t="n"/>
      <c r="C128" s="6" t="n"/>
      <c r="D128" s="6" t="n"/>
      <c r="E128" s="6" t="n"/>
      <c r="F128" s="6" t="n"/>
      <c r="G128" s="16">
        <f>IF(OR(E128="",F128=""),0,F128-E128)</f>
        <v/>
      </c>
      <c r="H128" s="6" t="n"/>
      <c r="I128" s="7" t="n"/>
      <c r="J128" s="6" t="n"/>
      <c r="K128" s="6" t="n"/>
    </row>
    <row r="129">
      <c r="A129" s="9" t="n"/>
      <c r="B129" s="9" t="n"/>
      <c r="C129" s="6" t="n"/>
      <c r="D129" s="6" t="n"/>
      <c r="E129" s="6" t="n"/>
      <c r="F129" s="6" t="n"/>
      <c r="G129" s="16">
        <f>IF(OR(E129="",F129=""),0,F129-E129)</f>
        <v/>
      </c>
      <c r="H129" s="6" t="n"/>
      <c r="I129" s="7" t="n"/>
      <c r="J129" s="6" t="n"/>
      <c r="K129" s="6" t="n"/>
    </row>
    <row r="130">
      <c r="A130" s="9" t="n"/>
      <c r="B130" s="9" t="n"/>
      <c r="C130" s="6" t="n"/>
      <c r="D130" s="6" t="n"/>
      <c r="E130" s="6" t="n"/>
      <c r="F130" s="6" t="n"/>
      <c r="G130" s="16">
        <f>IF(OR(E130="",F130=""),0,F130-E130)</f>
        <v/>
      </c>
      <c r="H130" s="6" t="n"/>
      <c r="I130" s="7" t="n"/>
      <c r="J130" s="6" t="n"/>
      <c r="K130" s="6" t="n"/>
    </row>
    <row r="131">
      <c r="A131" s="9" t="n"/>
      <c r="B131" s="9" t="n"/>
      <c r="C131" s="6" t="n"/>
      <c r="D131" s="6" t="n"/>
      <c r="E131" s="6" t="n"/>
      <c r="F131" s="6" t="n"/>
      <c r="G131" s="16">
        <f>IF(OR(E131="",F131=""),0,F131-E131)</f>
        <v/>
      </c>
      <c r="H131" s="6" t="n"/>
      <c r="I131" s="7" t="n"/>
      <c r="J131" s="6" t="n"/>
      <c r="K131" s="6" t="n"/>
    </row>
    <row r="132">
      <c r="A132" s="9" t="n"/>
      <c r="B132" s="9" t="n"/>
      <c r="C132" s="6" t="n"/>
      <c r="D132" s="6" t="n"/>
      <c r="E132" s="6" t="n"/>
      <c r="F132" s="6" t="n"/>
      <c r="G132" s="16">
        <f>IF(OR(E132="",F132=""),0,F132-E132)</f>
        <v/>
      </c>
      <c r="H132" s="6" t="n"/>
      <c r="I132" s="7" t="n"/>
      <c r="J132" s="6" t="n"/>
      <c r="K132" s="6" t="n"/>
    </row>
    <row r="133">
      <c r="A133" s="9" t="n"/>
      <c r="B133" s="9" t="n"/>
      <c r="C133" s="6" t="n"/>
      <c r="D133" s="6" t="n"/>
      <c r="E133" s="6" t="n"/>
      <c r="F133" s="6" t="n"/>
      <c r="G133" s="16">
        <f>IF(OR(E133="",F133=""),0,F133-E133)</f>
        <v/>
      </c>
      <c r="H133" s="6" t="n"/>
      <c r="I133" s="7" t="n"/>
      <c r="J133" s="6" t="n"/>
      <c r="K133" s="6" t="n"/>
    </row>
    <row r="134">
      <c r="A134" s="9" t="n"/>
      <c r="B134" s="9" t="n"/>
      <c r="C134" s="6" t="n"/>
      <c r="D134" s="6" t="n"/>
      <c r="E134" s="6" t="n"/>
      <c r="F134" s="6" t="n"/>
      <c r="G134" s="16">
        <f>IF(OR(E134="",F134=""),0,F134-E134)</f>
        <v/>
      </c>
      <c r="H134" s="6" t="n"/>
      <c r="I134" s="7" t="n"/>
      <c r="J134" s="6" t="n"/>
      <c r="K134" s="6" t="n"/>
    </row>
    <row r="135">
      <c r="A135" s="9" t="n"/>
      <c r="B135" s="9" t="n"/>
      <c r="C135" s="6" t="n"/>
      <c r="D135" s="6" t="n"/>
      <c r="E135" s="6" t="n"/>
      <c r="F135" s="6" t="n"/>
      <c r="G135" s="16">
        <f>IF(OR(E135="",F135=""),0,F135-E135)</f>
        <v/>
      </c>
      <c r="H135" s="6" t="n"/>
      <c r="I135" s="7" t="n"/>
      <c r="J135" s="6" t="n"/>
      <c r="K135" s="6" t="n"/>
    </row>
    <row r="136">
      <c r="A136" s="9" t="n"/>
      <c r="B136" s="9" t="n"/>
      <c r="C136" s="6" t="n"/>
      <c r="D136" s="6" t="n"/>
      <c r="E136" s="6" t="n"/>
      <c r="F136" s="6" t="n"/>
      <c r="G136" s="16">
        <f>IF(OR(E136="",F136=""),0,F136-E136)</f>
        <v/>
      </c>
      <c r="H136" s="6" t="n"/>
      <c r="I136" s="7" t="n"/>
      <c r="J136" s="6" t="n"/>
      <c r="K136" s="6" t="n"/>
    </row>
    <row r="137">
      <c r="A137" s="9" t="n"/>
      <c r="B137" s="9" t="n"/>
      <c r="C137" s="6" t="n"/>
      <c r="D137" s="6" t="n"/>
      <c r="E137" s="6" t="n"/>
      <c r="F137" s="6" t="n"/>
      <c r="G137" s="16">
        <f>IF(OR(E137="",F137=""),0,F137-E137)</f>
        <v/>
      </c>
      <c r="H137" s="6" t="n"/>
      <c r="I137" s="7" t="n"/>
      <c r="J137" s="6" t="n"/>
      <c r="K137" s="6" t="n"/>
    </row>
    <row r="138">
      <c r="A138" s="9" t="n"/>
      <c r="B138" s="9" t="n"/>
      <c r="C138" s="6" t="n"/>
      <c r="D138" s="6" t="n"/>
      <c r="E138" s="6" t="n"/>
      <c r="F138" s="6" t="n"/>
      <c r="G138" s="16">
        <f>IF(OR(E138="",F138=""),0,F138-E138)</f>
        <v/>
      </c>
      <c r="H138" s="6" t="n"/>
      <c r="I138" s="7" t="n"/>
      <c r="J138" s="6" t="n"/>
      <c r="K138" s="6" t="n"/>
    </row>
    <row r="139">
      <c r="A139" s="9" t="n"/>
      <c r="B139" s="9" t="n"/>
      <c r="C139" s="6" t="n"/>
      <c r="D139" s="6" t="n"/>
      <c r="E139" s="6" t="n"/>
      <c r="F139" s="6" t="n"/>
      <c r="G139" s="16">
        <f>IF(OR(E139="",F139=""),0,F139-E139)</f>
        <v/>
      </c>
      <c r="H139" s="6" t="n"/>
      <c r="I139" s="7" t="n"/>
      <c r="J139" s="6" t="n"/>
      <c r="K139" s="6" t="n"/>
    </row>
    <row r="140">
      <c r="A140" s="9" t="n"/>
      <c r="B140" s="9" t="n"/>
      <c r="C140" s="6" t="n"/>
      <c r="D140" s="6" t="n"/>
      <c r="E140" s="6" t="n"/>
      <c r="F140" s="6" t="n"/>
      <c r="G140" s="16">
        <f>IF(OR(E140="",F140=""),0,F140-E140)</f>
        <v/>
      </c>
      <c r="H140" s="6" t="n"/>
      <c r="I140" s="7" t="n"/>
      <c r="J140" s="6" t="n"/>
      <c r="K140" s="6" t="n"/>
    </row>
    <row r="141">
      <c r="A141" s="9" t="n"/>
      <c r="B141" s="9" t="n"/>
      <c r="C141" s="6" t="n"/>
      <c r="D141" s="6" t="n"/>
      <c r="E141" s="6" t="n"/>
      <c r="F141" s="6" t="n"/>
      <c r="G141" s="16">
        <f>IF(OR(E141="",F141=""),0,F141-E141)</f>
        <v/>
      </c>
      <c r="H141" s="6" t="n"/>
      <c r="I141" s="7" t="n"/>
      <c r="J141" s="6" t="n"/>
      <c r="K141" s="6" t="n"/>
    </row>
    <row r="142">
      <c r="A142" s="9" t="n"/>
      <c r="B142" s="9" t="n"/>
      <c r="C142" s="6" t="n"/>
      <c r="D142" s="6" t="n"/>
      <c r="E142" s="6" t="n"/>
      <c r="F142" s="6" t="n"/>
      <c r="G142" s="16">
        <f>IF(OR(E142="",F142=""),0,F142-E142)</f>
        <v/>
      </c>
      <c r="H142" s="6" t="n"/>
      <c r="I142" s="7" t="n"/>
      <c r="J142" s="6" t="n"/>
      <c r="K142" s="6" t="n"/>
    </row>
    <row r="143">
      <c r="A143" s="9" t="n"/>
      <c r="B143" s="9" t="n"/>
      <c r="C143" s="6" t="n"/>
      <c r="D143" s="6" t="n"/>
      <c r="E143" s="6" t="n"/>
      <c r="F143" s="6" t="n"/>
      <c r="G143" s="16">
        <f>IF(OR(E143="",F143=""),0,F143-E143)</f>
        <v/>
      </c>
      <c r="H143" s="6" t="n"/>
      <c r="I143" s="7" t="n"/>
      <c r="J143" s="6" t="n"/>
      <c r="K143" s="6" t="n"/>
    </row>
    <row r="144">
      <c r="A144" s="9" t="n"/>
      <c r="B144" s="9" t="n"/>
      <c r="C144" s="6" t="n"/>
      <c r="D144" s="6" t="n"/>
      <c r="E144" s="6" t="n"/>
      <c r="F144" s="6" t="n"/>
      <c r="G144" s="16">
        <f>IF(OR(E144="",F144=""),0,F144-E144)</f>
        <v/>
      </c>
      <c r="H144" s="6" t="n"/>
      <c r="I144" s="7" t="n"/>
      <c r="J144" s="6" t="n"/>
      <c r="K144" s="6" t="n"/>
    </row>
    <row r="145">
      <c r="A145" s="9" t="n"/>
      <c r="B145" s="9" t="n"/>
      <c r="C145" s="6" t="n"/>
      <c r="D145" s="6" t="n"/>
      <c r="E145" s="6" t="n"/>
      <c r="F145" s="6" t="n"/>
      <c r="G145" s="16">
        <f>IF(OR(E145="",F145=""),0,F145-E145)</f>
        <v/>
      </c>
      <c r="H145" s="6" t="n"/>
      <c r="I145" s="7" t="n"/>
      <c r="J145" s="6" t="n"/>
      <c r="K145" s="6" t="n"/>
    </row>
    <row r="146">
      <c r="A146" s="9" t="n"/>
      <c r="B146" s="9" t="n"/>
      <c r="C146" s="6" t="n"/>
      <c r="D146" s="6" t="n"/>
      <c r="E146" s="6" t="n"/>
      <c r="F146" s="6" t="n"/>
      <c r="G146" s="16">
        <f>IF(OR(E146="",F146=""),0,F146-E146)</f>
        <v/>
      </c>
      <c r="H146" s="6" t="n"/>
      <c r="I146" s="7" t="n"/>
      <c r="J146" s="6" t="n"/>
      <c r="K146" s="6" t="n"/>
    </row>
    <row r="147">
      <c r="A147" s="9" t="n"/>
      <c r="B147" s="9" t="n"/>
      <c r="C147" s="6" t="n"/>
      <c r="D147" s="6" t="n"/>
      <c r="E147" s="6" t="n"/>
      <c r="F147" s="6" t="n"/>
      <c r="G147" s="16">
        <f>IF(OR(E147="",F147=""),0,F147-E147)</f>
        <v/>
      </c>
      <c r="H147" s="6" t="n"/>
      <c r="I147" s="7" t="n"/>
      <c r="J147" s="6" t="n"/>
      <c r="K147" s="6" t="n"/>
    </row>
    <row r="148">
      <c r="A148" s="9" t="n"/>
      <c r="B148" s="9" t="n"/>
      <c r="C148" s="6" t="n"/>
      <c r="D148" s="6" t="n"/>
      <c r="E148" s="6" t="n"/>
      <c r="F148" s="6" t="n"/>
      <c r="G148" s="16">
        <f>IF(OR(E148="",F148=""),0,F148-E148)</f>
        <v/>
      </c>
      <c r="H148" s="6" t="n"/>
      <c r="I148" s="7" t="n"/>
      <c r="J148" s="6" t="n"/>
      <c r="K148" s="6" t="n"/>
    </row>
    <row r="149">
      <c r="A149" s="9" t="n"/>
      <c r="B149" s="9" t="n"/>
      <c r="C149" s="6" t="n"/>
      <c r="D149" s="6" t="n"/>
      <c r="E149" s="6" t="n"/>
      <c r="F149" s="6" t="n"/>
      <c r="G149" s="16">
        <f>IF(OR(E149="",F149=""),0,F149-E149)</f>
        <v/>
      </c>
      <c r="H149" s="6" t="n"/>
      <c r="I149" s="7" t="n"/>
      <c r="J149" s="6" t="n"/>
      <c r="K149" s="6" t="n"/>
    </row>
    <row r="150">
      <c r="A150" s="9" t="n"/>
      <c r="B150" s="9" t="n"/>
      <c r="C150" s="6" t="n"/>
      <c r="D150" s="6" t="n"/>
      <c r="E150" s="6" t="n"/>
      <c r="F150" s="6" t="n"/>
      <c r="G150" s="16">
        <f>IF(OR(E150="",F150=""),0,F150-E150)</f>
        <v/>
      </c>
      <c r="H150" s="6" t="n"/>
      <c r="I150" s="7" t="n"/>
      <c r="J150" s="6" t="n"/>
      <c r="K150" s="6" t="n"/>
    </row>
    <row r="151">
      <c r="A151" s="9" t="n"/>
      <c r="B151" s="9" t="n"/>
      <c r="C151" s="6" t="n"/>
      <c r="D151" s="6" t="n"/>
      <c r="E151" s="6" t="n"/>
      <c r="F151" s="6" t="n"/>
      <c r="G151" s="16">
        <f>IF(OR(E151="",F151=""),0,F151-E151)</f>
        <v/>
      </c>
      <c r="H151" s="6" t="n"/>
      <c r="I151" s="7" t="n"/>
      <c r="J151" s="6" t="n"/>
      <c r="K151" s="6" t="n"/>
    </row>
    <row r="152">
      <c r="A152" s="9" t="n"/>
      <c r="B152" s="9" t="n"/>
      <c r="C152" s="6" t="n"/>
      <c r="D152" s="6" t="n"/>
      <c r="E152" s="6" t="n"/>
      <c r="F152" s="6" t="n"/>
      <c r="G152" s="16">
        <f>IF(OR(E152="",F152=""),0,F152-E152)</f>
        <v/>
      </c>
      <c r="H152" s="6" t="n"/>
      <c r="I152" s="7" t="n"/>
      <c r="J152" s="6" t="n"/>
      <c r="K152" s="6" t="n"/>
    </row>
    <row r="153">
      <c r="A153" s="9" t="n"/>
      <c r="B153" s="9" t="n"/>
      <c r="C153" s="6" t="n"/>
      <c r="D153" s="6" t="n"/>
      <c r="E153" s="6" t="n"/>
      <c r="F153" s="6" t="n"/>
      <c r="G153" s="16">
        <f>IF(OR(E153="",F153=""),0,F153-E153)</f>
        <v/>
      </c>
      <c r="H153" s="6" t="n"/>
      <c r="I153" s="7" t="n"/>
      <c r="J153" s="6" t="n"/>
      <c r="K153" s="6" t="n"/>
    </row>
    <row r="154">
      <c r="A154" s="9" t="n"/>
      <c r="B154" s="9" t="n"/>
      <c r="C154" s="6" t="n"/>
      <c r="D154" s="6" t="n"/>
      <c r="E154" s="6" t="n"/>
      <c r="F154" s="6" t="n"/>
      <c r="G154" s="16">
        <f>IF(OR(E154="",F154=""),0,F154-E154)</f>
        <v/>
      </c>
      <c r="H154" s="6" t="n"/>
      <c r="I154" s="7" t="n"/>
      <c r="J154" s="6" t="n"/>
      <c r="K154" s="6" t="n"/>
    </row>
    <row r="155">
      <c r="A155" s="9" t="n"/>
      <c r="B155" s="9" t="n"/>
      <c r="C155" s="6" t="n"/>
      <c r="D155" s="6" t="n"/>
      <c r="E155" s="6" t="n"/>
      <c r="F155" s="6" t="n"/>
      <c r="G155" s="16">
        <f>IF(OR(E155="",F155=""),0,F155-E155)</f>
        <v/>
      </c>
      <c r="H155" s="6" t="n"/>
      <c r="I155" s="7" t="n"/>
      <c r="J155" s="6" t="n"/>
      <c r="K155" s="6" t="n"/>
    </row>
    <row r="156">
      <c r="A156" s="9" t="n"/>
      <c r="B156" s="9" t="n"/>
      <c r="C156" s="6" t="n"/>
      <c r="D156" s="6" t="n"/>
      <c r="E156" s="6" t="n"/>
      <c r="F156" s="6" t="n"/>
      <c r="G156" s="16">
        <f>IF(OR(E156="",F156=""),0,F156-E156)</f>
        <v/>
      </c>
      <c r="H156" s="6" t="n"/>
      <c r="I156" s="7" t="n"/>
      <c r="J156" s="6" t="n"/>
      <c r="K156" s="6" t="n"/>
    </row>
    <row r="157">
      <c r="A157" s="9" t="n"/>
      <c r="B157" s="9" t="n"/>
      <c r="C157" s="6" t="n"/>
      <c r="D157" s="6" t="n"/>
      <c r="E157" s="6" t="n"/>
      <c r="F157" s="6" t="n"/>
      <c r="G157" s="16">
        <f>IF(OR(E157="",F157=""),0,F157-E157)</f>
        <v/>
      </c>
      <c r="H157" s="6" t="n"/>
      <c r="I157" s="7" t="n"/>
      <c r="J157" s="6" t="n"/>
      <c r="K157" s="6" t="n"/>
    </row>
    <row r="158">
      <c r="A158" s="9" t="n"/>
      <c r="B158" s="9" t="n"/>
      <c r="C158" s="6" t="n"/>
      <c r="D158" s="6" t="n"/>
      <c r="E158" s="6" t="n"/>
      <c r="F158" s="6" t="n"/>
      <c r="G158" s="16">
        <f>IF(OR(E158="",F158=""),0,F158-E158)</f>
        <v/>
      </c>
      <c r="H158" s="6" t="n"/>
      <c r="I158" s="7" t="n"/>
      <c r="J158" s="6" t="n"/>
      <c r="K158" s="6" t="n"/>
    </row>
    <row r="159">
      <c r="A159" s="9" t="n"/>
      <c r="B159" s="9" t="n"/>
      <c r="C159" s="6" t="n"/>
      <c r="D159" s="6" t="n"/>
      <c r="E159" s="6" t="n"/>
      <c r="F159" s="6" t="n"/>
      <c r="G159" s="16">
        <f>IF(OR(E159="",F159=""),0,F159-E159)</f>
        <v/>
      </c>
      <c r="H159" s="6" t="n"/>
      <c r="I159" s="7" t="n"/>
      <c r="J159" s="6" t="n"/>
      <c r="K159" s="6" t="n"/>
    </row>
    <row r="160">
      <c r="A160" s="9" t="n"/>
      <c r="B160" s="9" t="n"/>
      <c r="C160" s="6" t="n"/>
      <c r="D160" s="6" t="n"/>
      <c r="E160" s="6" t="n"/>
      <c r="F160" s="6" t="n"/>
      <c r="G160" s="16">
        <f>IF(OR(E160="",F160=""),0,F160-E160)</f>
        <v/>
      </c>
      <c r="H160" s="6" t="n"/>
      <c r="I160" s="7" t="n"/>
      <c r="J160" s="6" t="n"/>
      <c r="K160" s="6" t="n"/>
    </row>
    <row r="161">
      <c r="A161" s="9" t="n"/>
      <c r="B161" s="9" t="n"/>
      <c r="C161" s="6" t="n"/>
      <c r="D161" s="6" t="n"/>
      <c r="E161" s="6" t="n"/>
      <c r="F161" s="6" t="n"/>
      <c r="G161" s="16">
        <f>IF(OR(E161="",F161=""),0,F161-E161)</f>
        <v/>
      </c>
      <c r="H161" s="6" t="n"/>
      <c r="I161" s="7" t="n"/>
      <c r="J161" s="6" t="n"/>
      <c r="K161" s="6" t="n"/>
    </row>
    <row r="162">
      <c r="A162" s="9" t="n"/>
      <c r="B162" s="9" t="n"/>
      <c r="C162" s="6" t="n"/>
      <c r="D162" s="6" t="n"/>
      <c r="E162" s="6" t="n"/>
      <c r="F162" s="6" t="n"/>
      <c r="G162" s="16">
        <f>IF(OR(E162="",F162=""),0,F162-E162)</f>
        <v/>
      </c>
      <c r="H162" s="6" t="n"/>
      <c r="I162" s="7" t="n"/>
      <c r="J162" s="6" t="n"/>
      <c r="K162" s="6" t="n"/>
    </row>
    <row r="163">
      <c r="A163" s="9" t="n"/>
      <c r="B163" s="9" t="n"/>
      <c r="C163" s="6" t="n"/>
      <c r="D163" s="6" t="n"/>
      <c r="E163" s="6" t="n"/>
      <c r="F163" s="6" t="n"/>
      <c r="G163" s="16">
        <f>IF(OR(E163="",F163=""),0,F163-E163)</f>
        <v/>
      </c>
      <c r="H163" s="6" t="n"/>
      <c r="I163" s="7" t="n"/>
      <c r="J163" s="6" t="n"/>
      <c r="K163" s="6" t="n"/>
    </row>
    <row r="164">
      <c r="A164" s="9" t="n"/>
      <c r="B164" s="9" t="n"/>
      <c r="C164" s="6" t="n"/>
      <c r="D164" s="6" t="n"/>
      <c r="E164" s="6" t="n"/>
      <c r="F164" s="6" t="n"/>
      <c r="G164" s="16">
        <f>IF(OR(E164="",F164=""),0,F164-E164)</f>
        <v/>
      </c>
      <c r="H164" s="6" t="n"/>
      <c r="I164" s="7" t="n"/>
      <c r="J164" s="6" t="n"/>
      <c r="K164" s="6" t="n"/>
    </row>
    <row r="165">
      <c r="A165" s="9" t="n"/>
      <c r="B165" s="9" t="n"/>
      <c r="C165" s="6" t="n"/>
      <c r="D165" s="6" t="n"/>
      <c r="E165" s="6" t="n"/>
      <c r="F165" s="6" t="n"/>
      <c r="G165" s="16">
        <f>IF(OR(E165="",F165=""),0,F165-E165)</f>
        <v/>
      </c>
      <c r="H165" s="6" t="n"/>
      <c r="I165" s="7" t="n"/>
      <c r="J165" s="6" t="n"/>
      <c r="K165" s="6" t="n"/>
    </row>
    <row r="166">
      <c r="A166" s="9" t="n"/>
      <c r="B166" s="9" t="n"/>
      <c r="C166" s="6" t="n"/>
      <c r="D166" s="6" t="n"/>
      <c r="E166" s="6" t="n"/>
      <c r="F166" s="6" t="n"/>
      <c r="G166" s="16">
        <f>IF(OR(E166="",F166=""),0,F166-E166)</f>
        <v/>
      </c>
      <c r="H166" s="6" t="n"/>
      <c r="I166" s="7" t="n"/>
      <c r="J166" s="6" t="n"/>
      <c r="K166" s="6" t="n"/>
    </row>
    <row r="167">
      <c r="A167" s="9" t="n"/>
      <c r="B167" s="9" t="n"/>
      <c r="C167" s="6" t="n"/>
      <c r="D167" s="6" t="n"/>
      <c r="E167" s="6" t="n"/>
      <c r="F167" s="6" t="n"/>
      <c r="G167" s="16">
        <f>IF(OR(E167="",F167=""),0,F167-E167)</f>
        <v/>
      </c>
      <c r="H167" s="6" t="n"/>
      <c r="I167" s="7" t="n"/>
      <c r="J167" s="6" t="n"/>
      <c r="K167" s="6" t="n"/>
    </row>
    <row r="168">
      <c r="A168" s="9" t="n"/>
      <c r="B168" s="9" t="n"/>
      <c r="C168" s="6" t="n"/>
      <c r="D168" s="6" t="n"/>
      <c r="E168" s="6" t="n"/>
      <c r="F168" s="6" t="n"/>
      <c r="G168" s="16">
        <f>IF(OR(E168="",F168=""),0,F168-E168)</f>
        <v/>
      </c>
      <c r="H168" s="6" t="n"/>
      <c r="I168" s="7" t="n"/>
      <c r="J168" s="6" t="n"/>
      <c r="K168" s="6" t="n"/>
    </row>
    <row r="169">
      <c r="A169" s="9" t="n"/>
      <c r="B169" s="9" t="n"/>
      <c r="C169" s="6" t="n"/>
      <c r="D169" s="6" t="n"/>
      <c r="E169" s="6" t="n"/>
      <c r="F169" s="6" t="n"/>
      <c r="G169" s="16">
        <f>IF(OR(E169="",F169=""),0,F169-E169)</f>
        <v/>
      </c>
      <c r="H169" s="6" t="n"/>
      <c r="I169" s="7" t="n"/>
      <c r="J169" s="6" t="n"/>
      <c r="K169" s="6" t="n"/>
    </row>
    <row r="170">
      <c r="A170" s="9" t="n"/>
      <c r="B170" s="9" t="n"/>
      <c r="C170" s="6" t="n"/>
      <c r="D170" s="6" t="n"/>
      <c r="E170" s="6" t="n"/>
      <c r="F170" s="6" t="n"/>
      <c r="G170" s="16">
        <f>IF(OR(E170="",F170=""),0,F170-E170)</f>
        <v/>
      </c>
      <c r="H170" s="6" t="n"/>
      <c r="I170" s="7" t="n"/>
      <c r="J170" s="6" t="n"/>
      <c r="K170" s="6" t="n"/>
    </row>
    <row r="171">
      <c r="A171" s="9" t="n"/>
      <c r="B171" s="9" t="n"/>
      <c r="C171" s="6" t="n"/>
      <c r="D171" s="6" t="n"/>
      <c r="E171" s="6" t="n"/>
      <c r="F171" s="6" t="n"/>
      <c r="G171" s="16">
        <f>IF(OR(E171="",F171=""),0,F171-E171)</f>
        <v/>
      </c>
      <c r="H171" s="6" t="n"/>
      <c r="I171" s="7" t="n"/>
      <c r="J171" s="6" t="n"/>
      <c r="K171" s="6" t="n"/>
    </row>
    <row r="172">
      <c r="A172" s="9" t="n"/>
      <c r="B172" s="9" t="n"/>
      <c r="C172" s="6" t="n"/>
      <c r="D172" s="6" t="n"/>
      <c r="E172" s="6" t="n"/>
      <c r="F172" s="6" t="n"/>
      <c r="G172" s="16">
        <f>IF(OR(E172="",F172=""),0,F172-E172)</f>
        <v/>
      </c>
      <c r="H172" s="6" t="n"/>
      <c r="I172" s="7" t="n"/>
      <c r="J172" s="6" t="n"/>
      <c r="K172" s="6" t="n"/>
    </row>
    <row r="173">
      <c r="A173" s="9" t="n"/>
      <c r="B173" s="9" t="n"/>
      <c r="C173" s="6" t="n"/>
      <c r="D173" s="6" t="n"/>
      <c r="E173" s="6" t="n"/>
      <c r="F173" s="6" t="n"/>
      <c r="G173" s="16">
        <f>IF(OR(E173="",F173=""),0,F173-E173)</f>
        <v/>
      </c>
      <c r="H173" s="6" t="n"/>
      <c r="I173" s="7" t="n"/>
      <c r="J173" s="6" t="n"/>
      <c r="K173" s="6" t="n"/>
    </row>
    <row r="174">
      <c r="A174" s="9" t="n"/>
      <c r="B174" s="9" t="n"/>
      <c r="C174" s="6" t="n"/>
      <c r="D174" s="6" t="n"/>
      <c r="E174" s="6" t="n"/>
      <c r="F174" s="6" t="n"/>
      <c r="G174" s="16">
        <f>IF(OR(E174="",F174=""),0,F174-E174)</f>
        <v/>
      </c>
      <c r="H174" s="6" t="n"/>
      <c r="I174" s="7" t="n"/>
      <c r="J174" s="6" t="n"/>
      <c r="K174" s="6" t="n"/>
    </row>
    <row r="175">
      <c r="A175" s="9" t="n"/>
      <c r="B175" s="9" t="n"/>
      <c r="C175" s="6" t="n"/>
      <c r="D175" s="6" t="n"/>
      <c r="E175" s="6" t="n"/>
      <c r="F175" s="6" t="n"/>
      <c r="G175" s="16">
        <f>IF(OR(E175="",F175=""),0,F175-E175)</f>
        <v/>
      </c>
      <c r="H175" s="6" t="n"/>
      <c r="I175" s="7" t="n"/>
      <c r="J175" s="6" t="n"/>
      <c r="K175" s="6" t="n"/>
    </row>
    <row r="176">
      <c r="A176" s="9" t="n"/>
      <c r="B176" s="9" t="n"/>
      <c r="C176" s="6" t="n"/>
      <c r="D176" s="6" t="n"/>
      <c r="E176" s="6" t="n"/>
      <c r="F176" s="6" t="n"/>
      <c r="G176" s="16">
        <f>IF(OR(E176="",F176=""),0,F176-E176)</f>
        <v/>
      </c>
      <c r="H176" s="6" t="n"/>
      <c r="I176" s="7" t="n"/>
      <c r="J176" s="6" t="n"/>
      <c r="K176" s="6" t="n"/>
    </row>
    <row r="177">
      <c r="A177" s="9" t="n"/>
      <c r="B177" s="9" t="n"/>
      <c r="C177" s="6" t="n"/>
      <c r="D177" s="6" t="n"/>
      <c r="E177" s="6" t="n"/>
      <c r="F177" s="6" t="n"/>
      <c r="G177" s="16">
        <f>IF(OR(E177="",F177=""),0,F177-E177)</f>
        <v/>
      </c>
      <c r="H177" s="6" t="n"/>
      <c r="I177" s="7" t="n"/>
      <c r="J177" s="6" t="n"/>
      <c r="K177" s="6" t="n"/>
    </row>
    <row r="178">
      <c r="A178" s="9" t="n"/>
      <c r="B178" s="9" t="n"/>
      <c r="C178" s="6" t="n"/>
      <c r="D178" s="6" t="n"/>
      <c r="E178" s="6" t="n"/>
      <c r="F178" s="6" t="n"/>
      <c r="G178" s="16">
        <f>IF(OR(E178="",F178=""),0,F178-E178)</f>
        <v/>
      </c>
      <c r="H178" s="6" t="n"/>
      <c r="I178" s="7" t="n"/>
      <c r="J178" s="6" t="n"/>
      <c r="K178" s="6" t="n"/>
    </row>
    <row r="179">
      <c r="A179" s="9" t="n"/>
      <c r="B179" s="9" t="n"/>
      <c r="C179" s="6" t="n"/>
      <c r="D179" s="6" t="n"/>
      <c r="E179" s="6" t="n"/>
      <c r="F179" s="6" t="n"/>
      <c r="G179" s="16">
        <f>IF(OR(E179="",F179=""),0,F179-E179)</f>
        <v/>
      </c>
      <c r="H179" s="6" t="n"/>
      <c r="I179" s="7" t="n"/>
      <c r="J179" s="6" t="n"/>
      <c r="K179" s="6" t="n"/>
    </row>
    <row r="180">
      <c r="A180" s="9" t="n"/>
      <c r="B180" s="9" t="n"/>
      <c r="C180" s="6" t="n"/>
      <c r="D180" s="6" t="n"/>
      <c r="E180" s="6" t="n"/>
      <c r="F180" s="6" t="n"/>
      <c r="G180" s="16">
        <f>IF(OR(E180="",F180=""),0,F180-E180)</f>
        <v/>
      </c>
      <c r="H180" s="6" t="n"/>
      <c r="I180" s="7" t="n"/>
      <c r="J180" s="6" t="n"/>
      <c r="K180" s="6" t="n"/>
    </row>
    <row r="181">
      <c r="A181" s="9" t="n"/>
      <c r="B181" s="9" t="n"/>
      <c r="C181" s="6" t="n"/>
      <c r="D181" s="6" t="n"/>
      <c r="E181" s="6" t="n"/>
      <c r="F181" s="6" t="n"/>
      <c r="G181" s="16">
        <f>IF(OR(E181="",F181=""),0,F181-E181)</f>
        <v/>
      </c>
      <c r="H181" s="6" t="n"/>
      <c r="I181" s="7" t="n"/>
      <c r="J181" s="6" t="n"/>
      <c r="K181" s="6" t="n"/>
    </row>
    <row r="182">
      <c r="A182" s="9" t="n"/>
      <c r="B182" s="9" t="n"/>
      <c r="C182" s="6" t="n"/>
      <c r="D182" s="6" t="n"/>
      <c r="E182" s="6" t="n"/>
      <c r="F182" s="6" t="n"/>
      <c r="G182" s="16">
        <f>IF(OR(E182="",F182=""),0,F182-E182)</f>
        <v/>
      </c>
      <c r="H182" s="6" t="n"/>
      <c r="I182" s="7" t="n"/>
      <c r="J182" s="6" t="n"/>
      <c r="K182" s="6" t="n"/>
    </row>
    <row r="183">
      <c r="A183" s="9" t="n"/>
      <c r="B183" s="9" t="n"/>
      <c r="C183" s="6" t="n"/>
      <c r="D183" s="6" t="n"/>
      <c r="E183" s="6" t="n"/>
      <c r="F183" s="6" t="n"/>
      <c r="G183" s="16">
        <f>IF(OR(E183="",F183=""),0,F183-E183)</f>
        <v/>
      </c>
      <c r="H183" s="6" t="n"/>
      <c r="I183" s="7" t="n"/>
      <c r="J183" s="6" t="n"/>
      <c r="K183" s="6" t="n"/>
    </row>
    <row r="184">
      <c r="A184" s="9" t="n"/>
      <c r="B184" s="9" t="n"/>
      <c r="C184" s="6" t="n"/>
      <c r="D184" s="6" t="n"/>
      <c r="E184" s="6" t="n"/>
      <c r="F184" s="6" t="n"/>
      <c r="G184" s="16">
        <f>IF(OR(E184="",F184=""),0,F184-E184)</f>
        <v/>
      </c>
      <c r="H184" s="6" t="n"/>
      <c r="I184" s="7" t="n"/>
      <c r="J184" s="6" t="n"/>
      <c r="K184" s="6" t="n"/>
    </row>
    <row r="185">
      <c r="A185" s="9" t="n"/>
      <c r="B185" s="9" t="n"/>
      <c r="C185" s="6" t="n"/>
      <c r="D185" s="6" t="n"/>
      <c r="E185" s="6" t="n"/>
      <c r="F185" s="6" t="n"/>
      <c r="G185" s="16">
        <f>IF(OR(E185="",F185=""),0,F185-E185)</f>
        <v/>
      </c>
      <c r="H185" s="6" t="n"/>
      <c r="I185" s="7" t="n"/>
      <c r="J185" s="6" t="n"/>
      <c r="K185" s="6" t="n"/>
    </row>
    <row r="186">
      <c r="A186" s="9" t="n"/>
      <c r="B186" s="9" t="n"/>
      <c r="C186" s="6" t="n"/>
      <c r="D186" s="6" t="n"/>
      <c r="E186" s="6" t="n"/>
      <c r="F186" s="6" t="n"/>
      <c r="G186" s="16">
        <f>IF(OR(E186="",F186=""),0,F186-E186)</f>
        <v/>
      </c>
      <c r="H186" s="6" t="n"/>
      <c r="I186" s="7" t="n"/>
      <c r="J186" s="6" t="n"/>
      <c r="K186" s="6" t="n"/>
    </row>
    <row r="187">
      <c r="A187" s="9" t="n"/>
      <c r="B187" s="9" t="n"/>
      <c r="C187" s="6" t="n"/>
      <c r="D187" s="6" t="n"/>
      <c r="E187" s="6" t="n"/>
      <c r="F187" s="6" t="n"/>
      <c r="G187" s="16">
        <f>IF(OR(E187="",F187=""),0,F187-E187)</f>
        <v/>
      </c>
      <c r="H187" s="6" t="n"/>
      <c r="I187" s="7" t="n"/>
      <c r="J187" s="6" t="n"/>
      <c r="K187" s="6" t="n"/>
    </row>
    <row r="188">
      <c r="A188" s="9" t="n"/>
      <c r="B188" s="9" t="n"/>
      <c r="C188" s="6" t="n"/>
      <c r="D188" s="6" t="n"/>
      <c r="E188" s="6" t="n"/>
      <c r="F188" s="6" t="n"/>
      <c r="G188" s="16">
        <f>IF(OR(E188="",F188=""),0,F188-E188)</f>
        <v/>
      </c>
      <c r="H188" s="6" t="n"/>
      <c r="I188" s="7" t="n"/>
      <c r="J188" s="6" t="n"/>
      <c r="K188" s="6" t="n"/>
    </row>
    <row r="189">
      <c r="A189" s="9" t="n"/>
      <c r="B189" s="9" t="n"/>
      <c r="C189" s="6" t="n"/>
      <c r="D189" s="6" t="n"/>
      <c r="E189" s="6" t="n"/>
      <c r="F189" s="6" t="n"/>
      <c r="G189" s="16">
        <f>IF(OR(E189="",F189=""),0,F189-E189)</f>
        <v/>
      </c>
      <c r="H189" s="6" t="n"/>
      <c r="I189" s="7" t="n"/>
      <c r="J189" s="6" t="n"/>
      <c r="K189" s="6" t="n"/>
    </row>
    <row r="190">
      <c r="A190" s="9" t="n"/>
      <c r="B190" s="9" t="n"/>
      <c r="C190" s="6" t="n"/>
      <c r="D190" s="6" t="n"/>
      <c r="E190" s="6" t="n"/>
      <c r="F190" s="6" t="n"/>
      <c r="G190" s="16">
        <f>IF(OR(E190="",F190=""),0,F190-E190)</f>
        <v/>
      </c>
      <c r="H190" s="6" t="n"/>
      <c r="I190" s="7" t="n"/>
      <c r="J190" s="6" t="n"/>
      <c r="K190" s="6" t="n"/>
    </row>
    <row r="191">
      <c r="A191" s="9" t="n"/>
      <c r="B191" s="9" t="n"/>
      <c r="C191" s="6" t="n"/>
      <c r="D191" s="6" t="n"/>
      <c r="E191" s="6" t="n"/>
      <c r="F191" s="6" t="n"/>
      <c r="G191" s="16">
        <f>IF(OR(E191="",F191=""),0,F191-E191)</f>
        <v/>
      </c>
      <c r="H191" s="6" t="n"/>
      <c r="I191" s="7" t="n"/>
      <c r="J191" s="6" t="n"/>
      <c r="K191" s="6" t="n"/>
    </row>
    <row r="192">
      <c r="A192" s="9" t="n"/>
      <c r="B192" s="9" t="n"/>
      <c r="C192" s="6" t="n"/>
      <c r="D192" s="6" t="n"/>
      <c r="E192" s="6" t="n"/>
      <c r="F192" s="6" t="n"/>
      <c r="G192" s="16">
        <f>IF(OR(E192="",F192=""),0,F192-E192)</f>
        <v/>
      </c>
      <c r="H192" s="6" t="n"/>
      <c r="I192" s="7" t="n"/>
      <c r="J192" s="6" t="n"/>
      <c r="K192" s="6" t="n"/>
    </row>
    <row r="193">
      <c r="A193" s="9" t="n"/>
      <c r="B193" s="9" t="n"/>
      <c r="C193" s="6" t="n"/>
      <c r="D193" s="6" t="n"/>
      <c r="E193" s="6" t="n"/>
      <c r="F193" s="6" t="n"/>
      <c r="G193" s="16">
        <f>IF(OR(E193="",F193=""),0,F193-E193)</f>
        <v/>
      </c>
      <c r="H193" s="6" t="n"/>
      <c r="I193" s="7" t="n"/>
      <c r="J193" s="6" t="n"/>
      <c r="K193" s="6" t="n"/>
    </row>
    <row r="194">
      <c r="A194" s="9" t="n"/>
      <c r="B194" s="9" t="n"/>
      <c r="C194" s="6" t="n"/>
      <c r="D194" s="6" t="n"/>
      <c r="E194" s="6" t="n"/>
      <c r="F194" s="6" t="n"/>
      <c r="G194" s="16">
        <f>IF(OR(E194="",F194=""),0,F194-E194)</f>
        <v/>
      </c>
      <c r="H194" s="6" t="n"/>
      <c r="I194" s="7" t="n"/>
      <c r="J194" s="6" t="n"/>
      <c r="K194" s="6" t="n"/>
    </row>
    <row r="195">
      <c r="A195" s="9" t="n"/>
      <c r="B195" s="9" t="n"/>
      <c r="C195" s="6" t="n"/>
      <c r="D195" s="6" t="n"/>
      <c r="E195" s="6" t="n"/>
      <c r="F195" s="6" t="n"/>
      <c r="G195" s="16">
        <f>IF(OR(E195="",F195=""),0,F195-E195)</f>
        <v/>
      </c>
      <c r="H195" s="6" t="n"/>
      <c r="I195" s="7" t="n"/>
      <c r="J195" s="6" t="n"/>
      <c r="K195" s="6" t="n"/>
    </row>
    <row r="196">
      <c r="A196" s="9" t="n"/>
      <c r="B196" s="9" t="n"/>
      <c r="C196" s="6" t="n"/>
      <c r="D196" s="6" t="n"/>
      <c r="E196" s="6" t="n"/>
      <c r="F196" s="6" t="n"/>
      <c r="G196" s="16">
        <f>IF(OR(E196="",F196=""),0,F196-E196)</f>
        <v/>
      </c>
      <c r="H196" s="6" t="n"/>
      <c r="I196" s="7" t="n"/>
      <c r="J196" s="6" t="n"/>
      <c r="K196" s="6" t="n"/>
    </row>
    <row r="197">
      <c r="A197" s="9" t="n"/>
      <c r="B197" s="9" t="n"/>
      <c r="C197" s="6" t="n"/>
      <c r="D197" s="6" t="n"/>
      <c r="E197" s="6" t="n"/>
      <c r="F197" s="6" t="n"/>
      <c r="G197" s="16">
        <f>IF(OR(E197="",F197=""),0,F197-E197)</f>
        <v/>
      </c>
      <c r="H197" s="6" t="n"/>
      <c r="I197" s="7" t="n"/>
      <c r="J197" s="6" t="n"/>
      <c r="K197" s="6" t="n"/>
    </row>
    <row r="198">
      <c r="A198" s="9" t="n"/>
      <c r="B198" s="9" t="n"/>
      <c r="C198" s="6" t="n"/>
      <c r="D198" s="6" t="n"/>
      <c r="E198" s="6" t="n"/>
      <c r="F198" s="6" t="n"/>
      <c r="G198" s="16">
        <f>IF(OR(E198="",F198=""),0,F198-E198)</f>
        <v/>
      </c>
      <c r="H198" s="6" t="n"/>
      <c r="I198" s="7" t="n"/>
      <c r="J198" s="6" t="n"/>
      <c r="K198" s="6" t="n"/>
    </row>
    <row r="199">
      <c r="A199" s="9" t="n"/>
      <c r="B199" s="9" t="n"/>
      <c r="C199" s="6" t="n"/>
      <c r="D199" s="6" t="n"/>
      <c r="E199" s="6" t="n"/>
      <c r="F199" s="6" t="n"/>
      <c r="G199" s="16">
        <f>IF(OR(E199="",F199=""),0,F199-E199)</f>
        <v/>
      </c>
      <c r="H199" s="6" t="n"/>
      <c r="I199" s="7" t="n"/>
      <c r="J199" s="6" t="n"/>
      <c r="K199" s="6" t="n"/>
    </row>
    <row r="200">
      <c r="A200" s="9" t="n"/>
      <c r="B200" s="9" t="n"/>
      <c r="C200" s="6" t="n"/>
      <c r="D200" s="6" t="n"/>
      <c r="E200" s="6" t="n"/>
      <c r="F200" s="6" t="n"/>
      <c r="G200" s="16">
        <f>IF(OR(E200="",F200=""),0,F200-E200)</f>
        <v/>
      </c>
      <c r="H200" s="6" t="n"/>
      <c r="I200" s="7" t="n"/>
      <c r="J200" s="6" t="n"/>
      <c r="K200" s="6" t="n"/>
    </row>
    <row r="201">
      <c r="A201" s="9" t="n"/>
      <c r="B201" s="9" t="n"/>
      <c r="C201" s="6" t="n"/>
      <c r="D201" s="6" t="n"/>
      <c r="E201" s="6" t="n"/>
      <c r="F201" s="6" t="n"/>
      <c r="G201" s="16">
        <f>IF(OR(E201="",F201=""),0,F201-E201)</f>
        <v/>
      </c>
      <c r="H201" s="6" t="n"/>
      <c r="I201" s="7" t="n"/>
      <c r="J201" s="6" t="n"/>
      <c r="K201" s="6" t="n"/>
    </row>
    <row r="202">
      <c r="A202" s="9" t="n"/>
      <c r="B202" s="9" t="n"/>
      <c r="C202" s="6" t="n"/>
      <c r="D202" s="6" t="n"/>
      <c r="E202" s="6" t="n"/>
      <c r="F202" s="6" t="n"/>
      <c r="G202" s="16">
        <f>IF(OR(E202="",F202=""),0,F202-E202)</f>
        <v/>
      </c>
      <c r="H202" s="6" t="n"/>
      <c r="I202" s="7" t="n"/>
      <c r="J202" s="6" t="n"/>
      <c r="K202" s="6" t="n"/>
    </row>
    <row r="203">
      <c r="A203" s="9" t="n"/>
      <c r="B203" s="9" t="n"/>
      <c r="C203" s="6" t="n"/>
      <c r="D203" s="6" t="n"/>
      <c r="E203" s="6" t="n"/>
      <c r="F203" s="6" t="n"/>
      <c r="G203" s="16">
        <f>IF(OR(E203="",F203=""),0,F203-E203)</f>
        <v/>
      </c>
      <c r="H203" s="6" t="n"/>
      <c r="I203" s="7" t="n"/>
      <c r="J203" s="6" t="n"/>
      <c r="K203" s="6" t="n"/>
    </row>
    <row r="204">
      <c r="A204" s="9" t="n"/>
      <c r="B204" s="9" t="n"/>
      <c r="C204" s="6" t="n"/>
      <c r="D204" s="6" t="n"/>
      <c r="E204" s="6" t="n"/>
      <c r="F204" s="6" t="n"/>
      <c r="G204" s="16">
        <f>IF(OR(E204="",F204=""),0,F204-E204)</f>
        <v/>
      </c>
      <c r="H204" s="6" t="n"/>
      <c r="I204" s="7" t="n"/>
      <c r="J204" s="6" t="n"/>
      <c r="K204" s="6" t="n"/>
    </row>
    <row r="205">
      <c r="A205" s="9" t="n"/>
      <c r="B205" s="9" t="n"/>
      <c r="C205" s="6" t="n"/>
      <c r="D205" s="6" t="n"/>
      <c r="E205" s="6" t="n"/>
      <c r="F205" s="6" t="n"/>
      <c r="G205" s="16">
        <f>IF(OR(E205="",F205=""),0,F205-E205)</f>
        <v/>
      </c>
      <c r="H205" s="6" t="n"/>
      <c r="I205" s="7" t="n"/>
      <c r="J205" s="6" t="n"/>
      <c r="K205" s="6" t="n"/>
    </row>
    <row r="206">
      <c r="A206" s="9" t="n"/>
      <c r="B206" s="9" t="n"/>
      <c r="C206" s="6" t="n"/>
      <c r="D206" s="6" t="n"/>
      <c r="E206" s="6" t="n"/>
      <c r="F206" s="6" t="n"/>
      <c r="G206" s="16">
        <f>IF(OR(E206="",F206=""),0,F206-E206)</f>
        <v/>
      </c>
      <c r="H206" s="6" t="n"/>
      <c r="I206" s="7" t="n"/>
      <c r="J206" s="6" t="n"/>
      <c r="K206" s="6" t="n"/>
    </row>
    <row r="207">
      <c r="A207" s="9" t="n"/>
      <c r="B207" s="9" t="n"/>
      <c r="C207" s="6" t="n"/>
      <c r="D207" s="6" t="n"/>
      <c r="E207" s="6" t="n"/>
      <c r="F207" s="6" t="n"/>
      <c r="G207" s="16">
        <f>IF(OR(E207="",F207=""),0,F207-E207)</f>
        <v/>
      </c>
      <c r="H207" s="6" t="n"/>
      <c r="I207" s="7" t="n"/>
      <c r="J207" s="6" t="n"/>
      <c r="K207" s="6" t="n"/>
    </row>
    <row r="208">
      <c r="A208" s="9" t="n"/>
      <c r="B208" s="9" t="n"/>
      <c r="C208" s="6" t="n"/>
      <c r="D208" s="6" t="n"/>
      <c r="E208" s="6" t="n"/>
      <c r="F208" s="6" t="n"/>
      <c r="G208" s="16">
        <f>IF(OR(E208="",F208=""),0,F208-E208)</f>
        <v/>
      </c>
      <c r="H208" s="6" t="n"/>
      <c r="I208" s="7" t="n"/>
      <c r="J208" s="6" t="n"/>
      <c r="K208" s="6" t="n"/>
    </row>
    <row r="209">
      <c r="A209" s="9" t="n"/>
      <c r="B209" s="9" t="n"/>
      <c r="C209" s="6" t="n"/>
      <c r="D209" s="6" t="n"/>
      <c r="E209" s="6" t="n"/>
      <c r="F209" s="6" t="n"/>
      <c r="G209" s="16">
        <f>IF(OR(E209="",F209=""),0,F209-E209)</f>
        <v/>
      </c>
      <c r="H209" s="6" t="n"/>
      <c r="I209" s="7" t="n"/>
      <c r="J209" s="6" t="n"/>
      <c r="K209" s="6" t="n"/>
    </row>
    <row r="210">
      <c r="A210" s="9" t="n"/>
      <c r="B210" s="9" t="n"/>
      <c r="C210" s="6" t="n"/>
      <c r="D210" s="6" t="n"/>
      <c r="E210" s="6" t="n"/>
      <c r="F210" s="6" t="n"/>
      <c r="G210" s="16">
        <f>IF(OR(E210="",F210=""),0,F210-E210)</f>
        <v/>
      </c>
      <c r="H210" s="6" t="n"/>
      <c r="I210" s="7" t="n"/>
      <c r="J210" s="6" t="n"/>
      <c r="K210" s="6" t="n"/>
    </row>
    <row r="211">
      <c r="A211" s="9" t="n"/>
      <c r="B211" s="9" t="n"/>
      <c r="C211" s="6" t="n"/>
      <c r="D211" s="6" t="n"/>
      <c r="E211" s="6" t="n"/>
      <c r="F211" s="6" t="n"/>
      <c r="G211" s="16">
        <f>IF(OR(E211="",F211=""),0,F211-E211)</f>
        <v/>
      </c>
      <c r="H211" s="6" t="n"/>
      <c r="I211" s="7" t="n"/>
      <c r="J211" s="6" t="n"/>
      <c r="K211" s="6" t="n"/>
    </row>
    <row r="212">
      <c r="A212" s="9" t="n"/>
      <c r="B212" s="9" t="n"/>
      <c r="C212" s="6" t="n"/>
      <c r="D212" s="6" t="n"/>
      <c r="E212" s="6" t="n"/>
      <c r="F212" s="6" t="n"/>
      <c r="G212" s="16">
        <f>IF(OR(E212="",F212=""),0,F212-E212)</f>
        <v/>
      </c>
      <c r="H212" s="6" t="n"/>
      <c r="I212" s="7" t="n"/>
      <c r="J212" s="6" t="n"/>
      <c r="K212" s="6" t="n"/>
    </row>
    <row r="213">
      <c r="A213" s="9" t="n"/>
      <c r="B213" s="9" t="n"/>
      <c r="C213" s="6" t="n"/>
      <c r="D213" s="6" t="n"/>
      <c r="E213" s="6" t="n"/>
      <c r="F213" s="6" t="n"/>
      <c r="G213" s="16">
        <f>IF(OR(E213="",F213=""),0,F213-E213)</f>
        <v/>
      </c>
      <c r="H213" s="6" t="n"/>
      <c r="I213" s="7" t="n"/>
      <c r="J213" s="6" t="n"/>
      <c r="K213" s="6" t="n"/>
    </row>
    <row r="214">
      <c r="A214" s="9" t="n"/>
      <c r="B214" s="9" t="n"/>
      <c r="C214" s="6" t="n"/>
      <c r="D214" s="6" t="n"/>
      <c r="E214" s="6" t="n"/>
      <c r="F214" s="6" t="n"/>
      <c r="G214" s="16">
        <f>IF(OR(E214="",F214=""),0,F214-E214)</f>
        <v/>
      </c>
      <c r="H214" s="6" t="n"/>
      <c r="I214" s="7" t="n"/>
      <c r="J214" s="6" t="n"/>
      <c r="K214" s="6" t="n"/>
    </row>
    <row r="215">
      <c r="A215" s="9" t="n"/>
      <c r="B215" s="9" t="n"/>
      <c r="C215" s="6" t="n"/>
      <c r="D215" s="6" t="n"/>
      <c r="E215" s="6" t="n"/>
      <c r="F215" s="6" t="n"/>
      <c r="G215" s="16">
        <f>IF(OR(E215="",F215=""),0,F215-E215)</f>
        <v/>
      </c>
      <c r="H215" s="6" t="n"/>
      <c r="I215" s="7" t="n"/>
      <c r="J215" s="6" t="n"/>
      <c r="K215" s="6" t="n"/>
    </row>
    <row r="216">
      <c r="A216" s="9" t="n"/>
      <c r="B216" s="9" t="n"/>
      <c r="C216" s="6" t="n"/>
      <c r="D216" s="6" t="n"/>
      <c r="E216" s="6" t="n"/>
      <c r="F216" s="6" t="n"/>
      <c r="G216" s="16">
        <f>IF(OR(E216="",F216=""),0,F216-E216)</f>
        <v/>
      </c>
      <c r="H216" s="6" t="n"/>
      <c r="I216" s="7" t="n"/>
      <c r="J216" s="6" t="n"/>
      <c r="K216" s="6" t="n"/>
    </row>
    <row r="217">
      <c r="A217" s="9" t="n"/>
      <c r="B217" s="9" t="n"/>
      <c r="C217" s="6" t="n"/>
      <c r="D217" s="6" t="n"/>
      <c r="E217" s="6" t="n"/>
      <c r="F217" s="6" t="n"/>
      <c r="G217" s="16">
        <f>IF(OR(E217="",F217=""),0,F217-E217)</f>
        <v/>
      </c>
      <c r="H217" s="6" t="n"/>
      <c r="I217" s="7" t="n"/>
      <c r="J217" s="6" t="n"/>
      <c r="K217" s="6" t="n"/>
    </row>
    <row r="218">
      <c r="A218" s="9" t="n"/>
      <c r="B218" s="9" t="n"/>
      <c r="C218" s="6" t="n"/>
      <c r="D218" s="6" t="n"/>
      <c r="E218" s="6" t="n"/>
      <c r="F218" s="6" t="n"/>
      <c r="G218" s="16">
        <f>IF(OR(E218="",F218=""),0,F218-E218)</f>
        <v/>
      </c>
      <c r="H218" s="6" t="n"/>
      <c r="I218" s="7" t="n"/>
      <c r="J218" s="6" t="n"/>
      <c r="K218" s="6" t="n"/>
    </row>
    <row r="219">
      <c r="A219" s="9" t="n"/>
      <c r="B219" s="9" t="n"/>
      <c r="C219" s="6" t="n"/>
      <c r="D219" s="6" t="n"/>
      <c r="E219" s="6" t="n"/>
      <c r="F219" s="6" t="n"/>
      <c r="G219" s="16">
        <f>IF(OR(E219="",F219=""),0,F219-E219)</f>
        <v/>
      </c>
      <c r="H219" s="6" t="n"/>
      <c r="I219" s="7" t="n"/>
      <c r="J219" s="6" t="n"/>
      <c r="K219" s="6" t="n"/>
    </row>
    <row r="220">
      <c r="A220" s="9" t="n"/>
      <c r="B220" s="9" t="n"/>
      <c r="C220" s="6" t="n"/>
      <c r="D220" s="6" t="n"/>
      <c r="E220" s="6" t="n"/>
      <c r="F220" s="6" t="n"/>
      <c r="G220" s="16">
        <f>IF(OR(E220="",F220=""),0,F220-E220)</f>
        <v/>
      </c>
      <c r="H220" s="6" t="n"/>
      <c r="I220" s="7" t="n"/>
      <c r="J220" s="6" t="n"/>
      <c r="K220" s="6" t="n"/>
    </row>
    <row r="221">
      <c r="A221" s="9" t="n"/>
      <c r="B221" s="9" t="n"/>
      <c r="C221" s="6" t="n"/>
      <c r="D221" s="6" t="n"/>
      <c r="E221" s="6" t="n"/>
      <c r="F221" s="6" t="n"/>
      <c r="G221" s="16">
        <f>IF(OR(E221="",F221=""),0,F221-E221)</f>
        <v/>
      </c>
      <c r="H221" s="6" t="n"/>
      <c r="I221" s="7" t="n"/>
      <c r="J221" s="6" t="n"/>
      <c r="K221" s="6" t="n"/>
    </row>
    <row r="222">
      <c r="A222" s="9" t="n"/>
      <c r="B222" s="9" t="n"/>
      <c r="C222" s="6" t="n"/>
      <c r="D222" s="6" t="n"/>
      <c r="E222" s="6" t="n"/>
      <c r="F222" s="6" t="n"/>
      <c r="G222" s="16">
        <f>IF(OR(E222="",F222=""),0,F222-E222)</f>
        <v/>
      </c>
      <c r="H222" s="6" t="n"/>
      <c r="I222" s="7" t="n"/>
      <c r="J222" s="6" t="n"/>
      <c r="K222" s="6" t="n"/>
    </row>
    <row r="223">
      <c r="A223" s="9" t="n"/>
      <c r="B223" s="9" t="n"/>
      <c r="C223" s="6" t="n"/>
      <c r="D223" s="6" t="n"/>
      <c r="E223" s="6" t="n"/>
      <c r="F223" s="6" t="n"/>
      <c r="G223" s="16">
        <f>IF(OR(E223="",F223=""),0,F223-E223)</f>
        <v/>
      </c>
      <c r="H223" s="6" t="n"/>
      <c r="I223" s="7" t="n"/>
      <c r="J223" s="6" t="n"/>
      <c r="K223" s="6" t="n"/>
    </row>
    <row r="224">
      <c r="A224" s="9" t="n"/>
      <c r="B224" s="9" t="n"/>
      <c r="C224" s="6" t="n"/>
      <c r="D224" s="6" t="n"/>
      <c r="E224" s="6" t="n"/>
      <c r="F224" s="6" t="n"/>
      <c r="G224" s="16">
        <f>IF(OR(E224="",F224=""),0,F224-E224)</f>
        <v/>
      </c>
      <c r="H224" s="6" t="n"/>
      <c r="I224" s="7" t="n"/>
      <c r="J224" s="6" t="n"/>
      <c r="K224" s="6" t="n"/>
    </row>
    <row r="225">
      <c r="A225" s="9" t="n"/>
      <c r="B225" s="9" t="n"/>
      <c r="C225" s="6" t="n"/>
      <c r="D225" s="6" t="n"/>
      <c r="E225" s="6" t="n"/>
      <c r="F225" s="6" t="n"/>
      <c r="G225" s="16">
        <f>IF(OR(E225="",F225=""),0,F225-E225)</f>
        <v/>
      </c>
      <c r="H225" s="6" t="n"/>
      <c r="I225" s="7" t="n"/>
      <c r="J225" s="6" t="n"/>
      <c r="K225" s="6" t="n"/>
    </row>
    <row r="226">
      <c r="A226" s="9" t="n"/>
      <c r="B226" s="9" t="n"/>
      <c r="C226" s="6" t="n"/>
      <c r="D226" s="6" t="n"/>
      <c r="E226" s="6" t="n"/>
      <c r="F226" s="6" t="n"/>
      <c r="G226" s="16">
        <f>IF(OR(E226="",F226=""),0,F226-E226)</f>
        <v/>
      </c>
      <c r="H226" s="6" t="n"/>
      <c r="I226" s="7" t="n"/>
      <c r="J226" s="6" t="n"/>
      <c r="K226" s="6" t="n"/>
    </row>
    <row r="227">
      <c r="A227" s="9" t="n"/>
      <c r="B227" s="9" t="n"/>
      <c r="C227" s="6" t="n"/>
      <c r="D227" s="6" t="n"/>
      <c r="E227" s="6" t="n"/>
      <c r="F227" s="6" t="n"/>
      <c r="G227" s="16">
        <f>IF(OR(E227="",F227=""),0,F227-E227)</f>
        <v/>
      </c>
      <c r="H227" s="6" t="n"/>
      <c r="I227" s="7" t="n"/>
      <c r="J227" s="6" t="n"/>
      <c r="K227" s="6" t="n"/>
    </row>
    <row r="228">
      <c r="A228" s="9" t="n"/>
      <c r="B228" s="9" t="n"/>
      <c r="C228" s="6" t="n"/>
      <c r="D228" s="6" t="n"/>
      <c r="E228" s="6" t="n"/>
      <c r="F228" s="6" t="n"/>
      <c r="G228" s="16">
        <f>IF(OR(E228="",F228=""),0,F228-E228)</f>
        <v/>
      </c>
      <c r="H228" s="6" t="n"/>
      <c r="I228" s="7" t="n"/>
      <c r="J228" s="6" t="n"/>
      <c r="K228" s="6" t="n"/>
    </row>
    <row r="229">
      <c r="A229" s="9" t="n"/>
      <c r="B229" s="9" t="n"/>
      <c r="C229" s="6" t="n"/>
      <c r="D229" s="6" t="n"/>
      <c r="E229" s="6" t="n"/>
      <c r="F229" s="6" t="n"/>
      <c r="G229" s="16">
        <f>IF(OR(E229="",F229=""),0,F229-E229)</f>
        <v/>
      </c>
      <c r="H229" s="6" t="n"/>
      <c r="I229" s="7" t="n"/>
      <c r="J229" s="6" t="n"/>
      <c r="K229" s="6" t="n"/>
    </row>
    <row r="230">
      <c r="A230" s="9" t="n"/>
      <c r="B230" s="9" t="n"/>
      <c r="C230" s="6" t="n"/>
      <c r="D230" s="6" t="n"/>
      <c r="E230" s="6" t="n"/>
      <c r="F230" s="6" t="n"/>
      <c r="G230" s="16">
        <f>IF(OR(E230="",F230=""),0,F230-E230)</f>
        <v/>
      </c>
      <c r="H230" s="6" t="n"/>
      <c r="I230" s="7" t="n"/>
      <c r="J230" s="6" t="n"/>
      <c r="K230" s="6" t="n"/>
    </row>
    <row r="231">
      <c r="A231" s="9" t="n"/>
      <c r="B231" s="9" t="n"/>
      <c r="C231" s="6" t="n"/>
      <c r="D231" s="6" t="n"/>
      <c r="E231" s="6" t="n"/>
      <c r="F231" s="6" t="n"/>
      <c r="G231" s="16">
        <f>IF(OR(E231="",F231=""),0,F231-E231)</f>
        <v/>
      </c>
      <c r="H231" s="6" t="n"/>
      <c r="I231" s="7" t="n"/>
      <c r="J231" s="6" t="n"/>
      <c r="K231" s="6" t="n"/>
    </row>
    <row r="232">
      <c r="A232" s="9" t="n"/>
      <c r="B232" s="9" t="n"/>
      <c r="C232" s="6" t="n"/>
      <c r="D232" s="6" t="n"/>
      <c r="E232" s="6" t="n"/>
      <c r="F232" s="6" t="n"/>
      <c r="G232" s="16">
        <f>IF(OR(E232="",F232=""),0,F232-E232)</f>
        <v/>
      </c>
      <c r="H232" s="6" t="n"/>
      <c r="I232" s="7" t="n"/>
      <c r="J232" s="6" t="n"/>
      <c r="K232" s="6" t="n"/>
    </row>
    <row r="233">
      <c r="A233" s="9" t="n"/>
      <c r="B233" s="9" t="n"/>
      <c r="C233" s="6" t="n"/>
      <c r="D233" s="6" t="n"/>
      <c r="E233" s="6" t="n"/>
      <c r="F233" s="6" t="n"/>
      <c r="G233" s="16">
        <f>IF(OR(E233="",F233=""),0,F233-E233)</f>
        <v/>
      </c>
      <c r="H233" s="6" t="n"/>
      <c r="I233" s="7" t="n"/>
      <c r="J233" s="6" t="n"/>
      <c r="K233" s="6" t="n"/>
    </row>
    <row r="234">
      <c r="A234" s="9" t="n"/>
      <c r="B234" s="9" t="n"/>
      <c r="C234" s="6" t="n"/>
      <c r="D234" s="6" t="n"/>
      <c r="E234" s="6" t="n"/>
      <c r="F234" s="6" t="n"/>
      <c r="G234" s="16">
        <f>IF(OR(E234="",F234=""),0,F234-E234)</f>
        <v/>
      </c>
      <c r="H234" s="6" t="n"/>
      <c r="I234" s="7" t="n"/>
      <c r="J234" s="6" t="n"/>
      <c r="K234" s="6" t="n"/>
    </row>
    <row r="235">
      <c r="A235" s="9" t="n"/>
      <c r="B235" s="9" t="n"/>
      <c r="C235" s="6" t="n"/>
      <c r="D235" s="6" t="n"/>
      <c r="E235" s="6" t="n"/>
      <c r="F235" s="6" t="n"/>
      <c r="G235" s="16">
        <f>IF(OR(E235="",F235=""),0,F235-E235)</f>
        <v/>
      </c>
      <c r="H235" s="6" t="n"/>
      <c r="I235" s="7" t="n"/>
      <c r="J235" s="6" t="n"/>
      <c r="K235" s="6" t="n"/>
    </row>
    <row r="236">
      <c r="A236" s="9" t="n"/>
      <c r="B236" s="9" t="n"/>
      <c r="C236" s="6" t="n"/>
      <c r="D236" s="6" t="n"/>
      <c r="E236" s="6" t="n"/>
      <c r="F236" s="6" t="n"/>
      <c r="G236" s="16">
        <f>IF(OR(E236="",F236=""),0,F236-E236)</f>
        <v/>
      </c>
      <c r="H236" s="6" t="n"/>
      <c r="I236" s="7" t="n"/>
      <c r="J236" s="6" t="n"/>
      <c r="K236" s="6" t="n"/>
    </row>
    <row r="237">
      <c r="A237" s="9" t="n"/>
      <c r="B237" s="9" t="n"/>
      <c r="C237" s="6" t="n"/>
      <c r="D237" s="6" t="n"/>
      <c r="E237" s="6" t="n"/>
      <c r="F237" s="6" t="n"/>
      <c r="G237" s="16">
        <f>IF(OR(E237="",F237=""),0,F237-E237)</f>
        <v/>
      </c>
      <c r="H237" s="6" t="n"/>
      <c r="I237" s="7" t="n"/>
      <c r="J237" s="6" t="n"/>
      <c r="K237" s="6" t="n"/>
    </row>
    <row r="238">
      <c r="A238" s="9" t="n"/>
      <c r="B238" s="9" t="n"/>
      <c r="C238" s="6" t="n"/>
      <c r="D238" s="6" t="n"/>
      <c r="E238" s="6" t="n"/>
      <c r="F238" s="6" t="n"/>
      <c r="G238" s="16">
        <f>IF(OR(E238="",F238=""),0,F238-E238)</f>
        <v/>
      </c>
      <c r="H238" s="6" t="n"/>
      <c r="I238" s="7" t="n"/>
      <c r="J238" s="6" t="n"/>
      <c r="K238" s="6" t="n"/>
    </row>
    <row r="239">
      <c r="A239" s="9" t="n"/>
      <c r="B239" s="9" t="n"/>
      <c r="C239" s="6" t="n"/>
      <c r="D239" s="6" t="n"/>
      <c r="E239" s="6" t="n"/>
      <c r="F239" s="6" t="n"/>
      <c r="G239" s="16">
        <f>IF(OR(E239="",F239=""),0,F239-E239)</f>
        <v/>
      </c>
      <c r="H239" s="6" t="n"/>
      <c r="I239" s="7" t="n"/>
      <c r="J239" s="6" t="n"/>
      <c r="K239" s="6" t="n"/>
    </row>
    <row r="240">
      <c r="A240" s="9" t="n"/>
      <c r="B240" s="9" t="n"/>
      <c r="C240" s="6" t="n"/>
      <c r="D240" s="6" t="n"/>
      <c r="E240" s="6" t="n"/>
      <c r="F240" s="6" t="n"/>
      <c r="G240" s="16">
        <f>IF(OR(E240="",F240=""),0,F240-E240)</f>
        <v/>
      </c>
      <c r="H240" s="6" t="n"/>
      <c r="I240" s="7" t="n"/>
      <c r="J240" s="6" t="n"/>
      <c r="K240" s="6" t="n"/>
    </row>
    <row r="241">
      <c r="A241" s="9" t="n"/>
      <c r="B241" s="9" t="n"/>
      <c r="C241" s="6" t="n"/>
      <c r="D241" s="6" t="n"/>
      <c r="E241" s="6" t="n"/>
      <c r="F241" s="6" t="n"/>
      <c r="G241" s="16">
        <f>IF(OR(E241="",F241=""),0,F241-E241)</f>
        <v/>
      </c>
      <c r="H241" s="6" t="n"/>
      <c r="I241" s="7" t="n"/>
      <c r="J241" s="6" t="n"/>
      <c r="K241" s="6" t="n"/>
    </row>
    <row r="242">
      <c r="A242" s="9" t="n"/>
      <c r="B242" s="9" t="n"/>
      <c r="C242" s="6" t="n"/>
      <c r="D242" s="6" t="n"/>
      <c r="E242" s="6" t="n"/>
      <c r="F242" s="6" t="n"/>
      <c r="G242" s="16">
        <f>IF(OR(E242="",F242=""),0,F242-E242)</f>
        <v/>
      </c>
      <c r="H242" s="6" t="n"/>
      <c r="I242" s="7" t="n"/>
      <c r="J242" s="6" t="n"/>
      <c r="K242" s="6" t="n"/>
    </row>
    <row r="243">
      <c r="A243" s="9" t="n"/>
      <c r="B243" s="9" t="n"/>
      <c r="C243" s="6" t="n"/>
      <c r="D243" s="6" t="n"/>
      <c r="E243" s="6" t="n"/>
      <c r="F243" s="6" t="n"/>
      <c r="G243" s="16">
        <f>IF(OR(E243="",F243=""),0,F243-E243)</f>
        <v/>
      </c>
      <c r="H243" s="6" t="n"/>
      <c r="I243" s="7" t="n"/>
      <c r="J243" s="6" t="n"/>
      <c r="K243" s="6" t="n"/>
    </row>
    <row r="244">
      <c r="A244" s="9" t="n"/>
      <c r="B244" s="9" t="n"/>
      <c r="C244" s="6" t="n"/>
      <c r="D244" s="6" t="n"/>
      <c r="E244" s="6" t="n"/>
      <c r="F244" s="6" t="n"/>
      <c r="G244" s="16">
        <f>IF(OR(E244="",F244=""),0,F244-E244)</f>
        <v/>
      </c>
      <c r="H244" s="6" t="n"/>
      <c r="I244" s="7" t="n"/>
      <c r="J244" s="6" t="n"/>
      <c r="K244" s="6" t="n"/>
    </row>
    <row r="245">
      <c r="A245" s="9" t="n"/>
      <c r="B245" s="9" t="n"/>
      <c r="C245" s="6" t="n"/>
      <c r="D245" s="6" t="n"/>
      <c r="E245" s="6" t="n"/>
      <c r="F245" s="6" t="n"/>
      <c r="G245" s="16">
        <f>IF(OR(E245="",F245=""),0,F245-E245)</f>
        <v/>
      </c>
      <c r="H245" s="6" t="n"/>
      <c r="I245" s="7" t="n"/>
      <c r="J245" s="6" t="n"/>
      <c r="K245" s="6" t="n"/>
    </row>
    <row r="246">
      <c r="A246" s="9" t="n"/>
      <c r="B246" s="9" t="n"/>
      <c r="C246" s="6" t="n"/>
      <c r="D246" s="6" t="n"/>
      <c r="E246" s="6" t="n"/>
      <c r="F246" s="6" t="n"/>
      <c r="G246" s="16">
        <f>IF(OR(E246="",F246=""),0,F246-E246)</f>
        <v/>
      </c>
      <c r="H246" s="6" t="n"/>
      <c r="I246" s="7" t="n"/>
      <c r="J246" s="6" t="n"/>
      <c r="K246" s="6" t="n"/>
    </row>
    <row r="247">
      <c r="A247" s="9" t="n"/>
      <c r="B247" s="9" t="n"/>
      <c r="C247" s="6" t="n"/>
      <c r="D247" s="6" t="n"/>
      <c r="E247" s="6" t="n"/>
      <c r="F247" s="6" t="n"/>
      <c r="G247" s="16">
        <f>IF(OR(E247="",F247=""),0,F247-E247)</f>
        <v/>
      </c>
      <c r="H247" s="6" t="n"/>
      <c r="I247" s="7" t="n"/>
      <c r="J247" s="6" t="n"/>
      <c r="K247" s="6" t="n"/>
    </row>
    <row r="248">
      <c r="A248" s="9" t="n"/>
      <c r="B248" s="9" t="n"/>
      <c r="C248" s="6" t="n"/>
      <c r="D248" s="6" t="n"/>
      <c r="E248" s="6" t="n"/>
      <c r="F248" s="6" t="n"/>
      <c r="G248" s="16">
        <f>IF(OR(E248="",F248=""),0,F248-E248)</f>
        <v/>
      </c>
      <c r="H248" s="6" t="n"/>
      <c r="I248" s="7" t="n"/>
      <c r="J248" s="6" t="n"/>
      <c r="K248" s="6" t="n"/>
    </row>
    <row r="249">
      <c r="A249" s="9" t="n"/>
      <c r="B249" s="9" t="n"/>
      <c r="C249" s="6" t="n"/>
      <c r="D249" s="6" t="n"/>
      <c r="E249" s="6" t="n"/>
      <c r="F249" s="6" t="n"/>
      <c r="G249" s="16">
        <f>IF(OR(E249="",F249=""),0,F249-E249)</f>
        <v/>
      </c>
      <c r="H249" s="6" t="n"/>
      <c r="I249" s="7" t="n"/>
      <c r="J249" s="6" t="n"/>
      <c r="K249" s="6" t="n"/>
    </row>
    <row r="250">
      <c r="A250" s="9" t="n"/>
      <c r="B250" s="9" t="n"/>
      <c r="C250" s="6" t="n"/>
      <c r="D250" s="6" t="n"/>
      <c r="E250" s="6" t="n"/>
      <c r="F250" s="6" t="n"/>
      <c r="G250" s="16">
        <f>IF(OR(E250="",F250=""),0,F250-E250)</f>
        <v/>
      </c>
      <c r="H250" s="6" t="n"/>
      <c r="I250" s="7" t="n"/>
      <c r="J250" s="6" t="n"/>
      <c r="K250" s="6" t="n"/>
    </row>
    <row r="251">
      <c r="A251" s="9" t="n"/>
      <c r="B251" s="9" t="n"/>
      <c r="C251" s="6" t="n"/>
      <c r="D251" s="6" t="n"/>
      <c r="E251" s="6" t="n"/>
      <c r="F251" s="6" t="n"/>
      <c r="G251" s="16">
        <f>IF(OR(E251="",F251=""),0,F251-E251)</f>
        <v/>
      </c>
      <c r="H251" s="6" t="n"/>
      <c r="I251" s="7" t="n"/>
      <c r="J251" s="6" t="n"/>
      <c r="K251" s="6" t="n"/>
    </row>
    <row r="252">
      <c r="A252" s="9" t="n"/>
      <c r="B252" s="9" t="n"/>
      <c r="C252" s="6" t="n"/>
      <c r="D252" s="6" t="n"/>
      <c r="E252" s="6" t="n"/>
      <c r="F252" s="6" t="n"/>
      <c r="G252" s="16">
        <f>IF(OR(E252="",F252=""),0,F252-E252)</f>
        <v/>
      </c>
      <c r="H252" s="6" t="n"/>
      <c r="I252" s="7" t="n"/>
      <c r="J252" s="6" t="n"/>
      <c r="K252" s="6" t="n"/>
    </row>
    <row r="253">
      <c r="A253" s="9" t="n"/>
      <c r="B253" s="9" t="n"/>
      <c r="C253" s="6" t="n"/>
      <c r="D253" s="6" t="n"/>
      <c r="E253" s="6" t="n"/>
      <c r="F253" s="6" t="n"/>
      <c r="G253" s="16">
        <f>IF(OR(E253="",F253=""),0,F253-E253)</f>
        <v/>
      </c>
      <c r="H253" s="6" t="n"/>
      <c r="I253" s="7" t="n"/>
      <c r="J253" s="6" t="n"/>
      <c r="K253" s="6" t="n"/>
    </row>
    <row r="254">
      <c r="A254" s="9" t="n"/>
      <c r="B254" s="9" t="n"/>
      <c r="C254" s="6" t="n"/>
      <c r="D254" s="6" t="n"/>
      <c r="E254" s="6" t="n"/>
      <c r="F254" s="6" t="n"/>
      <c r="G254" s="16">
        <f>IF(OR(E254="",F254=""),0,F254-E254)</f>
        <v/>
      </c>
      <c r="H254" s="6" t="n"/>
      <c r="I254" s="7" t="n"/>
      <c r="J254" s="6" t="n"/>
      <c r="K254" s="6" t="n"/>
    </row>
    <row r="255">
      <c r="A255" s="9" t="n"/>
      <c r="B255" s="9" t="n"/>
      <c r="C255" s="6" t="n"/>
      <c r="D255" s="6" t="n"/>
      <c r="E255" s="6" t="n"/>
      <c r="F255" s="6" t="n"/>
      <c r="G255" s="16">
        <f>IF(OR(E255="",F255=""),0,F255-E255)</f>
        <v/>
      </c>
      <c r="H255" s="6" t="n"/>
      <c r="I255" s="7" t="n"/>
      <c r="J255" s="6" t="n"/>
      <c r="K255" s="6" t="n"/>
    </row>
    <row r="256">
      <c r="A256" s="9" t="n"/>
      <c r="B256" s="9" t="n"/>
      <c r="C256" s="6" t="n"/>
      <c r="D256" s="6" t="n"/>
      <c r="E256" s="6" t="n"/>
      <c r="F256" s="6" t="n"/>
      <c r="G256" s="16">
        <f>IF(OR(E256="",F256=""),0,F256-E256)</f>
        <v/>
      </c>
      <c r="H256" s="6" t="n"/>
      <c r="I256" s="7" t="n"/>
      <c r="J256" s="6" t="n"/>
      <c r="K256" s="6" t="n"/>
    </row>
    <row r="257">
      <c r="A257" s="9" t="n"/>
      <c r="B257" s="9" t="n"/>
      <c r="C257" s="6" t="n"/>
      <c r="D257" s="6" t="n"/>
      <c r="E257" s="6" t="n"/>
      <c r="F257" s="6" t="n"/>
      <c r="G257" s="16">
        <f>IF(OR(E257="",F257=""),0,F257-E257)</f>
        <v/>
      </c>
      <c r="H257" s="6" t="n"/>
      <c r="I257" s="7" t="n"/>
      <c r="J257" s="6" t="n"/>
      <c r="K257" s="6" t="n"/>
    </row>
    <row r="258">
      <c r="A258" s="9" t="n"/>
      <c r="B258" s="9" t="n"/>
      <c r="C258" s="6" t="n"/>
      <c r="D258" s="6" t="n"/>
      <c r="E258" s="6" t="n"/>
      <c r="F258" s="6" t="n"/>
      <c r="G258" s="16">
        <f>IF(OR(E258="",F258=""),0,F258-E258)</f>
        <v/>
      </c>
      <c r="H258" s="6" t="n"/>
      <c r="I258" s="7" t="n"/>
      <c r="J258" s="6" t="n"/>
      <c r="K258" s="6" t="n"/>
    </row>
    <row r="259">
      <c r="A259" s="9" t="n"/>
      <c r="B259" s="9" t="n"/>
      <c r="C259" s="6" t="n"/>
      <c r="D259" s="6" t="n"/>
      <c r="E259" s="6" t="n"/>
      <c r="F259" s="6" t="n"/>
      <c r="G259" s="16">
        <f>IF(OR(E259="",F259=""),0,F259-E259)</f>
        <v/>
      </c>
      <c r="H259" s="6" t="n"/>
      <c r="I259" s="7" t="n"/>
      <c r="J259" s="6" t="n"/>
      <c r="K259" s="6" t="n"/>
    </row>
    <row r="260">
      <c r="A260" s="9" t="n"/>
      <c r="B260" s="9" t="n"/>
      <c r="C260" s="6" t="n"/>
      <c r="D260" s="6" t="n"/>
      <c r="E260" s="6" t="n"/>
      <c r="F260" s="6" t="n"/>
      <c r="G260" s="16">
        <f>IF(OR(E260="",F260=""),0,F260-E260)</f>
        <v/>
      </c>
      <c r="H260" s="6" t="n"/>
      <c r="I260" s="7" t="n"/>
      <c r="J260" s="6" t="n"/>
      <c r="K260" s="6" t="n"/>
    </row>
    <row r="261">
      <c r="A261" s="9" t="n"/>
      <c r="B261" s="9" t="n"/>
      <c r="C261" s="6" t="n"/>
      <c r="D261" s="6" t="n"/>
      <c r="E261" s="6" t="n"/>
      <c r="F261" s="6" t="n"/>
      <c r="G261" s="16">
        <f>IF(OR(E261="",F261=""),0,F261-E261)</f>
        <v/>
      </c>
      <c r="H261" s="6" t="n"/>
      <c r="I261" s="7" t="n"/>
      <c r="J261" s="6" t="n"/>
      <c r="K261" s="6" t="n"/>
    </row>
    <row r="262">
      <c r="A262" s="9" t="n"/>
      <c r="B262" s="9" t="n"/>
      <c r="C262" s="6" t="n"/>
      <c r="D262" s="6" t="n"/>
      <c r="E262" s="6" t="n"/>
      <c r="F262" s="6" t="n"/>
      <c r="G262" s="16">
        <f>IF(OR(E262="",F262=""),0,F262-E262)</f>
        <v/>
      </c>
      <c r="H262" s="6" t="n"/>
      <c r="I262" s="7" t="n"/>
      <c r="J262" s="6" t="n"/>
      <c r="K262" s="6" t="n"/>
    </row>
    <row r="263">
      <c r="A263" s="9" t="n"/>
      <c r="B263" s="9" t="n"/>
      <c r="C263" s="6" t="n"/>
      <c r="D263" s="6" t="n"/>
      <c r="E263" s="6" t="n"/>
      <c r="F263" s="6" t="n"/>
      <c r="G263" s="16">
        <f>IF(OR(E263="",F263=""),0,F263-E263)</f>
        <v/>
      </c>
      <c r="H263" s="6" t="n"/>
      <c r="I263" s="7" t="n"/>
      <c r="J263" s="6" t="n"/>
      <c r="K263" s="6" t="n"/>
    </row>
    <row r="264">
      <c r="A264" s="9" t="n"/>
      <c r="B264" s="9" t="n"/>
      <c r="C264" s="6" t="n"/>
      <c r="D264" s="6" t="n"/>
      <c r="E264" s="6" t="n"/>
      <c r="F264" s="6" t="n"/>
      <c r="G264" s="16">
        <f>IF(OR(E264="",F264=""),0,F264-E264)</f>
        <v/>
      </c>
      <c r="H264" s="6" t="n"/>
      <c r="I264" s="7" t="n"/>
      <c r="J264" s="6" t="n"/>
      <c r="K264" s="6" t="n"/>
    </row>
    <row r="265">
      <c r="A265" s="9" t="n"/>
      <c r="B265" s="9" t="n"/>
      <c r="C265" s="6" t="n"/>
      <c r="D265" s="6" t="n"/>
      <c r="E265" s="6" t="n"/>
      <c r="F265" s="6" t="n"/>
      <c r="G265" s="16">
        <f>IF(OR(E265="",F265=""),0,F265-E265)</f>
        <v/>
      </c>
      <c r="H265" s="6" t="n"/>
      <c r="I265" s="7" t="n"/>
      <c r="J265" s="6" t="n"/>
      <c r="K265" s="6" t="n"/>
    </row>
    <row r="266">
      <c r="A266" s="9" t="n"/>
      <c r="B266" s="9" t="n"/>
      <c r="C266" s="6" t="n"/>
      <c r="D266" s="6" t="n"/>
      <c r="E266" s="6" t="n"/>
      <c r="F266" s="6" t="n"/>
      <c r="G266" s="16">
        <f>IF(OR(E266="",F266=""),0,F266-E266)</f>
        <v/>
      </c>
      <c r="H266" s="6" t="n"/>
      <c r="I266" s="7" t="n"/>
      <c r="J266" s="6" t="n"/>
      <c r="K266" s="6" t="n"/>
    </row>
    <row r="267">
      <c r="A267" s="9" t="n"/>
      <c r="B267" s="9" t="n"/>
      <c r="C267" s="6" t="n"/>
      <c r="D267" s="6" t="n"/>
      <c r="E267" s="6" t="n"/>
      <c r="F267" s="6" t="n"/>
      <c r="G267" s="16">
        <f>IF(OR(E267="",F267=""),0,F267-E267)</f>
        <v/>
      </c>
      <c r="H267" s="6" t="n"/>
      <c r="I267" s="7" t="n"/>
      <c r="J267" s="6" t="n"/>
      <c r="K267" s="6" t="n"/>
    </row>
    <row r="268">
      <c r="A268" s="9" t="n"/>
      <c r="B268" s="9" t="n"/>
      <c r="C268" s="6" t="n"/>
      <c r="D268" s="6" t="n"/>
      <c r="E268" s="6" t="n"/>
      <c r="F268" s="6" t="n"/>
      <c r="G268" s="16">
        <f>IF(OR(E268="",F268=""),0,F268-E268)</f>
        <v/>
      </c>
      <c r="H268" s="6" t="n"/>
      <c r="I268" s="7" t="n"/>
      <c r="J268" s="6" t="n"/>
      <c r="K268" s="6" t="n"/>
    </row>
    <row r="269">
      <c r="A269" s="9" t="n"/>
      <c r="B269" s="9" t="n"/>
      <c r="C269" s="6" t="n"/>
      <c r="D269" s="6" t="n"/>
      <c r="E269" s="6" t="n"/>
      <c r="F269" s="6" t="n"/>
      <c r="G269" s="16">
        <f>IF(OR(E269="",F269=""),0,F269-E269)</f>
        <v/>
      </c>
      <c r="H269" s="6" t="n"/>
      <c r="I269" s="7" t="n"/>
      <c r="J269" s="6" t="n"/>
      <c r="K269" s="6" t="n"/>
    </row>
    <row r="270">
      <c r="A270" s="9" t="n"/>
      <c r="B270" s="9" t="n"/>
      <c r="C270" s="6" t="n"/>
      <c r="D270" s="6" t="n"/>
      <c r="E270" s="6" t="n"/>
      <c r="F270" s="6" t="n"/>
      <c r="G270" s="16">
        <f>IF(OR(E270="",F270=""),0,F270-E270)</f>
        <v/>
      </c>
      <c r="H270" s="6" t="n"/>
      <c r="I270" s="7" t="n"/>
      <c r="J270" s="6" t="n"/>
      <c r="K270" s="6" t="n"/>
    </row>
    <row r="271">
      <c r="A271" s="9" t="n"/>
      <c r="B271" s="9" t="n"/>
      <c r="C271" s="6" t="n"/>
      <c r="D271" s="6" t="n"/>
      <c r="E271" s="6" t="n"/>
      <c r="F271" s="6" t="n"/>
      <c r="G271" s="16">
        <f>IF(OR(E271="",F271=""),0,F271-E271)</f>
        <v/>
      </c>
      <c r="H271" s="6" t="n"/>
      <c r="I271" s="7" t="n"/>
      <c r="J271" s="6" t="n"/>
      <c r="K271" s="6" t="n"/>
    </row>
    <row r="272">
      <c r="A272" s="9" t="n"/>
      <c r="B272" s="9" t="n"/>
      <c r="C272" s="6" t="n"/>
      <c r="D272" s="6" t="n"/>
      <c r="E272" s="6" t="n"/>
      <c r="F272" s="6" t="n"/>
      <c r="G272" s="16">
        <f>IF(OR(E272="",F272=""),0,F272-E272)</f>
        <v/>
      </c>
      <c r="H272" s="6" t="n"/>
      <c r="I272" s="7" t="n"/>
      <c r="J272" s="6" t="n"/>
      <c r="K272" s="6" t="n"/>
    </row>
    <row r="273">
      <c r="A273" s="9" t="n"/>
      <c r="B273" s="9" t="n"/>
      <c r="C273" s="6" t="n"/>
      <c r="D273" s="6" t="n"/>
      <c r="E273" s="6" t="n"/>
      <c r="F273" s="6" t="n"/>
      <c r="G273" s="16">
        <f>IF(OR(E273="",F273=""),0,F273-E273)</f>
        <v/>
      </c>
      <c r="H273" s="6" t="n"/>
      <c r="I273" s="7" t="n"/>
      <c r="J273" s="6" t="n"/>
      <c r="K273" s="6" t="n"/>
    </row>
    <row r="274">
      <c r="A274" s="9" t="n"/>
      <c r="B274" s="9" t="n"/>
      <c r="C274" s="6" t="n"/>
      <c r="D274" s="6" t="n"/>
      <c r="E274" s="6" t="n"/>
      <c r="F274" s="6" t="n"/>
      <c r="G274" s="16">
        <f>IF(OR(E274="",F274=""),0,F274-E274)</f>
        <v/>
      </c>
      <c r="H274" s="6" t="n"/>
      <c r="I274" s="7" t="n"/>
      <c r="J274" s="6" t="n"/>
      <c r="K274" s="6" t="n"/>
    </row>
    <row r="275">
      <c r="A275" s="9" t="n"/>
      <c r="B275" s="9" t="n"/>
      <c r="C275" s="6" t="n"/>
      <c r="D275" s="6" t="n"/>
      <c r="E275" s="6" t="n"/>
      <c r="F275" s="6" t="n"/>
      <c r="G275" s="16">
        <f>IF(OR(E275="",F275=""),0,F275-E275)</f>
        <v/>
      </c>
      <c r="H275" s="6" t="n"/>
      <c r="I275" s="7" t="n"/>
      <c r="J275" s="6" t="n"/>
      <c r="K275" s="6" t="n"/>
    </row>
    <row r="276">
      <c r="A276" s="9" t="n"/>
      <c r="B276" s="9" t="n"/>
      <c r="C276" s="6" t="n"/>
      <c r="D276" s="6" t="n"/>
      <c r="E276" s="6" t="n"/>
      <c r="F276" s="6" t="n"/>
      <c r="G276" s="16">
        <f>IF(OR(E276="",F276=""),0,F276-E276)</f>
        <v/>
      </c>
      <c r="H276" s="6" t="n"/>
      <c r="I276" s="7" t="n"/>
      <c r="J276" s="6" t="n"/>
      <c r="K276" s="6" t="n"/>
    </row>
    <row r="277">
      <c r="A277" s="9" t="n"/>
      <c r="B277" s="9" t="n"/>
      <c r="C277" s="6" t="n"/>
      <c r="D277" s="6" t="n"/>
      <c r="E277" s="6" t="n"/>
      <c r="F277" s="6" t="n"/>
      <c r="G277" s="16">
        <f>IF(OR(E277="",F277=""),0,F277-E277)</f>
        <v/>
      </c>
      <c r="H277" s="6" t="n"/>
      <c r="I277" s="7" t="n"/>
      <c r="J277" s="6" t="n"/>
      <c r="K277" s="6" t="n"/>
    </row>
    <row r="278">
      <c r="A278" s="9" t="n"/>
      <c r="B278" s="9" t="n"/>
      <c r="C278" s="6" t="n"/>
      <c r="D278" s="6" t="n"/>
      <c r="E278" s="6" t="n"/>
      <c r="F278" s="6" t="n"/>
      <c r="G278" s="16">
        <f>IF(OR(E278="",F278=""),0,F278-E278)</f>
        <v/>
      </c>
      <c r="H278" s="6" t="n"/>
      <c r="I278" s="7" t="n"/>
      <c r="J278" s="6" t="n"/>
      <c r="K278" s="6" t="n"/>
    </row>
    <row r="279">
      <c r="A279" s="9" t="n"/>
      <c r="B279" s="9" t="n"/>
      <c r="C279" s="6" t="n"/>
      <c r="D279" s="6" t="n"/>
      <c r="E279" s="6" t="n"/>
      <c r="F279" s="6" t="n"/>
      <c r="G279" s="16">
        <f>IF(OR(E279="",F279=""),0,F279-E279)</f>
        <v/>
      </c>
      <c r="H279" s="6" t="n"/>
      <c r="I279" s="7" t="n"/>
      <c r="J279" s="6" t="n"/>
      <c r="K279" s="6" t="n"/>
    </row>
    <row r="280">
      <c r="A280" s="9" t="n"/>
      <c r="B280" s="9" t="n"/>
      <c r="C280" s="6" t="n"/>
      <c r="D280" s="6" t="n"/>
      <c r="E280" s="6" t="n"/>
      <c r="F280" s="6" t="n"/>
      <c r="G280" s="16">
        <f>IF(OR(E280="",F280=""),0,F280-E280)</f>
        <v/>
      </c>
      <c r="H280" s="6" t="n"/>
      <c r="I280" s="7" t="n"/>
      <c r="J280" s="6" t="n"/>
      <c r="K280" s="6" t="n"/>
    </row>
    <row r="281">
      <c r="A281" s="9" t="n"/>
      <c r="B281" s="9" t="n"/>
      <c r="C281" s="6" t="n"/>
      <c r="D281" s="6" t="n"/>
      <c r="E281" s="6" t="n"/>
      <c r="F281" s="6" t="n"/>
      <c r="G281" s="16">
        <f>IF(OR(E281="",F281=""),0,F281-E281)</f>
        <v/>
      </c>
      <c r="H281" s="6" t="n"/>
      <c r="I281" s="7" t="n"/>
      <c r="J281" s="6" t="n"/>
      <c r="K281" s="6" t="n"/>
    </row>
    <row r="282">
      <c r="A282" s="9" t="n"/>
      <c r="B282" s="9" t="n"/>
      <c r="C282" s="6" t="n"/>
      <c r="D282" s="6" t="n"/>
      <c r="E282" s="6" t="n"/>
      <c r="F282" s="6" t="n"/>
      <c r="G282" s="16">
        <f>IF(OR(E282="",F282=""),0,F282-E282)</f>
        <v/>
      </c>
      <c r="H282" s="6" t="n"/>
      <c r="I282" s="7" t="n"/>
      <c r="J282" s="6" t="n"/>
      <c r="K282" s="6" t="n"/>
    </row>
    <row r="283">
      <c r="A283" s="9" t="n"/>
      <c r="B283" s="9" t="n"/>
      <c r="C283" s="6" t="n"/>
      <c r="D283" s="6" t="n"/>
      <c r="E283" s="6" t="n"/>
      <c r="F283" s="6" t="n"/>
      <c r="G283" s="16">
        <f>IF(OR(E283="",F283=""),0,F283-E283)</f>
        <v/>
      </c>
      <c r="H283" s="6" t="n"/>
      <c r="I283" s="7" t="n"/>
      <c r="J283" s="6" t="n"/>
      <c r="K283" s="6" t="n"/>
    </row>
    <row r="284">
      <c r="A284" s="9" t="n"/>
      <c r="B284" s="9" t="n"/>
      <c r="C284" s="6" t="n"/>
      <c r="D284" s="6" t="n"/>
      <c r="E284" s="6" t="n"/>
      <c r="F284" s="6" t="n"/>
      <c r="G284" s="16">
        <f>IF(OR(E284="",F284=""),0,F284-E284)</f>
        <v/>
      </c>
      <c r="H284" s="6" t="n"/>
      <c r="I284" s="7" t="n"/>
      <c r="J284" s="6" t="n"/>
      <c r="K284" s="6" t="n"/>
    </row>
    <row r="285">
      <c r="A285" s="9" t="n"/>
      <c r="B285" s="9" t="n"/>
      <c r="C285" s="6" t="n"/>
      <c r="D285" s="6" t="n"/>
      <c r="E285" s="6" t="n"/>
      <c r="F285" s="6" t="n"/>
      <c r="G285" s="16">
        <f>IF(OR(E285="",F285=""),0,F285-E285)</f>
        <v/>
      </c>
      <c r="H285" s="6" t="n"/>
      <c r="I285" s="7" t="n"/>
      <c r="J285" s="6" t="n"/>
      <c r="K285" s="6" t="n"/>
    </row>
    <row r="286">
      <c r="A286" s="9" t="n"/>
      <c r="B286" s="9" t="n"/>
      <c r="C286" s="6" t="n"/>
      <c r="D286" s="6" t="n"/>
      <c r="E286" s="6" t="n"/>
      <c r="F286" s="6" t="n"/>
      <c r="G286" s="16">
        <f>IF(OR(E286="",F286=""),0,F286-E286)</f>
        <v/>
      </c>
      <c r="H286" s="6" t="n"/>
      <c r="I286" s="7" t="n"/>
      <c r="J286" s="6" t="n"/>
      <c r="K286" s="6" t="n"/>
    </row>
    <row r="287">
      <c r="A287" s="9" t="n"/>
      <c r="B287" s="9" t="n"/>
      <c r="C287" s="6" t="n"/>
      <c r="D287" s="6" t="n"/>
      <c r="E287" s="6" t="n"/>
      <c r="F287" s="6" t="n"/>
      <c r="G287" s="16">
        <f>IF(OR(E287="",F287=""),0,F287-E287)</f>
        <v/>
      </c>
      <c r="H287" s="6" t="n"/>
      <c r="I287" s="7" t="n"/>
      <c r="J287" s="6" t="n"/>
      <c r="K287" s="6" t="n"/>
    </row>
    <row r="288">
      <c r="A288" s="9" t="n"/>
      <c r="B288" s="9" t="n"/>
      <c r="C288" s="6" t="n"/>
      <c r="D288" s="6" t="n"/>
      <c r="E288" s="6" t="n"/>
      <c r="F288" s="6" t="n"/>
      <c r="G288" s="16">
        <f>IF(OR(E288="",F288=""),0,F288-E288)</f>
        <v/>
      </c>
      <c r="H288" s="6" t="n"/>
      <c r="I288" s="7" t="n"/>
      <c r="J288" s="6" t="n"/>
      <c r="K288" s="6" t="n"/>
    </row>
    <row r="289">
      <c r="A289" s="9" t="n"/>
      <c r="B289" s="9" t="n"/>
      <c r="C289" s="6" t="n"/>
      <c r="D289" s="6" t="n"/>
      <c r="E289" s="6" t="n"/>
      <c r="F289" s="6" t="n"/>
      <c r="G289" s="16">
        <f>IF(OR(E289="",F289=""),0,F289-E289)</f>
        <v/>
      </c>
      <c r="H289" s="6" t="n"/>
      <c r="I289" s="7" t="n"/>
      <c r="J289" s="6" t="n"/>
      <c r="K289" s="6" t="n"/>
    </row>
    <row r="290">
      <c r="A290" s="9" t="n"/>
      <c r="B290" s="9" t="n"/>
      <c r="C290" s="6" t="n"/>
      <c r="D290" s="6" t="n"/>
      <c r="E290" s="6" t="n"/>
      <c r="F290" s="6" t="n"/>
      <c r="G290" s="16">
        <f>IF(OR(E290="",F290=""),0,F290-E290)</f>
        <v/>
      </c>
      <c r="H290" s="6" t="n"/>
      <c r="I290" s="7" t="n"/>
      <c r="J290" s="6" t="n"/>
      <c r="K290" s="6" t="n"/>
    </row>
    <row r="291">
      <c r="A291" s="9" t="n"/>
      <c r="B291" s="9" t="n"/>
      <c r="C291" s="6" t="n"/>
      <c r="D291" s="6" t="n"/>
      <c r="E291" s="6" t="n"/>
      <c r="F291" s="6" t="n"/>
      <c r="G291" s="16">
        <f>IF(OR(E291="",F291=""),0,F291-E291)</f>
        <v/>
      </c>
      <c r="H291" s="6" t="n"/>
      <c r="I291" s="7" t="n"/>
      <c r="J291" s="6" t="n"/>
      <c r="K291" s="6" t="n"/>
    </row>
    <row r="292">
      <c r="A292" s="9" t="n"/>
      <c r="B292" s="9" t="n"/>
      <c r="C292" s="6" t="n"/>
      <c r="D292" s="6" t="n"/>
      <c r="E292" s="6" t="n"/>
      <c r="F292" s="6" t="n"/>
      <c r="G292" s="16">
        <f>IF(OR(E292="",F292=""),0,F292-E292)</f>
        <v/>
      </c>
      <c r="H292" s="6" t="n"/>
      <c r="I292" s="7" t="n"/>
      <c r="J292" s="6" t="n"/>
      <c r="K292" s="6" t="n"/>
    </row>
    <row r="293">
      <c r="A293" s="9" t="n"/>
      <c r="B293" s="9" t="n"/>
      <c r="C293" s="6" t="n"/>
      <c r="D293" s="6" t="n"/>
      <c r="E293" s="6" t="n"/>
      <c r="F293" s="6" t="n"/>
      <c r="G293" s="16">
        <f>IF(OR(E293="",F293=""),0,F293-E293)</f>
        <v/>
      </c>
      <c r="H293" s="6" t="n"/>
      <c r="I293" s="7" t="n"/>
      <c r="J293" s="6" t="n"/>
      <c r="K293" s="6" t="n"/>
    </row>
    <row r="294">
      <c r="A294" s="9" t="n"/>
      <c r="B294" s="9" t="n"/>
      <c r="C294" s="6" t="n"/>
      <c r="D294" s="6" t="n"/>
      <c r="E294" s="6" t="n"/>
      <c r="F294" s="6" t="n"/>
      <c r="G294" s="16">
        <f>IF(OR(E294="",F294=""),0,F294-E294)</f>
        <v/>
      </c>
      <c r="H294" s="6" t="n"/>
      <c r="I294" s="7" t="n"/>
      <c r="J294" s="6" t="n"/>
      <c r="K294" s="6" t="n"/>
    </row>
    <row r="295">
      <c r="A295" s="9" t="n"/>
      <c r="B295" s="9" t="n"/>
      <c r="C295" s="6" t="n"/>
      <c r="D295" s="6" t="n"/>
      <c r="E295" s="6" t="n"/>
      <c r="F295" s="6" t="n"/>
      <c r="G295" s="16">
        <f>IF(OR(E295="",F295=""),0,F295-E295)</f>
        <v/>
      </c>
      <c r="H295" s="6" t="n"/>
      <c r="I295" s="7" t="n"/>
      <c r="J295" s="6" t="n"/>
      <c r="K295" s="6" t="n"/>
    </row>
    <row r="296">
      <c r="A296" s="9" t="n"/>
      <c r="B296" s="9" t="n"/>
      <c r="C296" s="6" t="n"/>
      <c r="D296" s="6" t="n"/>
      <c r="E296" s="6" t="n"/>
      <c r="F296" s="6" t="n"/>
      <c r="G296" s="16">
        <f>IF(OR(E296="",F296=""),0,F296-E296)</f>
        <v/>
      </c>
      <c r="H296" s="6" t="n"/>
      <c r="I296" s="7" t="n"/>
      <c r="J296" s="6" t="n"/>
      <c r="K296" s="6" t="n"/>
    </row>
    <row r="297">
      <c r="A297" s="9" t="n"/>
      <c r="B297" s="9" t="n"/>
      <c r="C297" s="6" t="n"/>
      <c r="D297" s="6" t="n"/>
      <c r="E297" s="6" t="n"/>
      <c r="F297" s="6" t="n"/>
      <c r="G297" s="16">
        <f>IF(OR(E297="",F297=""),0,F297-E297)</f>
        <v/>
      </c>
      <c r="H297" s="6" t="n"/>
      <c r="I297" s="7" t="n"/>
      <c r="J297" s="6" t="n"/>
      <c r="K297" s="6" t="n"/>
    </row>
    <row r="298">
      <c r="A298" s="9" t="n"/>
      <c r="B298" s="9" t="n"/>
      <c r="C298" s="6" t="n"/>
      <c r="D298" s="6" t="n"/>
      <c r="E298" s="6" t="n"/>
      <c r="F298" s="6" t="n"/>
      <c r="G298" s="16">
        <f>IF(OR(E298="",F298=""),0,F298-E298)</f>
        <v/>
      </c>
      <c r="H298" s="6" t="n"/>
      <c r="I298" s="7" t="n"/>
      <c r="J298" s="6" t="n"/>
      <c r="K298" s="6" t="n"/>
    </row>
    <row r="299">
      <c r="A299" s="9" t="n"/>
      <c r="B299" s="9" t="n"/>
      <c r="C299" s="6" t="n"/>
      <c r="D299" s="6" t="n"/>
      <c r="E299" s="6" t="n"/>
      <c r="F299" s="6" t="n"/>
      <c r="G299" s="16">
        <f>IF(OR(E299="",F299=""),0,F299-E299)</f>
        <v/>
      </c>
      <c r="H299" s="6" t="n"/>
      <c r="I299" s="7" t="n"/>
      <c r="J299" s="6" t="n"/>
      <c r="K299" s="6" t="n"/>
    </row>
    <row r="300">
      <c r="A300" s="9" t="n"/>
      <c r="B300" s="9" t="n"/>
      <c r="C300" s="6" t="n"/>
      <c r="D300" s="6" t="n"/>
      <c r="E300" s="6" t="n"/>
      <c r="F300" s="6" t="n"/>
      <c r="G300" s="16">
        <f>IF(OR(E300="",F300=""),0,F300-E300)</f>
        <v/>
      </c>
      <c r="H300" s="6" t="n"/>
      <c r="I300" s="7" t="n"/>
      <c r="J300" s="6" t="n"/>
      <c r="K300" s="6" t="n"/>
    </row>
    <row r="301">
      <c r="A301" s="9" t="n"/>
      <c r="B301" s="9" t="n"/>
      <c r="C301" s="6" t="n"/>
      <c r="D301" s="6" t="n"/>
      <c r="E301" s="6" t="n"/>
      <c r="F301" s="6" t="n"/>
      <c r="G301" s="16">
        <f>IF(OR(E301="",F301=""),0,F301-E301)</f>
        <v/>
      </c>
      <c r="H301" s="6" t="n"/>
      <c r="I301" s="7" t="n"/>
      <c r="J301" s="6" t="n"/>
      <c r="K301" s="6" t="n"/>
    </row>
    <row r="302">
      <c r="A302" s="9" t="n"/>
      <c r="B302" s="9" t="n"/>
      <c r="C302" s="6" t="n"/>
      <c r="D302" s="6" t="n"/>
      <c r="E302" s="6" t="n"/>
      <c r="F302" s="6" t="n"/>
      <c r="G302" s="16">
        <f>IF(OR(E302="",F302=""),0,F302-E302)</f>
        <v/>
      </c>
      <c r="H302" s="6" t="n"/>
      <c r="I302" s="7" t="n"/>
      <c r="J302" s="6" t="n"/>
      <c r="K302" s="6" t="n"/>
    </row>
    <row r="303">
      <c r="A303" s="9" t="n"/>
      <c r="B303" s="9" t="n"/>
      <c r="C303" s="6" t="n"/>
      <c r="D303" s="6" t="n"/>
      <c r="E303" s="6" t="n"/>
      <c r="F303" s="6" t="n"/>
      <c r="G303" s="16">
        <f>IF(OR(E303="",F303=""),0,F303-E303)</f>
        <v/>
      </c>
      <c r="H303" s="6" t="n"/>
      <c r="I303" s="7" t="n"/>
      <c r="J303" s="6" t="n"/>
      <c r="K303" s="6" t="n"/>
    </row>
    <row r="304">
      <c r="A304" s="9" t="n"/>
      <c r="B304" s="9" t="n"/>
      <c r="C304" s="6" t="n"/>
      <c r="D304" s="6" t="n"/>
      <c r="E304" s="6" t="n"/>
      <c r="F304" s="6" t="n"/>
      <c r="G304" s="16">
        <f>IF(OR(E304="",F304=""),0,F304-E304)</f>
        <v/>
      </c>
      <c r="H304" s="6" t="n"/>
      <c r="I304" s="7" t="n"/>
      <c r="J304" s="6" t="n"/>
      <c r="K304" s="6" t="n"/>
    </row>
    <row r="305">
      <c r="A305" s="9" t="n"/>
      <c r="B305" s="9" t="n"/>
      <c r="C305" s="6" t="n"/>
      <c r="D305" s="6" t="n"/>
      <c r="E305" s="6" t="n"/>
      <c r="F305" s="6" t="n"/>
      <c r="G305" s="16">
        <f>IF(OR(E305="",F305=""),0,F305-E305)</f>
        <v/>
      </c>
      <c r="H305" s="6" t="n"/>
      <c r="I305" s="7" t="n"/>
      <c r="J305" s="6" t="n"/>
      <c r="K305" s="6" t="n"/>
    </row>
    <row r="306">
      <c r="A306" s="9" t="n"/>
      <c r="B306" s="9" t="n"/>
      <c r="C306" s="6" t="n"/>
      <c r="D306" s="6" t="n"/>
      <c r="E306" s="6" t="n"/>
      <c r="F306" s="6" t="n"/>
      <c r="G306" s="16">
        <f>IF(OR(E306="",F306=""),0,F306-E306)</f>
        <v/>
      </c>
      <c r="H306" s="6" t="n"/>
      <c r="I306" s="7" t="n"/>
      <c r="J306" s="6" t="n"/>
      <c r="K306" s="6" t="n"/>
    </row>
    <row r="307">
      <c r="A307" s="9" t="n"/>
      <c r="B307" s="9" t="n"/>
      <c r="C307" s="6" t="n"/>
      <c r="D307" s="6" t="n"/>
      <c r="E307" s="6" t="n"/>
      <c r="F307" s="6" t="n"/>
      <c r="G307" s="16">
        <f>IF(OR(E307="",F307=""),0,F307-E307)</f>
        <v/>
      </c>
      <c r="H307" s="6" t="n"/>
      <c r="I307" s="7" t="n"/>
      <c r="J307" s="6" t="n"/>
      <c r="K307" s="6" t="n"/>
    </row>
    <row r="308">
      <c r="A308" s="9" t="n"/>
      <c r="B308" s="9" t="n"/>
      <c r="C308" s="6" t="n"/>
      <c r="D308" s="6" t="n"/>
      <c r="E308" s="6" t="n"/>
      <c r="F308" s="6" t="n"/>
      <c r="G308" s="16">
        <f>IF(OR(E308="",F308=""),0,F308-E308)</f>
        <v/>
      </c>
      <c r="H308" s="6" t="n"/>
      <c r="I308" s="7" t="n"/>
      <c r="J308" s="6" t="n"/>
      <c r="K308" s="6" t="n"/>
    </row>
    <row r="309">
      <c r="A309" s="9" t="n"/>
      <c r="B309" s="9" t="n"/>
      <c r="C309" s="6" t="n"/>
      <c r="D309" s="6" t="n"/>
      <c r="E309" s="6" t="n"/>
      <c r="F309" s="6" t="n"/>
      <c r="G309" s="16">
        <f>IF(OR(E309="",F309=""),0,F309-E309)</f>
        <v/>
      </c>
      <c r="H309" s="6" t="n"/>
      <c r="I309" s="7" t="n"/>
      <c r="J309" s="6" t="n"/>
      <c r="K309" s="6" t="n"/>
    </row>
    <row r="310">
      <c r="A310" s="9" t="n"/>
      <c r="B310" s="9" t="n"/>
      <c r="C310" s="6" t="n"/>
      <c r="D310" s="6" t="n"/>
      <c r="E310" s="6" t="n"/>
      <c r="F310" s="6" t="n"/>
      <c r="G310" s="16">
        <f>IF(OR(E310="",F310=""),0,F310-E310)</f>
        <v/>
      </c>
      <c r="H310" s="6" t="n"/>
      <c r="I310" s="7" t="n"/>
      <c r="J310" s="6" t="n"/>
      <c r="K310" s="6" t="n"/>
    </row>
    <row r="311">
      <c r="A311" s="9" t="n"/>
      <c r="B311" s="9" t="n"/>
      <c r="C311" s="6" t="n"/>
      <c r="D311" s="6" t="n"/>
      <c r="E311" s="6" t="n"/>
      <c r="F311" s="6" t="n"/>
      <c r="G311" s="16">
        <f>IF(OR(E311="",F311=""),0,F311-E311)</f>
        <v/>
      </c>
      <c r="H311" s="6" t="n"/>
      <c r="I311" s="7" t="n"/>
      <c r="J311" s="6" t="n"/>
      <c r="K311" s="6" t="n"/>
    </row>
    <row r="312">
      <c r="A312" s="9" t="n"/>
      <c r="B312" s="9" t="n"/>
      <c r="C312" s="6" t="n"/>
      <c r="D312" s="6" t="n"/>
      <c r="E312" s="6" t="n"/>
      <c r="F312" s="6" t="n"/>
      <c r="G312" s="16">
        <f>IF(OR(E312="",F312=""),0,F312-E312)</f>
        <v/>
      </c>
      <c r="H312" s="6" t="n"/>
      <c r="I312" s="7" t="n"/>
      <c r="J312" s="6" t="n"/>
      <c r="K312" s="6" t="n"/>
    </row>
    <row r="313">
      <c r="A313" s="9" t="n"/>
      <c r="B313" s="9" t="n"/>
      <c r="C313" s="6" t="n"/>
      <c r="D313" s="6" t="n"/>
      <c r="E313" s="6" t="n"/>
      <c r="F313" s="6" t="n"/>
      <c r="G313" s="16">
        <f>IF(OR(E313="",F313=""),0,F313-E313)</f>
        <v/>
      </c>
      <c r="H313" s="6" t="n"/>
      <c r="I313" s="7" t="n"/>
      <c r="J313" s="6" t="n"/>
      <c r="K313" s="6" t="n"/>
    </row>
    <row r="314">
      <c r="A314" s="9" t="n"/>
      <c r="B314" s="9" t="n"/>
      <c r="C314" s="6" t="n"/>
      <c r="D314" s="6" t="n"/>
      <c r="E314" s="6" t="n"/>
      <c r="F314" s="6" t="n"/>
      <c r="G314" s="16">
        <f>IF(OR(E314="",F314=""),0,F314-E314)</f>
        <v/>
      </c>
      <c r="H314" s="6" t="n"/>
      <c r="I314" s="7" t="n"/>
      <c r="J314" s="6" t="n"/>
      <c r="K314" s="6" t="n"/>
    </row>
    <row r="315">
      <c r="A315" s="9" t="n"/>
      <c r="B315" s="9" t="n"/>
      <c r="C315" s="6" t="n"/>
      <c r="D315" s="6" t="n"/>
      <c r="E315" s="6" t="n"/>
      <c r="F315" s="6" t="n"/>
      <c r="G315" s="16">
        <f>IF(OR(E315="",F315=""),0,F315-E315)</f>
        <v/>
      </c>
      <c r="H315" s="6" t="n"/>
      <c r="I315" s="7" t="n"/>
      <c r="J315" s="6" t="n"/>
      <c r="K315" s="6" t="n"/>
    </row>
    <row r="316">
      <c r="A316" s="9" t="n"/>
      <c r="B316" s="9" t="n"/>
      <c r="C316" s="6" t="n"/>
      <c r="D316" s="6" t="n"/>
      <c r="E316" s="6" t="n"/>
      <c r="F316" s="6" t="n"/>
      <c r="G316" s="16">
        <f>IF(OR(E316="",F316=""),0,F316-E316)</f>
        <v/>
      </c>
      <c r="H316" s="6" t="n"/>
      <c r="I316" s="7" t="n"/>
      <c r="J316" s="6" t="n"/>
      <c r="K316" s="6" t="n"/>
    </row>
    <row r="317">
      <c r="A317" s="9" t="n"/>
      <c r="B317" s="9" t="n"/>
      <c r="C317" s="6" t="n"/>
      <c r="D317" s="6" t="n"/>
      <c r="E317" s="6" t="n"/>
      <c r="F317" s="6" t="n"/>
      <c r="G317" s="16">
        <f>IF(OR(E317="",F317=""),0,F317-E317)</f>
        <v/>
      </c>
      <c r="H317" s="6" t="n"/>
      <c r="I317" s="7" t="n"/>
      <c r="J317" s="6" t="n"/>
      <c r="K317" s="6" t="n"/>
    </row>
    <row r="318">
      <c r="A318" s="9" t="n"/>
      <c r="B318" s="9" t="n"/>
      <c r="C318" s="6" t="n"/>
      <c r="D318" s="6" t="n"/>
      <c r="E318" s="6" t="n"/>
      <c r="F318" s="6" t="n"/>
      <c r="G318" s="16">
        <f>IF(OR(E318="",F318=""),0,F318-E318)</f>
        <v/>
      </c>
      <c r="H318" s="6" t="n"/>
      <c r="I318" s="7" t="n"/>
      <c r="J318" s="6" t="n"/>
      <c r="K318" s="6" t="n"/>
    </row>
    <row r="319">
      <c r="A319" s="9" t="n"/>
      <c r="B319" s="9" t="n"/>
      <c r="C319" s="6" t="n"/>
      <c r="D319" s="6" t="n"/>
      <c r="E319" s="6" t="n"/>
      <c r="F319" s="6" t="n"/>
      <c r="G319" s="16">
        <f>IF(OR(E319="",F319=""),0,F319-E319)</f>
        <v/>
      </c>
      <c r="H319" s="6" t="n"/>
      <c r="I319" s="7" t="n"/>
      <c r="J319" s="6" t="n"/>
      <c r="K319" s="6" t="n"/>
    </row>
    <row r="320">
      <c r="A320" s="9" t="n"/>
      <c r="B320" s="9" t="n"/>
      <c r="C320" s="6" t="n"/>
      <c r="D320" s="6" t="n"/>
      <c r="E320" s="6" t="n"/>
      <c r="F320" s="6" t="n"/>
      <c r="G320" s="16">
        <f>IF(OR(E320="",F320=""),0,F320-E320)</f>
        <v/>
      </c>
      <c r="H320" s="6" t="n"/>
      <c r="I320" s="7" t="n"/>
      <c r="J320" s="6" t="n"/>
      <c r="K320" s="6" t="n"/>
    </row>
    <row r="321">
      <c r="A321" s="9" t="n"/>
      <c r="B321" s="9" t="n"/>
      <c r="C321" s="6" t="n"/>
      <c r="D321" s="6" t="n"/>
      <c r="E321" s="6" t="n"/>
      <c r="F321" s="6" t="n"/>
      <c r="G321" s="16">
        <f>IF(OR(E321="",F321=""),0,F321-E321)</f>
        <v/>
      </c>
      <c r="H321" s="6" t="n"/>
      <c r="I321" s="7" t="n"/>
      <c r="J321" s="6" t="n"/>
      <c r="K321" s="6" t="n"/>
    </row>
    <row r="322">
      <c r="A322" s="9" t="n"/>
      <c r="B322" s="9" t="n"/>
      <c r="C322" s="6" t="n"/>
      <c r="D322" s="6" t="n"/>
      <c r="E322" s="6" t="n"/>
      <c r="F322" s="6" t="n"/>
      <c r="G322" s="16">
        <f>IF(OR(E322="",F322=""),0,F322-E322)</f>
        <v/>
      </c>
      <c r="H322" s="6" t="n"/>
      <c r="I322" s="7" t="n"/>
      <c r="J322" s="6" t="n"/>
      <c r="K322" s="6" t="n"/>
    </row>
    <row r="323">
      <c r="A323" s="9" t="n"/>
      <c r="B323" s="9" t="n"/>
      <c r="C323" s="6" t="n"/>
      <c r="D323" s="6" t="n"/>
      <c r="E323" s="6" t="n"/>
      <c r="F323" s="6" t="n"/>
      <c r="G323" s="16">
        <f>IF(OR(E323="",F323=""),0,F323-E323)</f>
        <v/>
      </c>
      <c r="H323" s="6" t="n"/>
      <c r="I323" s="7" t="n"/>
      <c r="J323" s="6" t="n"/>
      <c r="K323" s="6" t="n"/>
    </row>
    <row r="324">
      <c r="A324" s="9" t="n"/>
      <c r="B324" s="9" t="n"/>
      <c r="C324" s="6" t="n"/>
      <c r="D324" s="6" t="n"/>
      <c r="E324" s="6" t="n"/>
      <c r="F324" s="6" t="n"/>
      <c r="G324" s="16">
        <f>IF(OR(E324="",F324=""),0,F324-E324)</f>
        <v/>
      </c>
      <c r="H324" s="6" t="n"/>
      <c r="I324" s="7" t="n"/>
      <c r="J324" s="6" t="n"/>
      <c r="K324" s="6" t="n"/>
    </row>
    <row r="325">
      <c r="A325" s="9" t="n"/>
      <c r="B325" s="9" t="n"/>
      <c r="C325" s="6" t="n"/>
      <c r="D325" s="6" t="n"/>
      <c r="E325" s="6" t="n"/>
      <c r="F325" s="6" t="n"/>
      <c r="G325" s="16">
        <f>IF(OR(E325="",F325=""),0,F325-E325)</f>
        <v/>
      </c>
      <c r="H325" s="6" t="n"/>
      <c r="I325" s="7" t="n"/>
      <c r="J325" s="6" t="n"/>
      <c r="K325" s="6" t="n"/>
    </row>
    <row r="326">
      <c r="A326" s="9" t="n"/>
      <c r="B326" s="9" t="n"/>
      <c r="C326" s="6" t="n"/>
      <c r="D326" s="6" t="n"/>
      <c r="E326" s="6" t="n"/>
      <c r="F326" s="6" t="n"/>
      <c r="G326" s="16">
        <f>IF(OR(E326="",F326=""),0,F326-E326)</f>
        <v/>
      </c>
      <c r="H326" s="6" t="n"/>
      <c r="I326" s="7" t="n"/>
      <c r="J326" s="6" t="n"/>
      <c r="K326" s="6" t="n"/>
    </row>
    <row r="327">
      <c r="A327" s="9" t="n"/>
      <c r="B327" s="9" t="n"/>
      <c r="C327" s="6" t="n"/>
      <c r="D327" s="6" t="n"/>
      <c r="E327" s="6" t="n"/>
      <c r="F327" s="6" t="n"/>
      <c r="G327" s="16">
        <f>IF(OR(E327="",F327=""),0,F327-E327)</f>
        <v/>
      </c>
      <c r="H327" s="6" t="n"/>
      <c r="I327" s="7" t="n"/>
      <c r="J327" s="6" t="n"/>
      <c r="K327" s="6" t="n"/>
    </row>
    <row r="328">
      <c r="A328" s="9" t="n"/>
      <c r="B328" s="9" t="n"/>
      <c r="C328" s="6" t="n"/>
      <c r="D328" s="6" t="n"/>
      <c r="E328" s="6" t="n"/>
      <c r="F328" s="6" t="n"/>
      <c r="G328" s="16">
        <f>IF(OR(E328="",F328=""),0,F328-E328)</f>
        <v/>
      </c>
      <c r="H328" s="6" t="n"/>
      <c r="I328" s="7" t="n"/>
      <c r="J328" s="6" t="n"/>
      <c r="K328" s="6" t="n"/>
    </row>
    <row r="329">
      <c r="A329" s="9" t="n"/>
      <c r="B329" s="9" t="n"/>
      <c r="C329" s="6" t="n"/>
      <c r="D329" s="6" t="n"/>
      <c r="E329" s="6" t="n"/>
      <c r="F329" s="6" t="n"/>
      <c r="G329" s="16">
        <f>IF(OR(E329="",F329=""),0,F329-E329)</f>
        <v/>
      </c>
      <c r="H329" s="6" t="n"/>
      <c r="I329" s="7" t="n"/>
      <c r="J329" s="6" t="n"/>
      <c r="K329" s="6" t="n"/>
    </row>
    <row r="330">
      <c r="A330" s="9" t="n"/>
      <c r="B330" s="9" t="n"/>
      <c r="C330" s="6" t="n"/>
      <c r="D330" s="6" t="n"/>
      <c r="E330" s="6" t="n"/>
      <c r="F330" s="6" t="n"/>
      <c r="G330" s="16">
        <f>IF(OR(E330="",F330=""),0,F330-E330)</f>
        <v/>
      </c>
      <c r="H330" s="6" t="n"/>
      <c r="I330" s="7" t="n"/>
      <c r="J330" s="6" t="n"/>
      <c r="K330" s="6" t="n"/>
    </row>
    <row r="331">
      <c r="A331" s="9" t="n"/>
      <c r="B331" s="9" t="n"/>
      <c r="C331" s="6" t="n"/>
      <c r="D331" s="6" t="n"/>
      <c r="E331" s="6" t="n"/>
      <c r="F331" s="6" t="n"/>
      <c r="G331" s="16">
        <f>IF(OR(E331="",F331=""),0,F331-E331)</f>
        <v/>
      </c>
      <c r="H331" s="6" t="n"/>
      <c r="I331" s="7" t="n"/>
      <c r="J331" s="6" t="n"/>
      <c r="K331" s="6" t="n"/>
    </row>
    <row r="332">
      <c r="A332" s="9" t="n"/>
      <c r="B332" s="9" t="n"/>
      <c r="C332" s="6" t="n"/>
      <c r="D332" s="6" t="n"/>
      <c r="E332" s="6" t="n"/>
      <c r="F332" s="6" t="n"/>
      <c r="G332" s="16">
        <f>IF(OR(E332="",F332=""),0,F332-E332)</f>
        <v/>
      </c>
      <c r="H332" s="6" t="n"/>
      <c r="I332" s="7" t="n"/>
      <c r="J332" s="6" t="n"/>
      <c r="K332" s="6" t="n"/>
    </row>
    <row r="333">
      <c r="A333" s="9" t="n"/>
      <c r="B333" s="9" t="n"/>
      <c r="C333" s="6" t="n"/>
      <c r="D333" s="6" t="n"/>
      <c r="E333" s="6" t="n"/>
      <c r="F333" s="6" t="n"/>
      <c r="G333" s="16">
        <f>IF(OR(E333="",F333=""),0,F333-E333)</f>
        <v/>
      </c>
      <c r="H333" s="6" t="n"/>
      <c r="I333" s="7" t="n"/>
      <c r="J333" s="6" t="n"/>
      <c r="K333" s="6" t="n"/>
    </row>
    <row r="334">
      <c r="A334" s="9" t="n"/>
      <c r="B334" s="9" t="n"/>
      <c r="C334" s="6" t="n"/>
      <c r="D334" s="6" t="n"/>
      <c r="E334" s="6" t="n"/>
      <c r="F334" s="6" t="n"/>
      <c r="G334" s="16">
        <f>IF(OR(E334="",F334=""),0,F334-E334)</f>
        <v/>
      </c>
      <c r="H334" s="6" t="n"/>
      <c r="I334" s="7" t="n"/>
      <c r="J334" s="6" t="n"/>
      <c r="K334" s="6" t="n"/>
    </row>
    <row r="335">
      <c r="A335" s="9" t="n"/>
      <c r="B335" s="9" t="n"/>
      <c r="C335" s="6" t="n"/>
      <c r="D335" s="6" t="n"/>
      <c r="E335" s="6" t="n"/>
      <c r="F335" s="6" t="n"/>
      <c r="G335" s="16">
        <f>IF(OR(E335="",F335=""),0,F335-E335)</f>
        <v/>
      </c>
      <c r="H335" s="6" t="n"/>
      <c r="I335" s="7" t="n"/>
      <c r="J335" s="6" t="n"/>
      <c r="K335" s="6" t="n"/>
    </row>
    <row r="336">
      <c r="A336" s="9" t="n"/>
      <c r="B336" s="9" t="n"/>
      <c r="C336" s="6" t="n"/>
      <c r="D336" s="6" t="n"/>
      <c r="E336" s="6" t="n"/>
      <c r="F336" s="6" t="n"/>
      <c r="G336" s="16">
        <f>IF(OR(E336="",F336=""),0,F336-E336)</f>
        <v/>
      </c>
      <c r="H336" s="6" t="n"/>
      <c r="I336" s="7" t="n"/>
      <c r="J336" s="6" t="n"/>
      <c r="K336" s="6" t="n"/>
    </row>
    <row r="337">
      <c r="A337" s="9" t="n"/>
      <c r="B337" s="9" t="n"/>
      <c r="C337" s="6" t="n"/>
      <c r="D337" s="6" t="n"/>
      <c r="E337" s="6" t="n"/>
      <c r="F337" s="6" t="n"/>
      <c r="G337" s="16">
        <f>IF(OR(E337="",F337=""),0,F337-E337)</f>
        <v/>
      </c>
      <c r="H337" s="6" t="n"/>
      <c r="I337" s="7" t="n"/>
      <c r="J337" s="6" t="n"/>
      <c r="K337" s="6" t="n"/>
    </row>
    <row r="338">
      <c r="A338" s="9" t="n"/>
      <c r="B338" s="9" t="n"/>
      <c r="C338" s="6" t="n"/>
      <c r="D338" s="6" t="n"/>
      <c r="E338" s="6" t="n"/>
      <c r="F338" s="6" t="n"/>
      <c r="G338" s="16">
        <f>IF(OR(E338="",F338=""),0,F338-E338)</f>
        <v/>
      </c>
      <c r="H338" s="6" t="n"/>
      <c r="I338" s="7" t="n"/>
      <c r="J338" s="6" t="n"/>
      <c r="K338" s="6" t="n"/>
    </row>
    <row r="339">
      <c r="A339" s="9" t="n"/>
      <c r="B339" s="9" t="n"/>
      <c r="C339" s="6" t="n"/>
      <c r="D339" s="6" t="n"/>
      <c r="E339" s="6" t="n"/>
      <c r="F339" s="6" t="n"/>
      <c r="G339" s="16">
        <f>IF(OR(E339="",F339=""),0,F339-E339)</f>
        <v/>
      </c>
      <c r="H339" s="6" t="n"/>
      <c r="I339" s="7" t="n"/>
      <c r="J339" s="6" t="n"/>
      <c r="K339" s="6" t="n"/>
    </row>
    <row r="340">
      <c r="A340" s="9" t="n"/>
      <c r="B340" s="9" t="n"/>
      <c r="C340" s="6" t="n"/>
      <c r="D340" s="6" t="n"/>
      <c r="E340" s="6" t="n"/>
      <c r="F340" s="6" t="n"/>
      <c r="G340" s="16">
        <f>IF(OR(E340="",F340=""),0,F340-E340)</f>
        <v/>
      </c>
      <c r="H340" s="6" t="n"/>
      <c r="I340" s="7" t="n"/>
      <c r="J340" s="6" t="n"/>
      <c r="K340" s="6" t="n"/>
    </row>
    <row r="341">
      <c r="A341" s="9" t="n"/>
      <c r="B341" s="9" t="n"/>
      <c r="C341" s="6" t="n"/>
      <c r="D341" s="6" t="n"/>
      <c r="E341" s="6" t="n"/>
      <c r="F341" s="6" t="n"/>
      <c r="G341" s="16">
        <f>IF(OR(E341="",F341=""),0,F341-E341)</f>
        <v/>
      </c>
      <c r="H341" s="6" t="n"/>
      <c r="I341" s="7" t="n"/>
      <c r="J341" s="6" t="n"/>
      <c r="K341" s="6" t="n"/>
    </row>
    <row r="342">
      <c r="A342" s="9" t="n"/>
      <c r="B342" s="9" t="n"/>
      <c r="C342" s="6" t="n"/>
      <c r="D342" s="6" t="n"/>
      <c r="E342" s="6" t="n"/>
      <c r="F342" s="6" t="n"/>
      <c r="G342" s="16">
        <f>IF(OR(E342="",F342=""),0,F342-E342)</f>
        <v/>
      </c>
      <c r="H342" s="6" t="n"/>
      <c r="I342" s="7" t="n"/>
      <c r="J342" s="6" t="n"/>
      <c r="K342" s="6" t="n"/>
    </row>
    <row r="343">
      <c r="A343" s="9" t="n"/>
      <c r="B343" s="9" t="n"/>
      <c r="C343" s="6" t="n"/>
      <c r="D343" s="6" t="n"/>
      <c r="E343" s="6" t="n"/>
      <c r="F343" s="6" t="n"/>
      <c r="G343" s="16">
        <f>IF(OR(E343="",F343=""),0,F343-E343)</f>
        <v/>
      </c>
      <c r="H343" s="6" t="n"/>
      <c r="I343" s="7" t="n"/>
      <c r="J343" s="6" t="n"/>
      <c r="K343" s="6" t="n"/>
    </row>
    <row r="344">
      <c r="A344" s="9" t="n"/>
      <c r="B344" s="9" t="n"/>
      <c r="C344" s="6" t="n"/>
      <c r="D344" s="6" t="n"/>
      <c r="E344" s="6" t="n"/>
      <c r="F344" s="6" t="n"/>
      <c r="G344" s="16">
        <f>IF(OR(E344="",F344=""),0,F344-E344)</f>
        <v/>
      </c>
      <c r="H344" s="6" t="n"/>
      <c r="I344" s="7" t="n"/>
      <c r="J344" s="6" t="n"/>
      <c r="K344" s="6" t="n"/>
    </row>
    <row r="345">
      <c r="A345" s="9" t="n"/>
      <c r="B345" s="9" t="n"/>
      <c r="C345" s="6" t="n"/>
      <c r="D345" s="6" t="n"/>
      <c r="E345" s="6" t="n"/>
      <c r="F345" s="6" t="n"/>
      <c r="G345" s="16">
        <f>IF(OR(E345="",F345=""),0,F345-E345)</f>
        <v/>
      </c>
      <c r="H345" s="6" t="n"/>
      <c r="I345" s="7" t="n"/>
      <c r="J345" s="6" t="n"/>
      <c r="K345" s="6" t="n"/>
    </row>
    <row r="346">
      <c r="A346" s="9" t="n"/>
      <c r="B346" s="9" t="n"/>
      <c r="C346" s="6" t="n"/>
      <c r="D346" s="6" t="n"/>
      <c r="E346" s="6" t="n"/>
      <c r="F346" s="6" t="n"/>
      <c r="G346" s="16">
        <f>IF(OR(E346="",F346=""),0,F346-E346)</f>
        <v/>
      </c>
      <c r="H346" s="6" t="n"/>
      <c r="I346" s="7" t="n"/>
      <c r="J346" s="6" t="n"/>
      <c r="K346" s="6" t="n"/>
    </row>
    <row r="347">
      <c r="A347" s="9" t="n"/>
      <c r="B347" s="9" t="n"/>
      <c r="C347" s="6" t="n"/>
      <c r="D347" s="6" t="n"/>
      <c r="E347" s="6" t="n"/>
      <c r="F347" s="6" t="n"/>
      <c r="G347" s="16">
        <f>IF(OR(E347="",F347=""),0,F347-E347)</f>
        <v/>
      </c>
      <c r="H347" s="6" t="n"/>
      <c r="I347" s="7" t="n"/>
      <c r="J347" s="6" t="n"/>
      <c r="K347" s="6" t="n"/>
    </row>
    <row r="348">
      <c r="A348" s="9" t="n"/>
      <c r="B348" s="9" t="n"/>
      <c r="C348" s="6" t="n"/>
      <c r="D348" s="6" t="n"/>
      <c r="E348" s="6" t="n"/>
      <c r="F348" s="6" t="n"/>
      <c r="G348" s="16">
        <f>IF(OR(E348="",F348=""),0,F348-E348)</f>
        <v/>
      </c>
      <c r="H348" s="6" t="n"/>
      <c r="I348" s="7" t="n"/>
      <c r="J348" s="6" t="n"/>
      <c r="K348" s="6" t="n"/>
    </row>
    <row r="349">
      <c r="A349" s="9" t="n"/>
      <c r="B349" s="9" t="n"/>
      <c r="C349" s="6" t="n"/>
      <c r="D349" s="6" t="n"/>
      <c r="E349" s="6" t="n"/>
      <c r="F349" s="6" t="n"/>
      <c r="G349" s="16">
        <f>IF(OR(E349="",F349=""),0,F349-E349)</f>
        <v/>
      </c>
      <c r="H349" s="6" t="n"/>
      <c r="I349" s="7" t="n"/>
      <c r="J349" s="6" t="n"/>
      <c r="K349" s="6" t="n"/>
    </row>
    <row r="350">
      <c r="A350" s="9" t="n"/>
      <c r="B350" s="9" t="n"/>
      <c r="C350" s="6" t="n"/>
      <c r="D350" s="6" t="n"/>
      <c r="E350" s="6" t="n"/>
      <c r="F350" s="6" t="n"/>
      <c r="G350" s="16">
        <f>IF(OR(E350="",F350=""),0,F350-E350)</f>
        <v/>
      </c>
      <c r="H350" s="6" t="n"/>
      <c r="I350" s="7" t="n"/>
      <c r="J350" s="6" t="n"/>
      <c r="K350" s="6" t="n"/>
    </row>
    <row r="351">
      <c r="A351" s="9" t="n"/>
      <c r="B351" s="9" t="n"/>
      <c r="C351" s="6" t="n"/>
      <c r="D351" s="6" t="n"/>
      <c r="E351" s="6" t="n"/>
      <c r="F351" s="6" t="n"/>
      <c r="G351" s="16">
        <f>IF(OR(E351="",F351=""),0,F351-E351)</f>
        <v/>
      </c>
      <c r="H351" s="6" t="n"/>
      <c r="I351" s="7" t="n"/>
      <c r="J351" s="6" t="n"/>
      <c r="K351" s="6" t="n"/>
    </row>
    <row r="352">
      <c r="A352" s="9" t="n"/>
      <c r="B352" s="9" t="n"/>
      <c r="C352" s="6" t="n"/>
      <c r="D352" s="6" t="n"/>
      <c r="E352" s="6" t="n"/>
      <c r="F352" s="6" t="n"/>
      <c r="G352" s="16">
        <f>IF(OR(E352="",F352=""),0,F352-E352)</f>
        <v/>
      </c>
      <c r="H352" s="6" t="n"/>
      <c r="I352" s="7" t="n"/>
      <c r="J352" s="6" t="n"/>
      <c r="K352" s="6" t="n"/>
    </row>
    <row r="353">
      <c r="A353" s="9" t="n"/>
      <c r="B353" s="9" t="n"/>
      <c r="C353" s="6" t="n"/>
      <c r="D353" s="6" t="n"/>
      <c r="E353" s="6" t="n"/>
      <c r="F353" s="6" t="n"/>
      <c r="G353" s="16">
        <f>IF(OR(E353="",F353=""),0,F353-E353)</f>
        <v/>
      </c>
      <c r="H353" s="6" t="n"/>
      <c r="I353" s="7" t="n"/>
      <c r="J353" s="6" t="n"/>
      <c r="K353" s="6" t="n"/>
    </row>
    <row r="354">
      <c r="A354" s="9" t="n"/>
      <c r="B354" s="9" t="n"/>
      <c r="C354" s="6" t="n"/>
      <c r="D354" s="6" t="n"/>
      <c r="E354" s="6" t="n"/>
      <c r="F354" s="6" t="n"/>
      <c r="G354" s="16">
        <f>IF(OR(E354="",F354=""),0,F354-E354)</f>
        <v/>
      </c>
      <c r="H354" s="6" t="n"/>
      <c r="I354" s="7" t="n"/>
      <c r="J354" s="6" t="n"/>
      <c r="K354" s="6" t="n"/>
    </row>
    <row r="355">
      <c r="A355" s="9" t="n"/>
      <c r="B355" s="9" t="n"/>
      <c r="C355" s="6" t="n"/>
      <c r="D355" s="6" t="n"/>
      <c r="E355" s="6" t="n"/>
      <c r="F355" s="6" t="n"/>
      <c r="G355" s="16">
        <f>IF(OR(E355="",F355=""),0,F355-E355)</f>
        <v/>
      </c>
      <c r="H355" s="6" t="n"/>
      <c r="I355" s="7" t="n"/>
      <c r="J355" s="6" t="n"/>
      <c r="K355" s="6" t="n"/>
    </row>
    <row r="356">
      <c r="A356" s="9" t="n"/>
      <c r="B356" s="9" t="n"/>
      <c r="C356" s="6" t="n"/>
      <c r="D356" s="6" t="n"/>
      <c r="E356" s="6" t="n"/>
      <c r="F356" s="6" t="n"/>
      <c r="G356" s="16">
        <f>IF(OR(E356="",F356=""),0,F356-E356)</f>
        <v/>
      </c>
      <c r="H356" s="6" t="n"/>
      <c r="I356" s="7" t="n"/>
      <c r="J356" s="6" t="n"/>
      <c r="K356" s="6" t="n"/>
    </row>
    <row r="357">
      <c r="A357" s="9" t="n"/>
      <c r="B357" s="9" t="n"/>
      <c r="C357" s="6" t="n"/>
      <c r="D357" s="6" t="n"/>
      <c r="E357" s="6" t="n"/>
      <c r="F357" s="6" t="n"/>
      <c r="G357" s="16">
        <f>IF(OR(E357="",F357=""),0,F357-E357)</f>
        <v/>
      </c>
      <c r="H357" s="6" t="n"/>
      <c r="I357" s="7" t="n"/>
      <c r="J357" s="6" t="n"/>
      <c r="K357" s="6" t="n"/>
    </row>
    <row r="358">
      <c r="A358" s="9" t="n"/>
      <c r="B358" s="9" t="n"/>
      <c r="C358" s="6" t="n"/>
      <c r="D358" s="6" t="n"/>
      <c r="E358" s="6" t="n"/>
      <c r="F358" s="6" t="n"/>
      <c r="G358" s="16">
        <f>IF(OR(E358="",F358=""),0,F358-E358)</f>
        <v/>
      </c>
      <c r="H358" s="6" t="n"/>
      <c r="I358" s="7" t="n"/>
      <c r="J358" s="6" t="n"/>
      <c r="K358" s="6" t="n"/>
    </row>
    <row r="359">
      <c r="A359" s="9" t="n"/>
      <c r="B359" s="9" t="n"/>
      <c r="C359" s="6" t="n"/>
      <c r="D359" s="6" t="n"/>
      <c r="E359" s="6" t="n"/>
      <c r="F359" s="6" t="n"/>
      <c r="G359" s="16">
        <f>IF(OR(E359="",F359=""),0,F359-E359)</f>
        <v/>
      </c>
      <c r="H359" s="6" t="n"/>
      <c r="I359" s="7" t="n"/>
      <c r="J359" s="6" t="n"/>
      <c r="K359" s="6" t="n"/>
    </row>
    <row r="360">
      <c r="A360" s="9" t="n"/>
      <c r="B360" s="9" t="n"/>
      <c r="C360" s="6" t="n"/>
      <c r="D360" s="6" t="n"/>
      <c r="E360" s="6" t="n"/>
      <c r="F360" s="6" t="n"/>
      <c r="G360" s="16">
        <f>IF(OR(E360="",F360=""),0,F360-E360)</f>
        <v/>
      </c>
      <c r="H360" s="6" t="n"/>
      <c r="I360" s="7" t="n"/>
      <c r="J360" s="6" t="n"/>
      <c r="K360" s="6" t="n"/>
    </row>
    <row r="361">
      <c r="A361" s="9" t="n"/>
      <c r="B361" s="9" t="n"/>
      <c r="C361" s="6" t="n"/>
      <c r="D361" s="6" t="n"/>
      <c r="E361" s="6" t="n"/>
      <c r="F361" s="6" t="n"/>
      <c r="G361" s="16">
        <f>IF(OR(E361="",F361=""),0,F361-E361)</f>
        <v/>
      </c>
      <c r="H361" s="6" t="n"/>
      <c r="I361" s="7" t="n"/>
      <c r="J361" s="6" t="n"/>
      <c r="K361" s="6" t="n"/>
    </row>
    <row r="362">
      <c r="A362" s="9" t="n"/>
      <c r="B362" s="9" t="n"/>
      <c r="C362" s="6" t="n"/>
      <c r="D362" s="6" t="n"/>
      <c r="E362" s="6" t="n"/>
      <c r="F362" s="6" t="n"/>
      <c r="G362" s="16">
        <f>IF(OR(E362="",F362=""),0,F362-E362)</f>
        <v/>
      </c>
      <c r="H362" s="6" t="n"/>
      <c r="I362" s="7" t="n"/>
      <c r="J362" s="6" t="n"/>
      <c r="K362" s="6" t="n"/>
    </row>
    <row r="363">
      <c r="A363" s="9" t="n"/>
      <c r="B363" s="9" t="n"/>
      <c r="C363" s="6" t="n"/>
      <c r="D363" s="6" t="n"/>
      <c r="E363" s="6" t="n"/>
      <c r="F363" s="6" t="n"/>
      <c r="G363" s="16">
        <f>IF(OR(E363="",F363=""),0,F363-E363)</f>
        <v/>
      </c>
      <c r="H363" s="6" t="n"/>
      <c r="I363" s="7" t="n"/>
      <c r="J363" s="6" t="n"/>
      <c r="K363" s="6" t="n"/>
    </row>
    <row r="364">
      <c r="A364" s="9" t="n"/>
      <c r="B364" s="9" t="n"/>
      <c r="C364" s="6" t="n"/>
      <c r="D364" s="6" t="n"/>
      <c r="E364" s="6" t="n"/>
      <c r="F364" s="6" t="n"/>
      <c r="G364" s="16">
        <f>IF(OR(E364="",F364=""),0,F364-E364)</f>
        <v/>
      </c>
      <c r="H364" s="6" t="n"/>
      <c r="I364" s="7" t="n"/>
      <c r="J364" s="6" t="n"/>
      <c r="K364" s="6" t="n"/>
    </row>
    <row r="365">
      <c r="A365" s="9" t="n"/>
      <c r="B365" s="9" t="n"/>
      <c r="C365" s="6" t="n"/>
      <c r="D365" s="6" t="n"/>
      <c r="E365" s="6" t="n"/>
      <c r="F365" s="6" t="n"/>
      <c r="G365" s="16">
        <f>IF(OR(E365="",F365=""),0,F365-E365)</f>
        <v/>
      </c>
      <c r="H365" s="6" t="n"/>
      <c r="I365" s="7" t="n"/>
      <c r="J365" s="6" t="n"/>
      <c r="K365" s="6" t="n"/>
    </row>
    <row r="366">
      <c r="A366" s="9" t="n"/>
      <c r="B366" s="9" t="n"/>
      <c r="C366" s="6" t="n"/>
      <c r="D366" s="6" t="n"/>
      <c r="E366" s="6" t="n"/>
      <c r="F366" s="6" t="n"/>
      <c r="G366" s="16">
        <f>IF(OR(E366="",F366=""),0,F366-E366)</f>
        <v/>
      </c>
      <c r="H366" s="6" t="n"/>
      <c r="I366" s="7" t="n"/>
      <c r="J366" s="6" t="n"/>
      <c r="K366" s="6" t="n"/>
    </row>
    <row r="367">
      <c r="A367" s="9" t="n"/>
      <c r="B367" s="9" t="n"/>
      <c r="C367" s="6" t="n"/>
      <c r="D367" s="6" t="n"/>
      <c r="E367" s="6" t="n"/>
      <c r="F367" s="6" t="n"/>
      <c r="G367" s="16">
        <f>IF(OR(E367="",F367=""),0,F367-E367)</f>
        <v/>
      </c>
      <c r="H367" s="6" t="n"/>
      <c r="I367" s="7" t="n"/>
      <c r="J367" s="6" t="n"/>
      <c r="K367" s="6" t="n"/>
    </row>
    <row r="368">
      <c r="A368" s="9" t="n"/>
      <c r="B368" s="9" t="n"/>
      <c r="C368" s="6" t="n"/>
      <c r="D368" s="6" t="n"/>
      <c r="E368" s="6" t="n"/>
      <c r="F368" s="6" t="n"/>
      <c r="G368" s="16">
        <f>IF(OR(E368="",F368=""),0,F368-E368)</f>
        <v/>
      </c>
      <c r="H368" s="6" t="n"/>
      <c r="I368" s="7" t="n"/>
      <c r="J368" s="6" t="n"/>
      <c r="K368" s="6" t="n"/>
    </row>
    <row r="369">
      <c r="A369" s="9" t="n"/>
      <c r="B369" s="9" t="n"/>
      <c r="C369" s="6" t="n"/>
      <c r="D369" s="6" t="n"/>
      <c r="E369" s="6" t="n"/>
      <c r="F369" s="6" t="n"/>
      <c r="G369" s="16">
        <f>IF(OR(E369="",F369=""),0,F369-E369)</f>
        <v/>
      </c>
      <c r="H369" s="6" t="n"/>
      <c r="I369" s="7" t="n"/>
      <c r="J369" s="6" t="n"/>
      <c r="K369" s="6" t="n"/>
    </row>
    <row r="370">
      <c r="A370" s="9" t="n"/>
      <c r="B370" s="9" t="n"/>
      <c r="C370" s="6" t="n"/>
      <c r="D370" s="6" t="n"/>
      <c r="E370" s="6" t="n"/>
      <c r="F370" s="6" t="n"/>
      <c r="G370" s="16">
        <f>IF(OR(E370="",F370=""),0,F370-E370)</f>
        <v/>
      </c>
      <c r="H370" s="6" t="n"/>
      <c r="I370" s="7" t="n"/>
      <c r="J370" s="6" t="n"/>
      <c r="K370" s="6" t="n"/>
    </row>
    <row r="371">
      <c r="A371" s="9" t="n"/>
      <c r="B371" s="9" t="n"/>
      <c r="C371" s="6" t="n"/>
      <c r="D371" s="6" t="n"/>
      <c r="E371" s="6" t="n"/>
      <c r="F371" s="6" t="n"/>
      <c r="G371" s="16">
        <f>IF(OR(E371="",F371=""),0,F371-E371)</f>
        <v/>
      </c>
      <c r="H371" s="6" t="n"/>
      <c r="I371" s="7" t="n"/>
      <c r="J371" s="6" t="n"/>
      <c r="K371" s="6" t="n"/>
    </row>
    <row r="372">
      <c r="A372" s="9" t="n"/>
      <c r="B372" s="9" t="n"/>
      <c r="C372" s="6" t="n"/>
      <c r="D372" s="6" t="n"/>
      <c r="E372" s="6" t="n"/>
      <c r="F372" s="6" t="n"/>
      <c r="G372" s="16">
        <f>IF(OR(E372="",F372=""),0,F372-E372)</f>
        <v/>
      </c>
      <c r="H372" s="6" t="n"/>
      <c r="I372" s="7" t="n"/>
      <c r="J372" s="6" t="n"/>
      <c r="K372" s="6" t="n"/>
    </row>
    <row r="373">
      <c r="A373" s="9" t="n"/>
      <c r="B373" s="9" t="n"/>
      <c r="C373" s="6" t="n"/>
      <c r="D373" s="6" t="n"/>
      <c r="E373" s="6" t="n"/>
      <c r="F373" s="6" t="n"/>
      <c r="G373" s="16">
        <f>IF(OR(E373="",F373=""),0,F373-E373)</f>
        <v/>
      </c>
      <c r="H373" s="6" t="n"/>
      <c r="I373" s="7" t="n"/>
      <c r="J373" s="6" t="n"/>
      <c r="K373" s="6" t="n"/>
    </row>
    <row r="374">
      <c r="A374" s="9" t="n"/>
      <c r="B374" s="9" t="n"/>
      <c r="C374" s="6" t="n"/>
      <c r="D374" s="6" t="n"/>
      <c r="E374" s="6" t="n"/>
      <c r="F374" s="6" t="n"/>
      <c r="G374" s="16">
        <f>IF(OR(E374="",F374=""),0,F374-E374)</f>
        <v/>
      </c>
      <c r="H374" s="6" t="n"/>
      <c r="I374" s="7" t="n"/>
      <c r="J374" s="6" t="n"/>
      <c r="K374" s="6" t="n"/>
    </row>
    <row r="375">
      <c r="A375" s="9" t="n"/>
      <c r="B375" s="9" t="n"/>
      <c r="C375" s="6" t="n"/>
      <c r="D375" s="6" t="n"/>
      <c r="E375" s="6" t="n"/>
      <c r="F375" s="6" t="n"/>
      <c r="G375" s="16">
        <f>IF(OR(E375="",F375=""),0,F375-E375)</f>
        <v/>
      </c>
      <c r="H375" s="6" t="n"/>
      <c r="I375" s="7" t="n"/>
      <c r="J375" s="6" t="n"/>
      <c r="K375" s="6" t="n"/>
    </row>
    <row r="376">
      <c r="A376" s="9" t="n"/>
      <c r="B376" s="9" t="n"/>
      <c r="C376" s="6" t="n"/>
      <c r="D376" s="6" t="n"/>
      <c r="E376" s="6" t="n"/>
      <c r="F376" s="6" t="n"/>
      <c r="G376" s="16">
        <f>IF(OR(E376="",F376=""),0,F376-E376)</f>
        <v/>
      </c>
      <c r="H376" s="6" t="n"/>
      <c r="I376" s="7" t="n"/>
      <c r="J376" s="6" t="n"/>
      <c r="K376" s="6" t="n"/>
    </row>
    <row r="377">
      <c r="A377" s="9" t="n"/>
      <c r="B377" s="9" t="n"/>
      <c r="C377" s="6" t="n"/>
      <c r="D377" s="6" t="n"/>
      <c r="E377" s="6" t="n"/>
      <c r="F377" s="6" t="n"/>
      <c r="G377" s="16">
        <f>IF(OR(E377="",F377=""),0,F377-E377)</f>
        <v/>
      </c>
      <c r="H377" s="6" t="n"/>
      <c r="I377" s="7" t="n"/>
      <c r="J377" s="6" t="n"/>
      <c r="K377" s="6" t="n"/>
    </row>
    <row r="378">
      <c r="A378" s="9" t="n"/>
      <c r="B378" s="9" t="n"/>
      <c r="C378" s="6" t="n"/>
      <c r="D378" s="6" t="n"/>
      <c r="E378" s="6" t="n"/>
      <c r="F378" s="6" t="n"/>
      <c r="G378" s="16">
        <f>IF(OR(E378="",F378=""),0,F378-E378)</f>
        <v/>
      </c>
      <c r="H378" s="6" t="n"/>
      <c r="I378" s="7" t="n"/>
      <c r="J378" s="6" t="n"/>
      <c r="K378" s="6" t="n"/>
    </row>
    <row r="379">
      <c r="A379" s="9" t="n"/>
      <c r="B379" s="9" t="n"/>
      <c r="C379" s="6" t="n"/>
      <c r="D379" s="6" t="n"/>
      <c r="E379" s="6" t="n"/>
      <c r="F379" s="6" t="n"/>
      <c r="G379" s="16">
        <f>IF(OR(E379="",F379=""),0,F379-E379)</f>
        <v/>
      </c>
      <c r="H379" s="6" t="n"/>
      <c r="I379" s="7" t="n"/>
      <c r="J379" s="6" t="n"/>
      <c r="K379" s="6" t="n"/>
    </row>
    <row r="380">
      <c r="A380" s="9" t="n"/>
      <c r="B380" s="9" t="n"/>
      <c r="C380" s="6" t="n"/>
      <c r="D380" s="6" t="n"/>
      <c r="E380" s="6" t="n"/>
      <c r="F380" s="6" t="n"/>
      <c r="G380" s="16">
        <f>IF(OR(E380="",F380=""),0,F380-E380)</f>
        <v/>
      </c>
      <c r="H380" s="6" t="n"/>
      <c r="I380" s="7" t="n"/>
      <c r="J380" s="6" t="n"/>
      <c r="K380" s="6" t="n"/>
    </row>
    <row r="381">
      <c r="A381" s="9" t="n"/>
      <c r="B381" s="9" t="n"/>
      <c r="C381" s="6" t="n"/>
      <c r="D381" s="6" t="n"/>
      <c r="E381" s="6" t="n"/>
      <c r="F381" s="6" t="n"/>
      <c r="G381" s="16">
        <f>IF(OR(E381="",F381=""),0,F381-E381)</f>
        <v/>
      </c>
      <c r="H381" s="6" t="n"/>
      <c r="I381" s="7" t="n"/>
      <c r="J381" s="6" t="n"/>
      <c r="K381" s="6" t="n"/>
    </row>
    <row r="382">
      <c r="A382" s="9" t="n"/>
      <c r="B382" s="9" t="n"/>
      <c r="C382" s="6" t="n"/>
      <c r="D382" s="6" t="n"/>
      <c r="E382" s="6" t="n"/>
      <c r="F382" s="6" t="n"/>
      <c r="G382" s="16">
        <f>IF(OR(E382="",F382=""),0,F382-E382)</f>
        <v/>
      </c>
      <c r="H382" s="6" t="n"/>
      <c r="I382" s="7" t="n"/>
      <c r="J382" s="6" t="n"/>
      <c r="K382" s="6" t="n"/>
    </row>
    <row r="383">
      <c r="A383" s="9" t="n"/>
      <c r="B383" s="9" t="n"/>
      <c r="C383" s="6" t="n"/>
      <c r="D383" s="6" t="n"/>
      <c r="E383" s="6" t="n"/>
      <c r="F383" s="6" t="n"/>
      <c r="G383" s="16">
        <f>IF(OR(E383="",F383=""),0,F383-E383)</f>
        <v/>
      </c>
      <c r="H383" s="6" t="n"/>
      <c r="I383" s="7" t="n"/>
      <c r="J383" s="6" t="n"/>
      <c r="K383" s="6" t="n"/>
    </row>
    <row r="384">
      <c r="A384" s="9" t="n"/>
      <c r="B384" s="9" t="n"/>
      <c r="C384" s="6" t="n"/>
      <c r="D384" s="6" t="n"/>
      <c r="E384" s="6" t="n"/>
      <c r="F384" s="6" t="n"/>
      <c r="G384" s="16">
        <f>IF(OR(E384="",F384=""),0,F384-E384)</f>
        <v/>
      </c>
      <c r="H384" s="6" t="n"/>
      <c r="I384" s="7" t="n"/>
      <c r="J384" s="6" t="n"/>
      <c r="K384" s="6" t="n"/>
    </row>
    <row r="385">
      <c r="A385" s="9" t="n"/>
      <c r="B385" s="9" t="n"/>
      <c r="C385" s="6" t="n"/>
      <c r="D385" s="6" t="n"/>
      <c r="E385" s="6" t="n"/>
      <c r="F385" s="6" t="n"/>
      <c r="G385" s="16">
        <f>IF(OR(E385="",F385=""),0,F385-E385)</f>
        <v/>
      </c>
      <c r="H385" s="6" t="n"/>
      <c r="I385" s="7" t="n"/>
      <c r="J385" s="6" t="n"/>
      <c r="K385" s="6" t="n"/>
    </row>
    <row r="386">
      <c r="A386" s="9" t="n"/>
      <c r="B386" s="9" t="n"/>
      <c r="C386" s="6" t="n"/>
      <c r="D386" s="6" t="n"/>
      <c r="E386" s="6" t="n"/>
      <c r="F386" s="6" t="n"/>
      <c r="G386" s="16">
        <f>IF(OR(E386="",F386=""),0,F386-E386)</f>
        <v/>
      </c>
      <c r="H386" s="6" t="n"/>
      <c r="I386" s="7" t="n"/>
      <c r="J386" s="6" t="n"/>
      <c r="K386" s="6" t="n"/>
    </row>
    <row r="387">
      <c r="A387" s="9" t="n"/>
      <c r="B387" s="9" t="n"/>
      <c r="C387" s="6" t="n"/>
      <c r="D387" s="6" t="n"/>
      <c r="E387" s="6" t="n"/>
      <c r="F387" s="6" t="n"/>
      <c r="G387" s="16">
        <f>IF(OR(E387="",F387=""),0,F387-E387)</f>
        <v/>
      </c>
      <c r="H387" s="6" t="n"/>
      <c r="I387" s="7" t="n"/>
      <c r="J387" s="6" t="n"/>
      <c r="K387" s="6" t="n"/>
    </row>
    <row r="388">
      <c r="A388" s="9" t="n"/>
      <c r="B388" s="9" t="n"/>
      <c r="C388" s="6" t="n"/>
      <c r="D388" s="6" t="n"/>
      <c r="E388" s="6" t="n"/>
      <c r="F388" s="6" t="n"/>
      <c r="G388" s="16">
        <f>IF(OR(E388="",F388=""),0,F388-E388)</f>
        <v/>
      </c>
      <c r="H388" s="6" t="n"/>
      <c r="I388" s="7" t="n"/>
      <c r="J388" s="6" t="n"/>
      <c r="K388" s="6" t="n"/>
    </row>
    <row r="389">
      <c r="A389" s="9" t="n"/>
      <c r="B389" s="9" t="n"/>
      <c r="C389" s="6" t="n"/>
      <c r="D389" s="6" t="n"/>
      <c r="E389" s="6" t="n"/>
      <c r="F389" s="6" t="n"/>
      <c r="G389" s="16">
        <f>IF(OR(E389="",F389=""),0,F389-E389)</f>
        <v/>
      </c>
      <c r="H389" s="6" t="n"/>
      <c r="I389" s="7" t="n"/>
      <c r="J389" s="6" t="n"/>
      <c r="K389" s="6" t="n"/>
    </row>
    <row r="390">
      <c r="A390" s="9" t="n"/>
      <c r="B390" s="9" t="n"/>
      <c r="C390" s="6" t="n"/>
      <c r="D390" s="6" t="n"/>
      <c r="E390" s="6" t="n"/>
      <c r="F390" s="6" t="n"/>
      <c r="G390" s="16">
        <f>IF(OR(E390="",F390=""),0,F390-E390)</f>
        <v/>
      </c>
      <c r="H390" s="6" t="n"/>
      <c r="I390" s="7" t="n"/>
      <c r="J390" s="6" t="n"/>
      <c r="K390" s="6" t="n"/>
    </row>
    <row r="391">
      <c r="A391" s="9" t="n"/>
      <c r="B391" s="9" t="n"/>
      <c r="C391" s="6" t="n"/>
      <c r="D391" s="6" t="n"/>
      <c r="E391" s="6" t="n"/>
      <c r="F391" s="6" t="n"/>
      <c r="G391" s="16">
        <f>IF(OR(E391="",F391=""),0,F391-E391)</f>
        <v/>
      </c>
      <c r="H391" s="6" t="n"/>
      <c r="I391" s="7" t="n"/>
      <c r="J391" s="6" t="n"/>
      <c r="K391" s="6" t="n"/>
    </row>
    <row r="392">
      <c r="A392" s="9" t="n"/>
      <c r="B392" s="9" t="n"/>
      <c r="C392" s="6" t="n"/>
      <c r="D392" s="6" t="n"/>
      <c r="E392" s="6" t="n"/>
      <c r="F392" s="6" t="n"/>
      <c r="G392" s="16">
        <f>IF(OR(E392="",F392=""),0,F392-E392)</f>
        <v/>
      </c>
      <c r="H392" s="6" t="n"/>
      <c r="I392" s="7" t="n"/>
      <c r="J392" s="6" t="n"/>
      <c r="K392" s="6" t="n"/>
    </row>
    <row r="393">
      <c r="A393" s="9" t="n"/>
      <c r="B393" s="9" t="n"/>
      <c r="C393" s="6" t="n"/>
      <c r="D393" s="6" t="n"/>
      <c r="E393" s="6" t="n"/>
      <c r="F393" s="6" t="n"/>
      <c r="G393" s="16">
        <f>IF(OR(E393="",F393=""),0,F393-E393)</f>
        <v/>
      </c>
      <c r="H393" s="6" t="n"/>
      <c r="I393" s="7" t="n"/>
      <c r="J393" s="6" t="n"/>
      <c r="K393" s="6" t="n"/>
    </row>
    <row r="394">
      <c r="A394" s="9" t="n"/>
      <c r="B394" s="9" t="n"/>
      <c r="C394" s="6" t="n"/>
      <c r="D394" s="6" t="n"/>
      <c r="E394" s="6" t="n"/>
      <c r="F394" s="6" t="n"/>
      <c r="G394" s="16">
        <f>IF(OR(E394="",F394=""),0,F394-E394)</f>
        <v/>
      </c>
      <c r="H394" s="6" t="n"/>
      <c r="I394" s="7" t="n"/>
      <c r="J394" s="6" t="n"/>
      <c r="K394" s="6" t="n"/>
    </row>
    <row r="395">
      <c r="A395" s="9" t="n"/>
      <c r="B395" s="9" t="n"/>
      <c r="C395" s="6" t="n"/>
      <c r="D395" s="6" t="n"/>
      <c r="E395" s="6" t="n"/>
      <c r="F395" s="6" t="n"/>
      <c r="G395" s="16">
        <f>IF(OR(E395="",F395=""),0,F395-E395)</f>
        <v/>
      </c>
      <c r="H395" s="6" t="n"/>
      <c r="I395" s="7" t="n"/>
      <c r="J395" s="6" t="n"/>
      <c r="K395" s="6" t="n"/>
    </row>
    <row r="396">
      <c r="A396" s="9" t="n"/>
      <c r="B396" s="9" t="n"/>
      <c r="C396" s="6" t="n"/>
      <c r="D396" s="6" t="n"/>
      <c r="E396" s="6" t="n"/>
      <c r="F396" s="6" t="n"/>
      <c r="G396" s="16">
        <f>IF(OR(E396="",F396=""),0,F396-E396)</f>
        <v/>
      </c>
      <c r="H396" s="6" t="n"/>
      <c r="I396" s="7" t="n"/>
      <c r="J396" s="6" t="n"/>
      <c r="K396" s="6" t="n"/>
    </row>
    <row r="397">
      <c r="A397" s="9" t="n"/>
      <c r="B397" s="9" t="n"/>
      <c r="C397" s="6" t="n"/>
      <c r="D397" s="6" t="n"/>
      <c r="E397" s="6" t="n"/>
      <c r="F397" s="6" t="n"/>
      <c r="G397" s="16">
        <f>IF(OR(E397="",F397=""),0,F397-E397)</f>
        <v/>
      </c>
      <c r="H397" s="6" t="n"/>
      <c r="I397" s="7" t="n"/>
      <c r="J397" s="6" t="n"/>
      <c r="K397" s="6" t="n"/>
    </row>
    <row r="398">
      <c r="A398" s="9" t="n"/>
      <c r="B398" s="9" t="n"/>
      <c r="C398" s="6" t="n"/>
      <c r="D398" s="6" t="n"/>
      <c r="E398" s="6" t="n"/>
      <c r="F398" s="6" t="n"/>
      <c r="G398" s="16">
        <f>IF(OR(E398="",F398=""),0,F398-E398)</f>
        <v/>
      </c>
      <c r="H398" s="6" t="n"/>
      <c r="I398" s="7" t="n"/>
      <c r="J398" s="6" t="n"/>
      <c r="K398" s="6" t="n"/>
    </row>
    <row r="399">
      <c r="A399" s="9" t="n"/>
      <c r="B399" s="9" t="n"/>
      <c r="C399" s="6" t="n"/>
      <c r="D399" s="6" t="n"/>
      <c r="E399" s="6" t="n"/>
      <c r="F399" s="6" t="n"/>
      <c r="G399" s="16">
        <f>IF(OR(E399="",F399=""),0,F399-E399)</f>
        <v/>
      </c>
      <c r="H399" s="6" t="n"/>
      <c r="I399" s="7" t="n"/>
      <c r="J399" s="6" t="n"/>
      <c r="K399" s="6" t="n"/>
    </row>
    <row r="400">
      <c r="A400" s="9" t="n"/>
      <c r="B400" s="9" t="n"/>
      <c r="C400" s="6" t="n"/>
      <c r="D400" s="6" t="n"/>
      <c r="E400" s="6" t="n"/>
      <c r="F400" s="6" t="n"/>
      <c r="G400" s="16">
        <f>IF(OR(E400="",F400=""),0,F400-E400)</f>
        <v/>
      </c>
      <c r="H400" s="6" t="n"/>
      <c r="I400" s="7" t="n"/>
      <c r="J400" s="6" t="n"/>
      <c r="K400" s="6" t="n"/>
    </row>
    <row r="401">
      <c r="A401" s="9" t="n"/>
      <c r="B401" s="9" t="n"/>
      <c r="C401" s="6" t="n"/>
      <c r="D401" s="6" t="n"/>
      <c r="E401" s="6" t="n"/>
      <c r="F401" s="6" t="n"/>
      <c r="G401" s="16">
        <f>IF(OR(E401="",F401=""),0,F401-E401)</f>
        <v/>
      </c>
      <c r="H401" s="6" t="n"/>
      <c r="I401" s="7" t="n"/>
      <c r="J401" s="6" t="n"/>
      <c r="K401" s="6" t="n"/>
    </row>
    <row r="402">
      <c r="A402" s="9" t="n"/>
      <c r="B402" s="9" t="n"/>
      <c r="C402" s="6" t="n"/>
      <c r="D402" s="6" t="n"/>
      <c r="E402" s="6" t="n"/>
      <c r="F402" s="6" t="n"/>
      <c r="G402" s="16">
        <f>IF(OR(E402="",F402=""),0,F402-E402)</f>
        <v/>
      </c>
      <c r="H402" s="6" t="n"/>
      <c r="I402" s="7" t="n"/>
      <c r="J402" s="6" t="n"/>
      <c r="K402" s="6" t="n"/>
    </row>
    <row r="403">
      <c r="A403" s="9" t="n"/>
      <c r="B403" s="9" t="n"/>
      <c r="C403" s="6" t="n"/>
      <c r="D403" s="6" t="n"/>
      <c r="E403" s="6" t="n"/>
      <c r="F403" s="6" t="n"/>
      <c r="G403" s="16">
        <f>IF(OR(E403="",F403=""),0,F403-E403)</f>
        <v/>
      </c>
      <c r="H403" s="6" t="n"/>
      <c r="I403" s="7" t="n"/>
      <c r="J403" s="6" t="n"/>
      <c r="K403" s="6" t="n"/>
    </row>
    <row r="404">
      <c r="A404" s="9" t="n"/>
      <c r="B404" s="9" t="n"/>
      <c r="C404" s="6" t="n"/>
      <c r="D404" s="6" t="n"/>
      <c r="E404" s="6" t="n"/>
      <c r="F404" s="6" t="n"/>
      <c r="G404" s="16">
        <f>IF(OR(E404="",F404=""),0,F404-E404)</f>
        <v/>
      </c>
      <c r="H404" s="6" t="n"/>
      <c r="I404" s="7" t="n"/>
      <c r="J404" s="6" t="n"/>
      <c r="K404" s="6" t="n"/>
    </row>
    <row r="405">
      <c r="A405" s="9" t="n"/>
      <c r="B405" s="9" t="n"/>
      <c r="C405" s="6" t="n"/>
      <c r="D405" s="6" t="n"/>
      <c r="E405" s="6" t="n"/>
      <c r="F405" s="6" t="n"/>
      <c r="G405" s="16">
        <f>IF(OR(E405="",F405=""),0,F405-E405)</f>
        <v/>
      </c>
      <c r="H405" s="6" t="n"/>
      <c r="I405" s="7" t="n"/>
      <c r="J405" s="6" t="n"/>
      <c r="K405" s="6" t="n"/>
    </row>
    <row r="406">
      <c r="A406" s="9" t="n"/>
      <c r="B406" s="9" t="n"/>
      <c r="C406" s="6" t="n"/>
      <c r="D406" s="6" t="n"/>
      <c r="E406" s="6" t="n"/>
      <c r="F406" s="6" t="n"/>
      <c r="G406" s="16">
        <f>IF(OR(E406="",F406=""),0,F406-E406)</f>
        <v/>
      </c>
      <c r="H406" s="6" t="n"/>
      <c r="I406" s="7" t="n"/>
      <c r="J406" s="6" t="n"/>
      <c r="K406" s="6" t="n"/>
    </row>
    <row r="407">
      <c r="A407" s="9" t="n"/>
      <c r="B407" s="9" t="n"/>
      <c r="C407" s="6" t="n"/>
      <c r="D407" s="6" t="n"/>
      <c r="E407" s="6" t="n"/>
      <c r="F407" s="6" t="n"/>
      <c r="G407" s="16">
        <f>IF(OR(E407="",F407=""),0,F407-E407)</f>
        <v/>
      </c>
      <c r="H407" s="6" t="n"/>
      <c r="I407" s="7" t="n"/>
      <c r="J407" s="6" t="n"/>
      <c r="K407" s="6" t="n"/>
    </row>
    <row r="408">
      <c r="A408" s="9" t="n"/>
      <c r="B408" s="9" t="n"/>
      <c r="C408" s="6" t="n"/>
      <c r="D408" s="6" t="n"/>
      <c r="E408" s="6" t="n"/>
      <c r="F408" s="6" t="n"/>
      <c r="G408" s="16">
        <f>IF(OR(E408="",F408=""),0,F408-E408)</f>
        <v/>
      </c>
      <c r="H408" s="6" t="n"/>
      <c r="I408" s="7" t="n"/>
      <c r="J408" s="6" t="n"/>
      <c r="K408" s="6" t="n"/>
    </row>
    <row r="409">
      <c r="A409" s="9" t="n"/>
      <c r="B409" s="9" t="n"/>
      <c r="C409" s="6" t="n"/>
      <c r="D409" s="6" t="n"/>
      <c r="E409" s="6" t="n"/>
      <c r="F409" s="6" t="n"/>
      <c r="G409" s="16">
        <f>IF(OR(E409="",F409=""),0,F409-E409)</f>
        <v/>
      </c>
      <c r="H409" s="6" t="n"/>
      <c r="I409" s="7" t="n"/>
      <c r="J409" s="6" t="n"/>
      <c r="K409" s="6" t="n"/>
    </row>
    <row r="410">
      <c r="A410" s="9" t="n"/>
      <c r="B410" s="9" t="n"/>
      <c r="C410" s="6" t="n"/>
      <c r="D410" s="6" t="n"/>
      <c r="E410" s="6" t="n"/>
      <c r="F410" s="6" t="n"/>
      <c r="G410" s="16">
        <f>IF(OR(E410="",F410=""),0,F410-E410)</f>
        <v/>
      </c>
      <c r="H410" s="6" t="n"/>
      <c r="I410" s="7" t="n"/>
      <c r="J410" s="6" t="n"/>
      <c r="K410" s="6" t="n"/>
    </row>
    <row r="411">
      <c r="A411" s="9" t="n"/>
      <c r="B411" s="9" t="n"/>
      <c r="C411" s="6" t="n"/>
      <c r="D411" s="6" t="n"/>
      <c r="E411" s="6" t="n"/>
      <c r="F411" s="6" t="n"/>
      <c r="G411" s="16">
        <f>IF(OR(E411="",F411=""),0,F411-E411)</f>
        <v/>
      </c>
      <c r="H411" s="6" t="n"/>
      <c r="I411" s="7" t="n"/>
      <c r="J411" s="6" t="n"/>
      <c r="K411" s="6" t="n"/>
    </row>
    <row r="412">
      <c r="A412" s="9" t="n"/>
      <c r="B412" s="9" t="n"/>
      <c r="C412" s="6" t="n"/>
      <c r="D412" s="6" t="n"/>
      <c r="E412" s="6" t="n"/>
      <c r="F412" s="6" t="n"/>
      <c r="G412" s="16">
        <f>IF(OR(E412="",F412=""),0,F412-E412)</f>
        <v/>
      </c>
      <c r="H412" s="6" t="n"/>
      <c r="I412" s="7" t="n"/>
      <c r="J412" s="6" t="n"/>
      <c r="K412" s="6" t="n"/>
    </row>
    <row r="413">
      <c r="A413" s="9" t="n"/>
      <c r="B413" s="9" t="n"/>
      <c r="C413" s="6" t="n"/>
      <c r="D413" s="6" t="n"/>
      <c r="E413" s="6" t="n"/>
      <c r="F413" s="6" t="n"/>
      <c r="G413" s="16">
        <f>IF(OR(E413="",F413=""),0,F413-E413)</f>
        <v/>
      </c>
      <c r="H413" s="6" t="n"/>
      <c r="I413" s="7" t="n"/>
      <c r="J413" s="6" t="n"/>
      <c r="K413" s="6" t="n"/>
    </row>
    <row r="414">
      <c r="A414" s="9" t="n"/>
      <c r="B414" s="9" t="n"/>
      <c r="C414" s="6" t="n"/>
      <c r="D414" s="6" t="n"/>
      <c r="E414" s="6" t="n"/>
      <c r="F414" s="6" t="n"/>
      <c r="G414" s="16">
        <f>IF(OR(E414="",F414=""),0,F414-E414)</f>
        <v/>
      </c>
      <c r="H414" s="6" t="n"/>
      <c r="I414" s="7" t="n"/>
      <c r="J414" s="6" t="n"/>
      <c r="K414" s="6" t="n"/>
    </row>
    <row r="415">
      <c r="A415" s="9" t="n"/>
      <c r="B415" s="9" t="n"/>
      <c r="C415" s="6" t="n"/>
      <c r="D415" s="6" t="n"/>
      <c r="E415" s="6" t="n"/>
      <c r="F415" s="6" t="n"/>
      <c r="G415" s="16">
        <f>IF(OR(E415="",F415=""),0,F415-E415)</f>
        <v/>
      </c>
      <c r="H415" s="6" t="n"/>
      <c r="I415" s="7" t="n"/>
      <c r="J415" s="6" t="n"/>
      <c r="K415" s="6" t="n"/>
    </row>
    <row r="416">
      <c r="A416" s="9" t="n"/>
      <c r="B416" s="9" t="n"/>
      <c r="C416" s="6" t="n"/>
      <c r="D416" s="6" t="n"/>
      <c r="E416" s="6" t="n"/>
      <c r="F416" s="6" t="n"/>
      <c r="G416" s="16">
        <f>IF(OR(E416="",F416=""),0,F416-E416)</f>
        <v/>
      </c>
      <c r="H416" s="6" t="n"/>
      <c r="I416" s="7" t="n"/>
      <c r="J416" s="6" t="n"/>
      <c r="K416" s="6" t="n"/>
    </row>
    <row r="417">
      <c r="A417" s="9" t="n"/>
      <c r="B417" s="9" t="n"/>
      <c r="C417" s="6" t="n"/>
      <c r="D417" s="6" t="n"/>
      <c r="E417" s="6" t="n"/>
      <c r="F417" s="6" t="n"/>
      <c r="G417" s="16">
        <f>IF(OR(E417="",F417=""),0,F417-E417)</f>
        <v/>
      </c>
      <c r="H417" s="6" t="n"/>
      <c r="I417" s="7" t="n"/>
      <c r="J417" s="6" t="n"/>
      <c r="K417" s="6" t="n"/>
    </row>
    <row r="418">
      <c r="A418" s="9" t="n"/>
      <c r="B418" s="9" t="n"/>
      <c r="C418" s="6" t="n"/>
      <c r="D418" s="6" t="n"/>
      <c r="E418" s="6" t="n"/>
      <c r="F418" s="6" t="n"/>
      <c r="G418" s="16">
        <f>IF(OR(E418="",F418=""),0,F418-E418)</f>
        <v/>
      </c>
      <c r="H418" s="6" t="n"/>
      <c r="I418" s="7" t="n"/>
      <c r="J418" s="6" t="n"/>
      <c r="K418" s="6" t="n"/>
    </row>
    <row r="419">
      <c r="A419" s="9" t="n"/>
      <c r="B419" s="9" t="n"/>
      <c r="C419" s="6" t="n"/>
      <c r="D419" s="6" t="n"/>
      <c r="E419" s="6" t="n"/>
      <c r="F419" s="6" t="n"/>
      <c r="G419" s="16">
        <f>IF(OR(E419="",F419=""),0,F419-E419)</f>
        <v/>
      </c>
      <c r="H419" s="6" t="n"/>
      <c r="I419" s="7" t="n"/>
      <c r="J419" s="6" t="n"/>
      <c r="K419" s="6" t="n"/>
    </row>
    <row r="420">
      <c r="A420" s="9" t="n"/>
      <c r="B420" s="9" t="n"/>
      <c r="C420" s="6" t="n"/>
      <c r="D420" s="6" t="n"/>
      <c r="E420" s="6" t="n"/>
      <c r="F420" s="6" t="n"/>
      <c r="G420" s="16">
        <f>IF(OR(E420="",F420=""),0,F420-E420)</f>
        <v/>
      </c>
      <c r="H420" s="6" t="n"/>
      <c r="I420" s="7" t="n"/>
      <c r="J420" s="6" t="n"/>
      <c r="K420" s="6" t="n"/>
    </row>
    <row r="421">
      <c r="A421" s="9" t="n"/>
      <c r="B421" s="9" t="n"/>
      <c r="C421" s="6" t="n"/>
      <c r="D421" s="6" t="n"/>
      <c r="E421" s="6" t="n"/>
      <c r="F421" s="6" t="n"/>
      <c r="G421" s="16">
        <f>IF(OR(E421="",F421=""),0,F421-E421)</f>
        <v/>
      </c>
      <c r="H421" s="6" t="n"/>
      <c r="I421" s="7" t="n"/>
      <c r="J421" s="6" t="n"/>
      <c r="K421" s="6" t="n"/>
    </row>
    <row r="422">
      <c r="A422" s="9" t="n"/>
      <c r="B422" s="9" t="n"/>
      <c r="C422" s="6" t="n"/>
      <c r="D422" s="6" t="n"/>
      <c r="E422" s="6" t="n"/>
      <c r="F422" s="6" t="n"/>
      <c r="G422" s="16">
        <f>IF(OR(E422="",F422=""),0,F422-E422)</f>
        <v/>
      </c>
      <c r="H422" s="6" t="n"/>
      <c r="I422" s="7" t="n"/>
      <c r="J422" s="6" t="n"/>
      <c r="K422" s="6" t="n"/>
    </row>
    <row r="423">
      <c r="A423" s="9" t="n"/>
      <c r="B423" s="9" t="n"/>
      <c r="C423" s="6" t="n"/>
      <c r="D423" s="6" t="n"/>
      <c r="E423" s="6" t="n"/>
      <c r="F423" s="6" t="n"/>
      <c r="G423" s="16">
        <f>IF(OR(E423="",F423=""),0,F423-E423)</f>
        <v/>
      </c>
      <c r="H423" s="6" t="n"/>
      <c r="I423" s="7" t="n"/>
      <c r="J423" s="6" t="n"/>
      <c r="K423" s="6" t="n"/>
    </row>
    <row r="424">
      <c r="A424" s="9" t="n"/>
      <c r="B424" s="9" t="n"/>
      <c r="C424" s="6" t="n"/>
      <c r="D424" s="6" t="n"/>
      <c r="E424" s="6" t="n"/>
      <c r="F424" s="6" t="n"/>
      <c r="G424" s="16">
        <f>IF(OR(E424="",F424=""),0,F424-E424)</f>
        <v/>
      </c>
      <c r="H424" s="6" t="n"/>
      <c r="I424" s="7" t="n"/>
      <c r="J424" s="6" t="n"/>
      <c r="K424" s="6" t="n"/>
    </row>
    <row r="425">
      <c r="A425" s="9" t="n"/>
      <c r="B425" s="9" t="n"/>
      <c r="C425" s="6" t="n"/>
      <c r="D425" s="6" t="n"/>
      <c r="E425" s="6" t="n"/>
      <c r="F425" s="6" t="n"/>
      <c r="G425" s="16">
        <f>IF(OR(E425="",F425=""),0,F425-E425)</f>
        <v/>
      </c>
      <c r="H425" s="6" t="n"/>
      <c r="I425" s="7" t="n"/>
      <c r="J425" s="6" t="n"/>
      <c r="K425" s="6" t="n"/>
    </row>
    <row r="426">
      <c r="A426" s="9" t="n"/>
      <c r="B426" s="9" t="n"/>
      <c r="C426" s="6" t="n"/>
      <c r="D426" s="6" t="n"/>
      <c r="E426" s="6" t="n"/>
      <c r="F426" s="6" t="n"/>
      <c r="G426" s="16">
        <f>IF(OR(E426="",F426=""),0,F426-E426)</f>
        <v/>
      </c>
      <c r="H426" s="6" t="n"/>
      <c r="I426" s="7" t="n"/>
      <c r="J426" s="6" t="n"/>
      <c r="K426" s="6" t="n"/>
    </row>
    <row r="427">
      <c r="A427" s="9" t="n"/>
      <c r="B427" s="9" t="n"/>
      <c r="C427" s="6" t="n"/>
      <c r="D427" s="6" t="n"/>
      <c r="E427" s="6" t="n"/>
      <c r="F427" s="6" t="n"/>
      <c r="G427" s="16">
        <f>IF(OR(E427="",F427=""),0,F427-E427)</f>
        <v/>
      </c>
      <c r="H427" s="6" t="n"/>
      <c r="I427" s="7" t="n"/>
      <c r="J427" s="6" t="n"/>
      <c r="K427" s="6" t="n"/>
    </row>
    <row r="428">
      <c r="A428" s="9" t="n"/>
      <c r="B428" s="9" t="n"/>
      <c r="C428" s="6" t="n"/>
      <c r="D428" s="6" t="n"/>
      <c r="E428" s="6" t="n"/>
      <c r="F428" s="6" t="n"/>
      <c r="G428" s="16">
        <f>IF(OR(E428="",F428=""),0,F428-E428)</f>
        <v/>
      </c>
      <c r="H428" s="6" t="n"/>
      <c r="I428" s="7" t="n"/>
      <c r="J428" s="6" t="n"/>
      <c r="K428" s="6" t="n"/>
    </row>
    <row r="429">
      <c r="A429" s="9" t="n"/>
      <c r="B429" s="9" t="n"/>
      <c r="C429" s="6" t="n"/>
      <c r="D429" s="6" t="n"/>
      <c r="E429" s="6" t="n"/>
      <c r="F429" s="6" t="n"/>
      <c r="G429" s="16">
        <f>IF(OR(E429="",F429=""),0,F429-E429)</f>
        <v/>
      </c>
      <c r="H429" s="6" t="n"/>
      <c r="I429" s="7" t="n"/>
      <c r="J429" s="6" t="n"/>
      <c r="K429" s="6" t="n"/>
    </row>
    <row r="430">
      <c r="A430" s="9" t="n"/>
      <c r="B430" s="9" t="n"/>
      <c r="C430" s="6" t="n"/>
      <c r="D430" s="6" t="n"/>
      <c r="E430" s="6" t="n"/>
      <c r="F430" s="6" t="n"/>
      <c r="G430" s="16">
        <f>IF(OR(E430="",F430=""),0,F430-E430)</f>
        <v/>
      </c>
      <c r="H430" s="6" t="n"/>
      <c r="I430" s="7" t="n"/>
      <c r="J430" s="6" t="n"/>
      <c r="K430" s="6" t="n"/>
    </row>
    <row r="431">
      <c r="A431" s="9" t="n"/>
      <c r="B431" s="9" t="n"/>
      <c r="C431" s="6" t="n"/>
      <c r="D431" s="6" t="n"/>
      <c r="E431" s="6" t="n"/>
      <c r="F431" s="6" t="n"/>
      <c r="G431" s="16">
        <f>IF(OR(E431="",F431=""),0,F431-E431)</f>
        <v/>
      </c>
      <c r="H431" s="6" t="n"/>
      <c r="I431" s="7" t="n"/>
      <c r="J431" s="6" t="n"/>
      <c r="K431" s="6" t="n"/>
    </row>
    <row r="432">
      <c r="A432" s="9" t="n"/>
      <c r="B432" s="9" t="n"/>
      <c r="C432" s="6" t="n"/>
      <c r="D432" s="6" t="n"/>
      <c r="E432" s="6" t="n"/>
      <c r="F432" s="6" t="n"/>
      <c r="G432" s="16">
        <f>IF(OR(E432="",F432=""),0,F432-E432)</f>
        <v/>
      </c>
      <c r="H432" s="6" t="n"/>
      <c r="I432" s="7" t="n"/>
      <c r="J432" s="6" t="n"/>
      <c r="K432" s="6" t="n"/>
    </row>
    <row r="433">
      <c r="A433" s="9" t="n"/>
      <c r="B433" s="9" t="n"/>
      <c r="C433" s="6" t="n"/>
      <c r="D433" s="6" t="n"/>
      <c r="E433" s="6" t="n"/>
      <c r="F433" s="6" t="n"/>
      <c r="G433" s="16">
        <f>IF(OR(E433="",F433=""),0,F433-E433)</f>
        <v/>
      </c>
      <c r="H433" s="6" t="n"/>
      <c r="I433" s="7" t="n"/>
      <c r="J433" s="6" t="n"/>
      <c r="K433" s="6" t="n"/>
    </row>
    <row r="434">
      <c r="A434" s="9" t="n"/>
      <c r="B434" s="9" t="n"/>
      <c r="C434" s="6" t="n"/>
      <c r="D434" s="6" t="n"/>
      <c r="E434" s="6" t="n"/>
      <c r="F434" s="6" t="n"/>
      <c r="G434" s="16">
        <f>IF(OR(E434="",F434=""),0,F434-E434)</f>
        <v/>
      </c>
      <c r="H434" s="6" t="n"/>
      <c r="I434" s="7" t="n"/>
      <c r="J434" s="6" t="n"/>
      <c r="K434" s="6" t="n"/>
    </row>
    <row r="435">
      <c r="A435" s="9" t="n"/>
      <c r="B435" s="9" t="n"/>
      <c r="C435" s="6" t="n"/>
      <c r="D435" s="6" t="n"/>
      <c r="E435" s="6" t="n"/>
      <c r="F435" s="6" t="n"/>
      <c r="G435" s="16">
        <f>IF(OR(E435="",F435=""),0,F435-E435)</f>
        <v/>
      </c>
      <c r="H435" s="6" t="n"/>
      <c r="I435" s="7" t="n"/>
      <c r="J435" s="6" t="n"/>
      <c r="K435" s="6" t="n"/>
    </row>
    <row r="436">
      <c r="A436" s="9" t="n"/>
      <c r="B436" s="9" t="n"/>
      <c r="C436" s="6" t="n"/>
      <c r="D436" s="6" t="n"/>
      <c r="E436" s="6" t="n"/>
      <c r="F436" s="6" t="n"/>
      <c r="G436" s="16">
        <f>IF(OR(E436="",F436=""),0,F436-E436)</f>
        <v/>
      </c>
      <c r="H436" s="6" t="n"/>
      <c r="I436" s="7" t="n"/>
      <c r="J436" s="6" t="n"/>
      <c r="K436" s="6" t="n"/>
    </row>
    <row r="437">
      <c r="A437" s="9" t="n"/>
      <c r="B437" s="9" t="n"/>
      <c r="C437" s="6" t="n"/>
      <c r="D437" s="6" t="n"/>
      <c r="E437" s="6" t="n"/>
      <c r="F437" s="6" t="n"/>
      <c r="G437" s="16">
        <f>IF(OR(E437="",F437=""),0,F437-E437)</f>
        <v/>
      </c>
      <c r="H437" s="6" t="n"/>
      <c r="I437" s="7" t="n"/>
      <c r="J437" s="6" t="n"/>
      <c r="K437" s="6" t="n"/>
    </row>
    <row r="438">
      <c r="A438" s="9" t="n"/>
      <c r="B438" s="9" t="n"/>
      <c r="C438" s="6" t="n"/>
      <c r="D438" s="6" t="n"/>
      <c r="E438" s="6" t="n"/>
      <c r="F438" s="6" t="n"/>
      <c r="G438" s="16">
        <f>IF(OR(E438="",F438=""),0,F438-E438)</f>
        <v/>
      </c>
      <c r="H438" s="6" t="n"/>
      <c r="I438" s="7" t="n"/>
      <c r="J438" s="6" t="n"/>
      <c r="K438" s="6" t="n"/>
    </row>
    <row r="439">
      <c r="A439" s="9" t="n"/>
      <c r="B439" s="9" t="n"/>
      <c r="C439" s="6" t="n"/>
      <c r="D439" s="6" t="n"/>
      <c r="E439" s="6" t="n"/>
      <c r="F439" s="6" t="n"/>
      <c r="G439" s="16">
        <f>IF(OR(E439="",F439=""),0,F439-E439)</f>
        <v/>
      </c>
      <c r="H439" s="6" t="n"/>
      <c r="I439" s="7" t="n"/>
      <c r="J439" s="6" t="n"/>
      <c r="K439" s="6" t="n"/>
    </row>
    <row r="440">
      <c r="A440" s="9" t="n"/>
      <c r="B440" s="9" t="n"/>
      <c r="C440" s="6" t="n"/>
      <c r="D440" s="6" t="n"/>
      <c r="E440" s="6" t="n"/>
      <c r="F440" s="6" t="n"/>
      <c r="G440" s="16">
        <f>IF(OR(E440="",F440=""),0,F440-E440)</f>
        <v/>
      </c>
      <c r="H440" s="6" t="n"/>
      <c r="I440" s="7" t="n"/>
      <c r="J440" s="6" t="n"/>
      <c r="K440" s="6" t="n"/>
    </row>
    <row r="441">
      <c r="A441" s="9" t="n"/>
      <c r="B441" s="9" t="n"/>
      <c r="C441" s="6" t="n"/>
      <c r="D441" s="6" t="n"/>
      <c r="E441" s="6" t="n"/>
      <c r="F441" s="6" t="n"/>
      <c r="G441" s="16">
        <f>IF(OR(E441="",F441=""),0,F441-E441)</f>
        <v/>
      </c>
      <c r="H441" s="6" t="n"/>
      <c r="I441" s="7" t="n"/>
      <c r="J441" s="6" t="n"/>
      <c r="K441" s="6" t="n"/>
    </row>
    <row r="442">
      <c r="A442" s="9" t="n"/>
      <c r="B442" s="9" t="n"/>
      <c r="C442" s="6" t="n"/>
      <c r="D442" s="6" t="n"/>
      <c r="E442" s="6" t="n"/>
      <c r="F442" s="6" t="n"/>
      <c r="G442" s="16">
        <f>IF(OR(E442="",F442=""),0,F442-E442)</f>
        <v/>
      </c>
      <c r="H442" s="6" t="n"/>
      <c r="I442" s="7" t="n"/>
      <c r="J442" s="6" t="n"/>
      <c r="K442" s="6" t="n"/>
    </row>
    <row r="443">
      <c r="A443" s="9" t="n"/>
      <c r="B443" s="9" t="n"/>
      <c r="C443" s="6" t="n"/>
      <c r="D443" s="6" t="n"/>
      <c r="E443" s="6" t="n"/>
      <c r="F443" s="6" t="n"/>
      <c r="G443" s="16">
        <f>IF(OR(E443="",F443=""),0,F443-E443)</f>
        <v/>
      </c>
      <c r="H443" s="6" t="n"/>
      <c r="I443" s="7" t="n"/>
      <c r="J443" s="6" t="n"/>
      <c r="K443" s="6" t="n"/>
    </row>
    <row r="444">
      <c r="A444" s="9" t="n"/>
      <c r="B444" s="9" t="n"/>
      <c r="C444" s="6" t="n"/>
      <c r="D444" s="6" t="n"/>
      <c r="E444" s="6" t="n"/>
      <c r="F444" s="6" t="n"/>
      <c r="G444" s="16">
        <f>IF(OR(E444="",F444=""),0,F444-E444)</f>
        <v/>
      </c>
      <c r="H444" s="6" t="n"/>
      <c r="I444" s="7" t="n"/>
      <c r="J444" s="6" t="n"/>
      <c r="K444" s="6" t="n"/>
    </row>
    <row r="445">
      <c r="A445" s="9" t="n"/>
      <c r="B445" s="9" t="n"/>
      <c r="C445" s="6" t="n"/>
      <c r="D445" s="6" t="n"/>
      <c r="E445" s="6" t="n"/>
      <c r="F445" s="6" t="n"/>
      <c r="G445" s="16">
        <f>IF(OR(E445="",F445=""),0,F445-E445)</f>
        <v/>
      </c>
      <c r="H445" s="6" t="n"/>
      <c r="I445" s="7" t="n"/>
      <c r="J445" s="6" t="n"/>
      <c r="K445" s="6" t="n"/>
    </row>
    <row r="446">
      <c r="A446" s="9" t="n"/>
      <c r="B446" s="9" t="n"/>
      <c r="C446" s="6" t="n"/>
      <c r="D446" s="6" t="n"/>
      <c r="E446" s="6" t="n"/>
      <c r="F446" s="6" t="n"/>
      <c r="G446" s="16">
        <f>IF(OR(E446="",F446=""),0,F446-E446)</f>
        <v/>
      </c>
      <c r="H446" s="6" t="n"/>
      <c r="I446" s="7" t="n"/>
      <c r="J446" s="6" t="n"/>
      <c r="K446" s="6" t="n"/>
    </row>
    <row r="447">
      <c r="A447" s="9" t="n"/>
      <c r="B447" s="9" t="n"/>
      <c r="C447" s="6" t="n"/>
      <c r="D447" s="6" t="n"/>
      <c r="E447" s="6" t="n"/>
      <c r="F447" s="6" t="n"/>
      <c r="G447" s="16">
        <f>IF(OR(E447="",F447=""),0,F447-E447)</f>
        <v/>
      </c>
      <c r="H447" s="6" t="n"/>
      <c r="I447" s="7" t="n"/>
      <c r="J447" s="6" t="n"/>
      <c r="K447" s="6" t="n"/>
    </row>
    <row r="448">
      <c r="A448" s="9" t="n"/>
      <c r="B448" s="9" t="n"/>
      <c r="C448" s="6" t="n"/>
      <c r="D448" s="6" t="n"/>
      <c r="E448" s="6" t="n"/>
      <c r="F448" s="6" t="n"/>
      <c r="G448" s="16">
        <f>IF(OR(E448="",F448=""),0,F448-E448)</f>
        <v/>
      </c>
      <c r="H448" s="6" t="n"/>
      <c r="I448" s="7" t="n"/>
      <c r="J448" s="6" t="n"/>
      <c r="K448" s="6" t="n"/>
    </row>
    <row r="449">
      <c r="A449" s="9" t="n"/>
      <c r="B449" s="9" t="n"/>
      <c r="C449" s="6" t="n"/>
      <c r="D449" s="6" t="n"/>
      <c r="E449" s="6" t="n"/>
      <c r="F449" s="6" t="n"/>
      <c r="G449" s="16">
        <f>IF(OR(E449="",F449=""),0,F449-E449)</f>
        <v/>
      </c>
      <c r="H449" s="6" t="n"/>
      <c r="I449" s="7" t="n"/>
      <c r="J449" s="6" t="n"/>
      <c r="K449" s="6" t="n"/>
    </row>
    <row r="450">
      <c r="A450" s="9" t="n"/>
      <c r="B450" s="9" t="n"/>
      <c r="C450" s="6" t="n"/>
      <c r="D450" s="6" t="n"/>
      <c r="E450" s="6" t="n"/>
      <c r="F450" s="6" t="n"/>
      <c r="G450" s="16">
        <f>IF(OR(E450="",F450=""),0,F450-E450)</f>
        <v/>
      </c>
      <c r="H450" s="6" t="n"/>
      <c r="I450" s="7" t="n"/>
      <c r="J450" s="6" t="n"/>
      <c r="K450" s="6" t="n"/>
    </row>
    <row r="451">
      <c r="A451" s="9" t="n"/>
      <c r="B451" s="9" t="n"/>
      <c r="C451" s="6" t="n"/>
      <c r="D451" s="6" t="n"/>
      <c r="E451" s="6" t="n"/>
      <c r="F451" s="6" t="n"/>
      <c r="G451" s="16">
        <f>IF(OR(E451="",F451=""),0,F451-E451)</f>
        <v/>
      </c>
      <c r="H451" s="6" t="n"/>
      <c r="I451" s="7" t="n"/>
      <c r="J451" s="6" t="n"/>
      <c r="K451" s="6" t="n"/>
    </row>
    <row r="452">
      <c r="A452" s="9" t="n"/>
      <c r="B452" s="9" t="n"/>
      <c r="C452" s="6" t="n"/>
      <c r="D452" s="6" t="n"/>
      <c r="E452" s="6" t="n"/>
      <c r="F452" s="6" t="n"/>
      <c r="G452" s="16">
        <f>IF(OR(E452="",F452=""),0,F452-E452)</f>
        <v/>
      </c>
      <c r="H452" s="6" t="n"/>
      <c r="I452" s="7" t="n"/>
      <c r="J452" s="6" t="n"/>
      <c r="K452" s="6" t="n"/>
    </row>
    <row r="453">
      <c r="A453" s="9" t="n"/>
      <c r="B453" s="9" t="n"/>
      <c r="C453" s="6" t="n"/>
      <c r="D453" s="6" t="n"/>
      <c r="E453" s="6" t="n"/>
      <c r="F453" s="6" t="n"/>
      <c r="G453" s="16">
        <f>IF(OR(E453="",F453=""),0,F453-E453)</f>
        <v/>
      </c>
      <c r="H453" s="6" t="n"/>
      <c r="I453" s="7" t="n"/>
      <c r="J453" s="6" t="n"/>
      <c r="K453" s="6" t="n"/>
    </row>
    <row r="454">
      <c r="A454" s="9" t="n"/>
      <c r="B454" s="9" t="n"/>
      <c r="C454" s="6" t="n"/>
      <c r="D454" s="6" t="n"/>
      <c r="E454" s="6" t="n"/>
      <c r="F454" s="6" t="n"/>
      <c r="G454" s="16">
        <f>IF(OR(E454="",F454=""),0,F454-E454)</f>
        <v/>
      </c>
      <c r="H454" s="6" t="n"/>
      <c r="I454" s="7" t="n"/>
      <c r="J454" s="6" t="n"/>
      <c r="K454" s="6" t="n"/>
    </row>
    <row r="455">
      <c r="A455" s="9" t="n"/>
      <c r="B455" s="9" t="n"/>
      <c r="C455" s="6" t="n"/>
      <c r="D455" s="6" t="n"/>
      <c r="E455" s="6" t="n"/>
      <c r="F455" s="6" t="n"/>
      <c r="G455" s="16">
        <f>IF(OR(E455="",F455=""),0,F455-E455)</f>
        <v/>
      </c>
      <c r="H455" s="6" t="n"/>
      <c r="I455" s="7" t="n"/>
      <c r="J455" s="6" t="n"/>
      <c r="K455" s="6" t="n"/>
    </row>
    <row r="456">
      <c r="A456" s="9" t="n"/>
      <c r="B456" s="9" t="n"/>
      <c r="C456" s="6" t="n"/>
      <c r="D456" s="6" t="n"/>
      <c r="E456" s="6" t="n"/>
      <c r="F456" s="6" t="n"/>
      <c r="G456" s="16">
        <f>IF(OR(E456="",F456=""),0,F456-E456)</f>
        <v/>
      </c>
      <c r="H456" s="6" t="n"/>
      <c r="I456" s="7" t="n"/>
      <c r="J456" s="6" t="n"/>
      <c r="K456" s="6" t="n"/>
    </row>
    <row r="457">
      <c r="A457" s="9" t="n"/>
      <c r="B457" s="9" t="n"/>
      <c r="C457" s="6" t="n"/>
      <c r="D457" s="6" t="n"/>
      <c r="E457" s="6" t="n"/>
      <c r="F457" s="6" t="n"/>
      <c r="G457" s="16">
        <f>IF(OR(E457="",F457=""),0,F457-E457)</f>
        <v/>
      </c>
      <c r="H457" s="6" t="n"/>
      <c r="I457" s="7" t="n"/>
      <c r="J457" s="6" t="n"/>
      <c r="K457" s="6" t="n"/>
    </row>
    <row r="458">
      <c r="A458" s="9" t="n"/>
      <c r="B458" s="9" t="n"/>
      <c r="C458" s="6" t="n"/>
      <c r="D458" s="6" t="n"/>
      <c r="E458" s="6" t="n"/>
      <c r="F458" s="6" t="n"/>
      <c r="G458" s="16">
        <f>IF(OR(E458="",F458=""),0,F458-E458)</f>
        <v/>
      </c>
      <c r="H458" s="6" t="n"/>
      <c r="I458" s="7" t="n"/>
      <c r="J458" s="6" t="n"/>
      <c r="K458" s="6" t="n"/>
    </row>
    <row r="459">
      <c r="A459" s="9" t="n"/>
      <c r="B459" s="9" t="n"/>
      <c r="C459" s="6" t="n"/>
      <c r="D459" s="6" t="n"/>
      <c r="E459" s="6" t="n"/>
      <c r="F459" s="6" t="n"/>
      <c r="G459" s="16">
        <f>IF(OR(E459="",F459=""),0,F459-E459)</f>
        <v/>
      </c>
      <c r="H459" s="6" t="n"/>
      <c r="I459" s="7" t="n"/>
      <c r="J459" s="6" t="n"/>
      <c r="K459" s="6" t="n"/>
    </row>
    <row r="460">
      <c r="A460" s="9" t="n"/>
      <c r="B460" s="9" t="n"/>
      <c r="C460" s="6" t="n"/>
      <c r="D460" s="6" t="n"/>
      <c r="E460" s="6" t="n"/>
      <c r="F460" s="6" t="n"/>
      <c r="G460" s="16">
        <f>IF(OR(E460="",F460=""),0,F460-E460)</f>
        <v/>
      </c>
      <c r="H460" s="6" t="n"/>
      <c r="I460" s="7" t="n"/>
      <c r="J460" s="6" t="n"/>
      <c r="K460" s="6" t="n"/>
    </row>
    <row r="461">
      <c r="A461" s="9" t="n"/>
      <c r="B461" s="9" t="n"/>
      <c r="C461" s="6" t="n"/>
      <c r="D461" s="6" t="n"/>
      <c r="E461" s="6" t="n"/>
      <c r="F461" s="6" t="n"/>
      <c r="G461" s="16">
        <f>IF(OR(E461="",F461=""),0,F461-E461)</f>
        <v/>
      </c>
      <c r="H461" s="6" t="n"/>
      <c r="I461" s="7" t="n"/>
      <c r="J461" s="6" t="n"/>
      <c r="K461" s="6" t="n"/>
    </row>
    <row r="462">
      <c r="A462" s="9" t="n"/>
      <c r="B462" s="9" t="n"/>
      <c r="C462" s="6" t="n"/>
      <c r="D462" s="6" t="n"/>
      <c r="E462" s="6" t="n"/>
      <c r="F462" s="6" t="n"/>
      <c r="G462" s="16">
        <f>IF(OR(E462="",F462=""),0,F462-E462)</f>
        <v/>
      </c>
      <c r="H462" s="6" t="n"/>
      <c r="I462" s="7" t="n"/>
      <c r="J462" s="6" t="n"/>
      <c r="K462" s="6" t="n"/>
    </row>
    <row r="463">
      <c r="A463" s="9" t="n"/>
      <c r="B463" s="9" t="n"/>
      <c r="C463" s="6" t="n"/>
      <c r="D463" s="6" t="n"/>
      <c r="E463" s="6" t="n"/>
      <c r="F463" s="6" t="n"/>
      <c r="G463" s="16">
        <f>IF(OR(E463="",F463=""),0,F463-E463)</f>
        <v/>
      </c>
      <c r="H463" s="6" t="n"/>
      <c r="I463" s="7" t="n"/>
      <c r="J463" s="6" t="n"/>
      <c r="K463" s="6" t="n"/>
    </row>
    <row r="464">
      <c r="A464" s="9" t="n"/>
      <c r="B464" s="9" t="n"/>
      <c r="C464" s="6" t="n"/>
      <c r="D464" s="6" t="n"/>
      <c r="E464" s="6" t="n"/>
      <c r="F464" s="6" t="n"/>
      <c r="G464" s="16">
        <f>IF(OR(E464="",F464=""),0,F464-E464)</f>
        <v/>
      </c>
      <c r="H464" s="6" t="n"/>
      <c r="I464" s="7" t="n"/>
      <c r="J464" s="6" t="n"/>
      <c r="K464" s="6" t="n"/>
    </row>
    <row r="465">
      <c r="A465" s="9" t="n"/>
      <c r="B465" s="9" t="n"/>
      <c r="C465" s="6" t="n"/>
      <c r="D465" s="6" t="n"/>
      <c r="E465" s="6" t="n"/>
      <c r="F465" s="6" t="n"/>
      <c r="G465" s="16">
        <f>IF(OR(E465="",F465=""),0,F465-E465)</f>
        <v/>
      </c>
      <c r="H465" s="6" t="n"/>
      <c r="I465" s="7" t="n"/>
      <c r="J465" s="6" t="n"/>
      <c r="K465" s="6" t="n"/>
    </row>
    <row r="466">
      <c r="A466" s="9" t="n"/>
      <c r="B466" s="9" t="n"/>
      <c r="C466" s="6" t="n"/>
      <c r="D466" s="6" t="n"/>
      <c r="E466" s="6" t="n"/>
      <c r="F466" s="6" t="n"/>
      <c r="G466" s="16">
        <f>IF(OR(E466="",F466=""),0,F466-E466)</f>
        <v/>
      </c>
      <c r="H466" s="6" t="n"/>
      <c r="I466" s="7" t="n"/>
      <c r="J466" s="6" t="n"/>
      <c r="K466" s="6" t="n"/>
    </row>
    <row r="467">
      <c r="A467" s="9" t="n"/>
      <c r="B467" s="9" t="n"/>
      <c r="C467" s="6" t="n"/>
      <c r="D467" s="6" t="n"/>
      <c r="E467" s="6" t="n"/>
      <c r="F467" s="6" t="n"/>
      <c r="G467" s="16">
        <f>IF(OR(E467="",F467=""),0,F467-E467)</f>
        <v/>
      </c>
      <c r="H467" s="6" t="n"/>
      <c r="I467" s="7" t="n"/>
      <c r="J467" s="6" t="n"/>
      <c r="K467" s="6" t="n"/>
    </row>
    <row r="468">
      <c r="A468" s="9" t="n"/>
      <c r="B468" s="9" t="n"/>
      <c r="C468" s="6" t="n"/>
      <c r="D468" s="6" t="n"/>
      <c r="E468" s="6" t="n"/>
      <c r="F468" s="6" t="n"/>
      <c r="G468" s="16">
        <f>IF(OR(E468="",F468=""),0,F468-E468)</f>
        <v/>
      </c>
      <c r="H468" s="6" t="n"/>
      <c r="I468" s="7" t="n"/>
      <c r="J468" s="6" t="n"/>
      <c r="K468" s="6" t="n"/>
    </row>
    <row r="469">
      <c r="A469" s="9" t="n"/>
      <c r="B469" s="9" t="n"/>
      <c r="C469" s="6" t="n"/>
      <c r="D469" s="6" t="n"/>
      <c r="E469" s="6" t="n"/>
      <c r="F469" s="6" t="n"/>
      <c r="G469" s="16">
        <f>IF(OR(E469="",F469=""),0,F469-E469)</f>
        <v/>
      </c>
      <c r="H469" s="6" t="n"/>
      <c r="I469" s="7" t="n"/>
      <c r="J469" s="6" t="n"/>
      <c r="K469" s="6" t="n"/>
    </row>
    <row r="470">
      <c r="A470" s="9" t="n"/>
      <c r="B470" s="9" t="n"/>
      <c r="C470" s="6" t="n"/>
      <c r="D470" s="6" t="n"/>
      <c r="E470" s="6" t="n"/>
      <c r="F470" s="6" t="n"/>
      <c r="G470" s="16">
        <f>IF(OR(E470="",F470=""),0,F470-E470)</f>
        <v/>
      </c>
      <c r="H470" s="6" t="n"/>
      <c r="I470" s="7" t="n"/>
      <c r="J470" s="6" t="n"/>
      <c r="K470" s="6" t="n"/>
    </row>
    <row r="471">
      <c r="A471" s="9" t="n"/>
      <c r="B471" s="9" t="n"/>
      <c r="C471" s="6" t="n"/>
      <c r="D471" s="6" t="n"/>
      <c r="E471" s="6" t="n"/>
      <c r="F471" s="6" t="n"/>
      <c r="G471" s="16">
        <f>IF(OR(E471="",F471=""),0,F471-E471)</f>
        <v/>
      </c>
      <c r="H471" s="6" t="n"/>
      <c r="I471" s="7" t="n"/>
      <c r="J471" s="6" t="n"/>
      <c r="K471" s="6" t="n"/>
    </row>
    <row r="472">
      <c r="A472" s="9" t="n"/>
      <c r="B472" s="9" t="n"/>
      <c r="C472" s="6" t="n"/>
      <c r="D472" s="6" t="n"/>
      <c r="E472" s="6" t="n"/>
      <c r="F472" s="6" t="n"/>
      <c r="G472" s="16">
        <f>IF(OR(E472="",F472=""),0,F472-E472)</f>
        <v/>
      </c>
      <c r="H472" s="6" t="n"/>
      <c r="I472" s="7" t="n"/>
      <c r="J472" s="6" t="n"/>
      <c r="K472" s="6" t="n"/>
    </row>
    <row r="473">
      <c r="A473" s="9" t="n"/>
      <c r="B473" s="9" t="n"/>
      <c r="C473" s="6" t="n"/>
      <c r="D473" s="6" t="n"/>
      <c r="E473" s="6" t="n"/>
      <c r="F473" s="6" t="n"/>
      <c r="G473" s="16">
        <f>IF(OR(E473="",F473=""),0,F473-E473)</f>
        <v/>
      </c>
      <c r="H473" s="6" t="n"/>
      <c r="I473" s="7" t="n"/>
      <c r="J473" s="6" t="n"/>
      <c r="K473" s="6" t="n"/>
    </row>
    <row r="474">
      <c r="A474" s="9" t="n"/>
      <c r="B474" s="9" t="n"/>
      <c r="C474" s="6" t="n"/>
      <c r="D474" s="6" t="n"/>
      <c r="E474" s="6" t="n"/>
      <c r="F474" s="6" t="n"/>
      <c r="G474" s="16">
        <f>IF(OR(E474="",F474=""),0,F474-E474)</f>
        <v/>
      </c>
      <c r="H474" s="6" t="n"/>
      <c r="I474" s="7" t="n"/>
      <c r="J474" s="6" t="n"/>
      <c r="K474" s="6" t="n"/>
    </row>
    <row r="475">
      <c r="A475" s="9" t="n"/>
      <c r="B475" s="9" t="n"/>
      <c r="C475" s="6" t="n"/>
      <c r="D475" s="6" t="n"/>
      <c r="E475" s="6" t="n"/>
      <c r="F475" s="6" t="n"/>
      <c r="G475" s="16">
        <f>IF(OR(E475="",F475=""),0,F475-E475)</f>
        <v/>
      </c>
      <c r="H475" s="6" t="n"/>
      <c r="I475" s="7" t="n"/>
      <c r="J475" s="6" t="n"/>
      <c r="K475" s="6" t="n"/>
    </row>
    <row r="476">
      <c r="A476" s="9" t="n"/>
      <c r="B476" s="9" t="n"/>
      <c r="C476" s="6" t="n"/>
      <c r="D476" s="6" t="n"/>
      <c r="E476" s="6" t="n"/>
      <c r="F476" s="6" t="n"/>
      <c r="G476" s="16">
        <f>IF(OR(E476="",F476=""),0,F476-E476)</f>
        <v/>
      </c>
      <c r="H476" s="6" t="n"/>
      <c r="I476" s="7" t="n"/>
      <c r="J476" s="6" t="n"/>
      <c r="K476" s="6" t="n"/>
    </row>
    <row r="477">
      <c r="A477" s="9" t="n"/>
      <c r="B477" s="9" t="n"/>
      <c r="C477" s="6" t="n"/>
      <c r="D477" s="6" t="n"/>
      <c r="E477" s="6" t="n"/>
      <c r="F477" s="6" t="n"/>
      <c r="G477" s="16">
        <f>IF(OR(E477="",F477=""),0,F477-E477)</f>
        <v/>
      </c>
      <c r="H477" s="6" t="n"/>
      <c r="I477" s="7" t="n"/>
      <c r="J477" s="6" t="n"/>
      <c r="K477" s="6" t="n"/>
    </row>
    <row r="478">
      <c r="A478" s="9" t="n"/>
      <c r="B478" s="9" t="n"/>
      <c r="C478" s="6" t="n"/>
      <c r="D478" s="6" t="n"/>
      <c r="E478" s="6" t="n"/>
      <c r="F478" s="6" t="n"/>
      <c r="G478" s="16">
        <f>IF(OR(E478="",F478=""),0,F478-E478)</f>
        <v/>
      </c>
      <c r="H478" s="6" t="n"/>
      <c r="I478" s="7" t="n"/>
      <c r="J478" s="6" t="n"/>
      <c r="K478" s="6" t="n"/>
    </row>
    <row r="479">
      <c r="A479" s="9" t="n"/>
      <c r="B479" s="9" t="n"/>
      <c r="C479" s="6" t="n"/>
      <c r="D479" s="6" t="n"/>
      <c r="E479" s="6" t="n"/>
      <c r="F479" s="6" t="n"/>
      <c r="G479" s="16">
        <f>IF(OR(E479="",F479=""),0,F479-E479)</f>
        <v/>
      </c>
      <c r="H479" s="6" t="n"/>
      <c r="I479" s="7" t="n"/>
      <c r="J479" s="6" t="n"/>
      <c r="K479" s="6" t="n"/>
    </row>
    <row r="480">
      <c r="A480" s="9" t="n"/>
      <c r="B480" s="9" t="n"/>
      <c r="C480" s="6" t="n"/>
      <c r="D480" s="6" t="n"/>
      <c r="E480" s="6" t="n"/>
      <c r="F480" s="6" t="n"/>
      <c r="G480" s="16">
        <f>IF(OR(E480="",F480=""),0,F480-E480)</f>
        <v/>
      </c>
      <c r="H480" s="6" t="n"/>
      <c r="I480" s="7" t="n"/>
      <c r="J480" s="6" t="n"/>
      <c r="K480" s="6" t="n"/>
    </row>
    <row r="481">
      <c r="A481" s="9" t="n"/>
      <c r="B481" s="9" t="n"/>
      <c r="C481" s="6" t="n"/>
      <c r="D481" s="6" t="n"/>
      <c r="E481" s="6" t="n"/>
      <c r="F481" s="6" t="n"/>
      <c r="G481" s="16">
        <f>IF(OR(E481="",F481=""),0,F481-E481)</f>
        <v/>
      </c>
      <c r="H481" s="6" t="n"/>
      <c r="I481" s="7" t="n"/>
      <c r="J481" s="6" t="n"/>
      <c r="K481" s="6" t="n"/>
    </row>
    <row r="482">
      <c r="A482" s="9" t="n"/>
      <c r="B482" s="9" t="n"/>
      <c r="C482" s="6" t="n"/>
      <c r="D482" s="6" t="n"/>
      <c r="E482" s="6" t="n"/>
      <c r="F482" s="6" t="n"/>
      <c r="G482" s="16">
        <f>IF(OR(E482="",F482=""),0,F482-E482)</f>
        <v/>
      </c>
      <c r="H482" s="6" t="n"/>
      <c r="I482" s="7" t="n"/>
      <c r="J482" s="6" t="n"/>
      <c r="K482" s="6" t="n"/>
    </row>
    <row r="483">
      <c r="A483" s="9" t="n"/>
      <c r="B483" s="9" t="n"/>
      <c r="C483" s="6" t="n"/>
      <c r="D483" s="6" t="n"/>
      <c r="E483" s="6" t="n"/>
      <c r="F483" s="6" t="n"/>
      <c r="G483" s="16">
        <f>IF(OR(E483="",F483=""),0,F483-E483)</f>
        <v/>
      </c>
      <c r="H483" s="6" t="n"/>
      <c r="I483" s="7" t="n"/>
      <c r="J483" s="6" t="n"/>
      <c r="K483" s="6" t="n"/>
    </row>
    <row r="484">
      <c r="A484" s="9" t="n"/>
      <c r="B484" s="9" t="n"/>
      <c r="C484" s="6" t="n"/>
      <c r="D484" s="6" t="n"/>
      <c r="E484" s="6" t="n"/>
      <c r="F484" s="6" t="n"/>
      <c r="G484" s="16">
        <f>IF(OR(E484="",F484=""),0,F484-E484)</f>
        <v/>
      </c>
      <c r="H484" s="6" t="n"/>
      <c r="I484" s="7" t="n"/>
      <c r="J484" s="6" t="n"/>
      <c r="K484" s="6" t="n"/>
    </row>
    <row r="485">
      <c r="A485" s="9" t="n"/>
      <c r="B485" s="9" t="n"/>
      <c r="C485" s="6" t="n"/>
      <c r="D485" s="6" t="n"/>
      <c r="E485" s="6" t="n"/>
      <c r="F485" s="6" t="n"/>
      <c r="G485" s="16">
        <f>IF(OR(E485="",F485=""),0,F485-E485)</f>
        <v/>
      </c>
      <c r="H485" s="6" t="n"/>
      <c r="I485" s="7" t="n"/>
      <c r="J485" s="6" t="n"/>
      <c r="K485" s="6" t="n"/>
    </row>
    <row r="486">
      <c r="A486" s="9" t="n"/>
      <c r="B486" s="9" t="n"/>
      <c r="C486" s="6" t="n"/>
      <c r="D486" s="6" t="n"/>
      <c r="E486" s="6" t="n"/>
      <c r="F486" s="6" t="n"/>
      <c r="G486" s="16">
        <f>IF(OR(E486="",F486=""),0,F486-E486)</f>
        <v/>
      </c>
      <c r="H486" s="6" t="n"/>
      <c r="I486" s="7" t="n"/>
      <c r="J486" s="6" t="n"/>
      <c r="K486" s="6" t="n"/>
    </row>
    <row r="487">
      <c r="A487" s="9" t="n"/>
      <c r="B487" s="9" t="n"/>
      <c r="C487" s="6" t="n"/>
      <c r="D487" s="6" t="n"/>
      <c r="E487" s="6" t="n"/>
      <c r="F487" s="6" t="n"/>
      <c r="G487" s="16">
        <f>IF(OR(E487="",F487=""),0,F487-E487)</f>
        <v/>
      </c>
      <c r="H487" s="6" t="n"/>
      <c r="I487" s="7" t="n"/>
      <c r="J487" s="6" t="n"/>
      <c r="K487" s="6" t="n"/>
    </row>
    <row r="488">
      <c r="A488" s="9" t="n"/>
      <c r="B488" s="9" t="n"/>
      <c r="C488" s="6" t="n"/>
      <c r="D488" s="6" t="n"/>
      <c r="E488" s="6" t="n"/>
      <c r="F488" s="6" t="n"/>
      <c r="G488" s="16">
        <f>IF(OR(E488="",F488=""),0,F488-E488)</f>
        <v/>
      </c>
      <c r="H488" s="6" t="n"/>
      <c r="I488" s="7" t="n"/>
      <c r="J488" s="6" t="n"/>
      <c r="K488" s="6" t="n"/>
    </row>
    <row r="489">
      <c r="A489" s="9" t="n"/>
      <c r="B489" s="9" t="n"/>
      <c r="C489" s="6" t="n"/>
      <c r="D489" s="6" t="n"/>
      <c r="E489" s="6" t="n"/>
      <c r="F489" s="6" t="n"/>
      <c r="G489" s="16">
        <f>IF(OR(E489="",F489=""),0,F489-E489)</f>
        <v/>
      </c>
      <c r="H489" s="6" t="n"/>
      <c r="I489" s="7" t="n"/>
      <c r="J489" s="6" t="n"/>
      <c r="K489" s="6" t="n"/>
    </row>
    <row r="490">
      <c r="A490" s="9" t="n"/>
      <c r="B490" s="9" t="n"/>
      <c r="C490" s="6" t="n"/>
      <c r="D490" s="6" t="n"/>
      <c r="E490" s="6" t="n"/>
      <c r="F490" s="6" t="n"/>
      <c r="G490" s="16">
        <f>IF(OR(E490="",F490=""),0,F490-E490)</f>
        <v/>
      </c>
      <c r="H490" s="6" t="n"/>
      <c r="I490" s="7" t="n"/>
      <c r="J490" s="6" t="n"/>
      <c r="K490" s="6" t="n"/>
    </row>
    <row r="491">
      <c r="A491" s="9" t="n"/>
      <c r="B491" s="9" t="n"/>
      <c r="C491" s="6" t="n"/>
      <c r="D491" s="6" t="n"/>
      <c r="E491" s="6" t="n"/>
      <c r="F491" s="6" t="n"/>
      <c r="G491" s="16">
        <f>IF(OR(E491="",F491=""),0,F491-E491)</f>
        <v/>
      </c>
      <c r="H491" s="6" t="n"/>
      <c r="I491" s="7" t="n"/>
      <c r="J491" s="6" t="n"/>
      <c r="K491" s="6" t="n"/>
    </row>
    <row r="492">
      <c r="A492" s="9" t="n"/>
      <c r="B492" s="9" t="n"/>
      <c r="C492" s="6" t="n"/>
      <c r="D492" s="6" t="n"/>
      <c r="E492" s="6" t="n"/>
      <c r="F492" s="6" t="n"/>
      <c r="G492" s="16">
        <f>IF(OR(E492="",F492=""),0,F492-E492)</f>
        <v/>
      </c>
      <c r="H492" s="6" t="n"/>
      <c r="I492" s="7" t="n"/>
      <c r="J492" s="6" t="n"/>
      <c r="K492" s="6" t="n"/>
    </row>
    <row r="493">
      <c r="A493" s="9" t="n"/>
      <c r="B493" s="9" t="n"/>
      <c r="C493" s="6" t="n"/>
      <c r="D493" s="6" t="n"/>
      <c r="E493" s="6" t="n"/>
      <c r="F493" s="6" t="n"/>
      <c r="G493" s="16">
        <f>IF(OR(E493="",F493=""),0,F493-E493)</f>
        <v/>
      </c>
      <c r="H493" s="6" t="n"/>
      <c r="I493" s="7" t="n"/>
      <c r="J493" s="6" t="n"/>
      <c r="K493" s="6" t="n"/>
    </row>
    <row r="494">
      <c r="A494" s="9" t="n"/>
      <c r="B494" s="9" t="n"/>
      <c r="C494" s="6" t="n"/>
      <c r="D494" s="6" t="n"/>
      <c r="E494" s="6" t="n"/>
      <c r="F494" s="6" t="n"/>
      <c r="G494" s="16">
        <f>IF(OR(E494="",F494=""),0,F494-E494)</f>
        <v/>
      </c>
      <c r="H494" s="6" t="n"/>
      <c r="I494" s="7" t="n"/>
      <c r="J494" s="6" t="n"/>
      <c r="K494" s="6" t="n"/>
    </row>
    <row r="495">
      <c r="A495" s="9" t="n"/>
      <c r="B495" s="9" t="n"/>
      <c r="C495" s="6" t="n"/>
      <c r="D495" s="6" t="n"/>
      <c r="E495" s="6" t="n"/>
      <c r="F495" s="6" t="n"/>
      <c r="G495" s="16">
        <f>IF(OR(E495="",F495=""),0,F495-E495)</f>
        <v/>
      </c>
      <c r="H495" s="6" t="n"/>
      <c r="I495" s="7" t="n"/>
      <c r="J495" s="6" t="n"/>
      <c r="K495" s="6" t="n"/>
    </row>
    <row r="496">
      <c r="A496" s="9" t="n"/>
      <c r="B496" s="9" t="n"/>
      <c r="C496" s="6" t="n"/>
      <c r="D496" s="6" t="n"/>
      <c r="E496" s="6" t="n"/>
      <c r="F496" s="6" t="n"/>
      <c r="G496" s="16">
        <f>IF(OR(E496="",F496=""),0,F496-E496)</f>
        <v/>
      </c>
      <c r="H496" s="6" t="n"/>
      <c r="I496" s="7" t="n"/>
      <c r="J496" s="6" t="n"/>
      <c r="K496" s="6" t="n"/>
    </row>
    <row r="497">
      <c r="A497" s="9" t="n"/>
      <c r="B497" s="9" t="n"/>
      <c r="C497" s="6" t="n"/>
      <c r="D497" s="6" t="n"/>
      <c r="E497" s="6" t="n"/>
      <c r="F497" s="6" t="n"/>
      <c r="G497" s="16">
        <f>IF(OR(E497="",F497=""),0,F497-E497)</f>
        <v/>
      </c>
      <c r="H497" s="6" t="n"/>
      <c r="I497" s="7" t="n"/>
      <c r="J497" s="6" t="n"/>
      <c r="K497" s="6" t="n"/>
    </row>
    <row r="498">
      <c r="A498" s="9" t="n"/>
      <c r="B498" s="9" t="n"/>
      <c r="C498" s="6" t="n"/>
      <c r="D498" s="6" t="n"/>
      <c r="E498" s="6" t="n"/>
      <c r="F498" s="6" t="n"/>
      <c r="G498" s="16">
        <f>IF(OR(E498="",F498=""),0,F498-E498)</f>
        <v/>
      </c>
      <c r="H498" s="6" t="n"/>
      <c r="I498" s="7" t="n"/>
      <c r="J498" s="6" t="n"/>
      <c r="K498" s="6" t="n"/>
    </row>
    <row r="499">
      <c r="A499" s="9" t="n"/>
      <c r="B499" s="9" t="n"/>
      <c r="C499" s="6" t="n"/>
      <c r="D499" s="6" t="n"/>
      <c r="E499" s="6" t="n"/>
      <c r="F499" s="6" t="n"/>
      <c r="G499" s="16">
        <f>IF(OR(E499="",F499=""),0,F499-E499)</f>
        <v/>
      </c>
      <c r="H499" s="6" t="n"/>
      <c r="I499" s="7" t="n"/>
      <c r="J499" s="6" t="n"/>
      <c r="K499" s="6" t="n"/>
    </row>
    <row r="500">
      <c r="A500" s="9" t="n"/>
      <c r="B500" s="9" t="n"/>
      <c r="C500" s="6" t="n"/>
      <c r="D500" s="6" t="n"/>
      <c r="E500" s="6" t="n"/>
      <c r="F500" s="6" t="n"/>
      <c r="G500" s="16">
        <f>IF(OR(E500="",F500=""),0,F500-E500)</f>
        <v/>
      </c>
      <c r="H500" s="6" t="n"/>
      <c r="I500" s="7" t="n"/>
      <c r="J500" s="6" t="n"/>
      <c r="K500" s="6" t="n"/>
    </row>
    <row r="501">
      <c r="A501" s="9" t="n"/>
      <c r="B501" s="9" t="n"/>
      <c r="C501" s="6" t="n"/>
      <c r="D501" s="6" t="n"/>
      <c r="E501" s="6" t="n"/>
      <c r="F501" s="6" t="n"/>
      <c r="G501" s="16">
        <f>IF(OR(E501="",F501=""),0,F501-E501)</f>
        <v/>
      </c>
      <c r="H501" s="6" t="n"/>
      <c r="I501" s="7" t="n"/>
      <c r="J501" s="6" t="n"/>
      <c r="K501" s="6" t="n"/>
    </row>
    <row r="502">
      <c r="A502" s="9" t="n"/>
      <c r="B502" s="9" t="n"/>
      <c r="C502" s="6" t="n"/>
      <c r="D502" s="6" t="n"/>
      <c r="E502" s="6" t="n"/>
      <c r="F502" s="6" t="n"/>
      <c r="G502" s="16">
        <f>IF(OR(E502="",F502=""),0,F502-E502)</f>
        <v/>
      </c>
      <c r="H502" s="6" t="n"/>
      <c r="I502" s="7" t="n"/>
      <c r="J502" s="6" t="n"/>
      <c r="K502" s="6" t="n"/>
    </row>
    <row r="503">
      <c r="A503" s="9" t="n"/>
      <c r="B503" s="9" t="n"/>
      <c r="C503" s="6" t="n"/>
      <c r="D503" s="6" t="n"/>
      <c r="E503" s="6" t="n"/>
      <c r="F503" s="6" t="n"/>
      <c r="G503" s="16">
        <f>IF(OR(E503="",F503=""),0,F503-E503)</f>
        <v/>
      </c>
      <c r="H503" s="6" t="n"/>
      <c r="I503" s="7" t="n"/>
      <c r="J503" s="6" t="n"/>
      <c r="K503" s="6" t="n"/>
    </row>
    <row r="504">
      <c r="A504" s="9" t="n"/>
      <c r="B504" s="9" t="n"/>
      <c r="C504" s="6" t="n"/>
      <c r="D504" s="6" t="n"/>
      <c r="E504" s="6" t="n"/>
      <c r="F504" s="6" t="n"/>
      <c r="G504" s="16">
        <f>IF(OR(E504="",F504=""),0,F504-E504)</f>
        <v/>
      </c>
      <c r="H504" s="6" t="n"/>
      <c r="I504" s="7" t="n"/>
      <c r="J504" s="6" t="n"/>
      <c r="K504" s="6" t="n"/>
    </row>
  </sheetData>
  <dataValidations count="2">
    <dataValidation sqref="D5:D504" showDropDown="0" showInputMessage="0" showErrorMessage="0" allowBlank="1" type="list">
      <formula1>=Members!$B$5:$B$16</formula1>
    </dataValidation>
    <dataValidation sqref="J5:J50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2026-10-31T23:27:17Z</dcterms:created>
  <dcterms:modified xsi:type="dcterms:W3CDTF">2026-10-31T23:27:17Z</dcterms:modified>
</cp:coreProperties>
</file>