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Build guid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;&quot;($&quot;#,##0\)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3E4A2E"/>
        <bgColor rgb="FF555555"/>
      </patternFill>
    </fill>
    <fill>
      <patternFill patternType="solid">
        <fgColor rgb="FFE6EBDD"/>
        <bgColor rgb="FFF2F2F2"/>
      </patternFill>
    </fill>
    <fill>
      <patternFill patternType="solid">
        <fgColor rgb="FFF2F2F2"/>
        <bgColor rgb="FFE6EBD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0" fontId="7" fillId="4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0" fontId="7" fillId="4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B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E4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2" customWidth="1" style="19" min="1" max="1"/>
    <col width="14" customWidth="1" style="19" min="2" max="2"/>
    <col width="16" customWidth="1" style="19" min="3" max="3"/>
    <col width="52" customWidth="1" style="19" min="4" max="4"/>
  </cols>
  <sheetData>
    <row r="1" ht="17.35" customHeight="1" s="20">
      <c r="A1" s="21" t="inlineStr">
        <is>
          <t>DIY Mini-Airboat — step-by-step build guide (riveted aluminum hull) (rev 7)</t>
        </is>
      </c>
    </row>
    <row r="2" ht="15" customHeight="1" s="20">
      <c r="A2" s="22" t="inlineStr">
        <is>
          <t>DIY hours assume a skilled backyard mechanic with a pneumatic rivet gun, who can TIG-weld aluminum and has a small shop. Pro cost is labor only (materials are in the BOM workbook), at roughly $90-100/hr shop rates.</t>
        </is>
      </c>
    </row>
    <row r="3"/>
    <row r="4" ht="23.85" customHeight="1" s="20">
      <c r="A4" s="23" t="inlineStr">
        <is>
          <t>Step</t>
        </is>
      </c>
      <c r="B4" s="23" t="inlineStr">
        <is>
          <t>DIY time (hours)</t>
        </is>
      </c>
      <c r="C4" s="23" t="inlineStr">
        <is>
          <t>Pro cost, labor only ($)</t>
        </is>
      </c>
      <c r="D4" s="23" t="inlineStr">
        <is>
          <t>Key checks</t>
        </is>
      </c>
    </row>
    <row r="5" ht="15" customHeight="1" s="20">
      <c r="A5" s="24" t="inlineStr">
        <is>
          <t>Hull (riveted aluminum)</t>
        </is>
      </c>
      <c r="B5" s="24">
        <f>SUM(B6:B18)</f>
        <v/>
      </c>
      <c r="C5" s="25">
        <f>SUM(C6:C18)</f>
        <v/>
      </c>
      <c r="D5" s="26" t="n"/>
    </row>
    <row r="6" ht="15" customHeight="1" s="20">
      <c r="A6" s="27" t="inlineStr">
        <is>
          <t>1. Export flat patterns of every skin panel, frame and stringer from the CAD in OnShape; print full-size templates</t>
        </is>
      </c>
      <c r="B6" s="28" t="n">
        <v>6</v>
      </c>
      <c r="C6" s="29" t="n">
        <v>450</v>
      </c>
      <c r="D6" s="27" t="inlineStr">
        <is>
          <t>Check bottom blank 60 x 150 in incl. rocker</t>
        </is>
      </c>
    </row>
    <row r="7" ht="15" customHeight="1" s="20">
      <c r="A7" s="27" t="inlineStr">
        <is>
          <t>2. Build a level strongback with station molds at each frame position</t>
        </is>
      </c>
      <c r="B7" s="28" t="n">
        <v>10</v>
      </c>
      <c r="C7" s="29" t="n">
        <v>700</v>
      </c>
      <c r="D7" s="27" t="inlineStr">
        <is>
          <t>Twist-free to 1/16 in end to end</t>
        </is>
      </c>
    </row>
    <row r="8" ht="23.85" customHeight="1" s="20">
      <c r="A8" s="27" t="inlineStr">
        <is>
          <t>3. Order 5052-H32 sheet; have a fab shop shear the blanks and brake the 45 deg chine bends and transom flanges</t>
        </is>
      </c>
      <c r="B8" s="28" t="n">
        <v>4</v>
      </c>
      <c r="C8" s="29" t="n">
        <v>600</v>
      </c>
      <c r="D8" s="27" t="inlineStr">
        <is>
          <t>Pro cost here = shear and brake service</t>
        </is>
      </c>
    </row>
    <row r="9" ht="23.85" customHeight="1" s="20">
      <c r="A9" s="27" t="inlineStr">
        <is>
          <t>4. Cut and form stringers (hat or angle sections) to the rocker curve; cut ribs and frames from angle; notch a 1 x 3/4 in limber in every bay of every frame and a cross-drain slot in every stringer at x 3.5-4.5</t>
        </is>
      </c>
      <c r="B9" s="28" t="n">
        <v>19</v>
      </c>
      <c r="C9" s="29" t="n">
        <v>1480</v>
      </c>
      <c r="D9" s="27" t="inlineStr">
        <is>
          <t>Stringers line up under the UHMW strip edges; deburr and prime every notch</t>
        </is>
      </c>
    </row>
    <row r="10" ht="15" customHeight="1" s="20">
      <c r="A10" s="27" t="inlineStr">
        <is>
          <t>5. Cleco frames and stringers together on the jig; check square and diagonals; rivet the framing</t>
        </is>
      </c>
      <c r="B10" s="28" t="n">
        <v>14</v>
      </c>
      <c r="C10" s="29" t="n">
        <v>1100</v>
      </c>
      <c r="D10" s="27" t="n"/>
    </row>
    <row r="11" ht="23.85" customHeight="1" s="20">
      <c r="A11" s="27" t="inlineStr">
        <is>
          <t>6. Fit the bottom sheets: flat to x = 120 in, then the conic roll-up tangent into the 15 deg raked bow plate; centerline seam over a doubled center stringer; cleco and trim</t>
        </is>
      </c>
      <c r="B11" s="28" t="n">
        <v>12</v>
      </c>
      <c r="C11" s="29" t="n">
        <v>950</v>
      </c>
      <c r="D11" s="27" t="inlineStr">
        <is>
          <t>Sides angle in to the 45 in bow plate; only one long bottom seam</t>
        </is>
      </c>
    </row>
    <row r="12" ht="15" customHeight="1" s="20">
      <c r="A12" s="27" t="inlineStr">
        <is>
          <t>7. Fit chine/side panels, bow face and transom; cleco every lap (1 in minimum); check symmetry and chine angle</t>
        </is>
      </c>
      <c r="B12" s="28" t="n">
        <v>12</v>
      </c>
      <c r="C12" s="29" t="n">
        <v>900</v>
      </c>
      <c r="D12" s="27" t="n"/>
    </row>
    <row r="13" ht="15" customHeight="1" s="20">
      <c r="A13" s="27" t="inlineStr">
        <is>
          <t>8. Drill all rivet holes to final size (3/16 in, double rows at about 3/4 in spacing); deburr both sides</t>
        </is>
      </c>
      <c r="B13" s="28" t="n">
        <v>12</v>
      </c>
      <c r="C13" s="29" t="n">
        <v>900</v>
      </c>
      <c r="D13" s="27" t="inlineStr">
        <is>
          <t>About 2,000 holes</t>
        </is>
      </c>
    </row>
    <row r="14" ht="23.85" customHeight="1" s="20">
      <c r="A14" s="27" t="inlineStr">
        <is>
          <t>9. Take laps apart, clean, prime faying surfaces, butter with sealant (Sikaflex 291 or 3M 4200), rivet with closed-end aluminum blind rivets</t>
        </is>
      </c>
      <c r="B14" s="28" t="n">
        <v>22</v>
      </c>
      <c r="C14" s="29" t="n">
        <v>1700</v>
      </c>
      <c r="D14" s="27" t="inlineStr">
        <is>
          <t>Wet sealant squeeze-out along every seam</t>
        </is>
      </c>
    </row>
    <row r="15" ht="23.85" customHeight="1" s="20">
      <c r="A15" s="27" t="inlineStr">
        <is>
          <t>10. Install engine beds (doubled aluminum stringers + plates on HDPE), cage mount plates, aluminum rub rail at the sheer</t>
        </is>
      </c>
      <c r="B15" s="28" t="n">
        <v>8</v>
      </c>
      <c r="C15" s="29" t="n">
        <v>600</v>
      </c>
      <c r="D15" s="27" t="inlineStr">
        <is>
          <t>Bed plates level side to side within 1/16 in</t>
        </is>
      </c>
    </row>
    <row r="16" ht="23.85" customHeight="1" s="20">
      <c r="A16" s="27" t="inlineStr">
        <is>
          <t>11. Leak test: hull on stands, fill with 4 in of water, check the outside (before UHMW) for 24 h; mark and fix leakers. Repeat with UHMW on, watching the strip edges</t>
        </is>
      </c>
      <c r="B16" s="28" t="n">
        <v>8</v>
      </c>
      <c r="C16" s="29" t="n">
        <v>600</v>
      </c>
      <c r="D16" s="27" t="inlineStr">
        <is>
          <t>Drill out and replace any weeping rivet; Gluvit on weeping laps</t>
        </is>
      </c>
    </row>
    <row r="17" ht="15" customHeight="1" s="20">
      <c r="A17" s="27" t="inlineStr">
        <is>
          <t>12. Fit UHMW strips; through-bolt into the stringers with sealant, slotted toward the ends; fit the nose cap</t>
        </is>
      </c>
      <c r="B17" s="28" t="n">
        <v>12</v>
      </c>
      <c r="C17" s="29" t="n">
        <v>900</v>
      </c>
      <c r="D17" s="27" t="inlineStr">
        <is>
          <t>Fix strips at mid-length only</t>
        </is>
      </c>
    </row>
    <row r="18" ht="15" customHeight="1" s="20">
      <c r="A18" s="27" t="inlineStr">
        <is>
          <t>13. Self-etching primer and topcoat</t>
        </is>
      </c>
      <c r="B18" s="28" t="n">
        <v>10</v>
      </c>
      <c r="C18" s="29" t="n">
        <v>900</v>
      </c>
      <c r="D18" s="27" t="n"/>
    </row>
    <row r="19" ht="15" customHeight="1" s="20">
      <c r="A19" s="24" t="inlineStr">
        <is>
          <t>Drivetrain</t>
        </is>
      </c>
      <c r="B19" s="24">
        <f>SUM(B20:B29)</f>
        <v/>
      </c>
      <c r="C19" s="25">
        <f>SUM(C20:C29)</f>
        <v/>
      </c>
      <c r="D19" s="26" t="n"/>
    </row>
    <row r="20" ht="15" customHeight="1" s="20">
      <c r="A20" s="27" t="inlineStr">
        <is>
          <t>14. Find a G13 (Metro 1.3 or Swift), compression-test it; replace timing belt, water pump, gaskets, plugs</t>
        </is>
      </c>
      <c r="B20" s="28" t="n">
        <v>16</v>
      </c>
      <c r="C20" s="29" t="n">
        <v>1100</v>
      </c>
      <c r="D20" s="27" t="inlineStr">
        <is>
          <t>Compression even across cylinders</t>
        </is>
      </c>
    </row>
    <row r="21" ht="15" customHeight="1" s="20">
      <c r="A21" s="27" t="inlineStr">
        <is>
          <t>15. Measure the bellhousing pattern; machine the adapter plate and jackshaft housing; fit the flex coupling</t>
        </is>
      </c>
      <c r="B21" s="28" t="n">
        <v>12</v>
      </c>
      <c r="C21" s="29" t="n">
        <v>1000</v>
      </c>
      <c r="D21" s="27" t="inlineStr">
        <is>
          <t>Jackshaft runout under 0.003 in</t>
        </is>
      </c>
    </row>
    <row r="22" ht="15" customHeight="1" s="20">
      <c r="A22" s="27" t="inlineStr">
        <is>
          <t>16. Build engine mounts with polyurethane bushings; set the engine low on the bed plates</t>
        </is>
      </c>
      <c r="B22" s="28" t="n">
        <v>8</v>
      </c>
      <c r="C22" s="29" t="n">
        <v>650</v>
      </c>
      <c r="D22" s="27" t="inlineStr">
        <is>
          <t>Crank 15 in above the hull bottom</t>
        </is>
      </c>
    </row>
    <row r="23" ht="15" customHeight="1" s="20">
      <c r="A23" s="27" t="inlineStr">
        <is>
          <t>17. Fabricate and TIG-weld A-frames, gusset peak plates, feet, diagonal braces, tie struts</t>
        </is>
      </c>
      <c r="B23" s="28" t="n">
        <v>30</v>
      </c>
      <c r="C23" s="29" t="n">
        <v>2500</v>
      </c>
      <c r="D23" s="27" t="inlineStr">
        <is>
          <t>Peak plates parallel and the shaft bores in line</t>
        </is>
      </c>
    </row>
    <row r="24" ht="15" customHeight="1" s="20">
      <c r="A24" s="27" t="inlineStr">
        <is>
          <t>18. Build the tension yoke; machine the prop shaft and flange; mount the flange bearings</t>
        </is>
      </c>
      <c r="B24" s="28" t="n">
        <v>14</v>
      </c>
      <c r="C24" s="29" t="n">
        <v>1150</v>
      </c>
      <c r="D24" s="27" t="n"/>
    </row>
    <row r="25" ht="15" customHeight="1" s="20">
      <c r="A25" s="27" t="inlineStr">
        <is>
          <t>19. Install pulleys, belt and optional idler; align pulleys with a straightedge or laser; set tension with the jack screw</t>
        </is>
      </c>
      <c r="B25" s="28" t="n">
        <v>6</v>
      </c>
      <c r="C25" s="29" t="n">
        <v>450</v>
      </c>
      <c r="D25" s="27" t="inlineStr">
        <is>
          <t>Tighten slot bolts first, pivot bolts last</t>
        </is>
      </c>
    </row>
    <row r="26" ht="15" customHeight="1" s="20">
      <c r="A26" s="27" t="inlineStr">
        <is>
          <t>20. Mount the prop; set pitch with the protractor; track the blades</t>
        </is>
      </c>
      <c r="B26" s="28" t="n">
        <v>4</v>
      </c>
      <c r="C26" s="29" t="n">
        <v>350</v>
      </c>
      <c r="D26" s="27" t="inlineStr">
        <is>
          <t>Blade tips track within 1/8 in</t>
        </is>
      </c>
    </row>
    <row r="27" ht="15" customHeight="1" s="20">
      <c r="A27" s="27" t="inlineStr">
        <is>
          <t>21. Mount the radiator on the cradle; plumb hoses; fill and bleed coolant</t>
        </is>
      </c>
      <c r="B27" s="28" t="n">
        <v>6</v>
      </c>
      <c r="C27" s="29" t="n">
        <v>450</v>
      </c>
      <c r="D27" s="27" t="n"/>
    </row>
    <row r="28" ht="15" customHeight="1" s="20">
      <c r="A28" s="27" t="inlineStr">
        <is>
          <t>22. Build the exhaust: raised muffler on hangers from the starboard engine-bed plate, above the aft foam, with a heat shield; flex section after the manifold; tailpipe over the transom</t>
        </is>
      </c>
      <c r="B28" s="28" t="n">
        <v>14</v>
      </c>
      <c r="C28" s="29" t="n">
        <v>1150</v>
      </c>
      <c r="D28" s="27" t="inlineStr">
        <is>
          <t>Muffler clear of the foam and the belt; tailpipe below the prop disk</t>
        </is>
      </c>
    </row>
    <row r="29" ht="15" customHeight="1" s="20">
      <c r="A29" s="27" t="inlineStr">
        <is>
          <t>23. Fuel system and throttle cable</t>
        </is>
      </c>
      <c r="B29" s="28" t="n">
        <v>6</v>
      </c>
      <c r="C29" s="29" t="n">
        <v>450</v>
      </c>
      <c r="D29" s="27" t="n"/>
    </row>
    <row r="30" ht="15" customHeight="1" s="20">
      <c r="A30" s="24" t="inlineStr">
        <is>
          <t>Prop cage, rudders and steering</t>
        </is>
      </c>
      <c r="B30" s="24">
        <f>SUM(B31:B34)</f>
        <v/>
      </c>
      <c r="C30" s="25">
        <f>SUM(C31:C34)</f>
        <v/>
      </c>
      <c r="D30" s="26" t="n"/>
    </row>
    <row r="31" ht="15" customHeight="1" s="20">
      <c r="A31" s="27" t="inlineStr">
        <is>
          <t>24. Have the two 72.4 in hoops rolled; cut and fit legs, rails, EMT; weld the cage</t>
        </is>
      </c>
      <c r="B31" s="28" t="n">
        <v>20</v>
      </c>
      <c r="C31" s="29" t="n">
        <v>1700</v>
      </c>
      <c r="D31" s="27" t="inlineStr">
        <is>
          <t>Grind zinc off EMT before welding; ventilate</t>
        </is>
      </c>
    </row>
    <row r="32" ht="15" customHeight="1" s="20">
      <c r="A32" s="27" t="inlineStr">
        <is>
          <t>25. Fit 1/2 in hardware cloth front, aft and sides; install the shaft sleeve; paint</t>
        </is>
      </c>
      <c r="B32" s="28" t="n">
        <v>10</v>
      </c>
      <c r="C32" s="29" t="n">
        <v>750</v>
      </c>
      <c r="D32" s="27" t="inlineStr">
        <is>
          <t>At least 4.7 in from mesh to any blade</t>
        </is>
      </c>
    </row>
    <row r="33" ht="15" customHeight="1" s="20">
      <c r="A33" s="27" t="inlineStr">
        <is>
          <t>26. Make the honeycomb rudders: cut, edge channels, seal edges, hinge tubes</t>
        </is>
      </c>
      <c r="B33" s="28" t="n">
        <v>12</v>
      </c>
      <c r="C33" s="29" t="n">
        <v>950</v>
      </c>
      <c r="D33" s="27" t="inlineStr">
        <is>
          <t>No open cells anywhere</t>
        </is>
      </c>
    </row>
    <row r="34" ht="15" customHeight="1" s="20">
      <c r="A34" s="27" t="inlineStr">
        <is>
          <t>27. Steering: horns, tie bar, pushrod, rod ends, lever pivot; set rudders parallel</t>
        </is>
      </c>
      <c r="B34" s="28" t="n">
        <v>10</v>
      </c>
      <c r="C34" s="29" t="n">
        <v>800</v>
      </c>
      <c r="D34" s="27" t="inlineStr">
        <is>
          <t>Full lock both ways without touching the cage</t>
        </is>
      </c>
    </row>
    <row r="35" ht="15" customHeight="1" s="20">
      <c r="A35" s="24" t="inlineStr">
        <is>
          <t>Floor, seating, controls and flotation</t>
        </is>
      </c>
      <c r="B35" s="24">
        <f>SUM(B36:B41)</f>
        <v/>
      </c>
      <c r="C35" s="25">
        <f>SUM(C36:C41)</f>
        <v/>
      </c>
      <c r="D35" s="26" t="n"/>
    </row>
    <row r="36" ht="23.85" customHeight="1" s="20">
      <c r="A36" s="27" t="inlineStr">
        <is>
          <t>28. Open sump: install pump, float switch with cycle counter, outside-reachable auto/off/manual switch, bailer, 1 in drain plug, through-hull and raised FRP grate box; pour a bucket in each bay and check it reaches the sump</t>
        </is>
      </c>
      <c r="B36" s="28" t="n">
        <v>7</v>
      </c>
      <c r="C36" s="29" t="n">
        <v>560</v>
      </c>
      <c r="D36" s="27" t="inlineStr">
        <is>
          <t>Bailer check valve works; every bay drains; pump switch reachable from the water</t>
        </is>
      </c>
    </row>
    <row r="37" ht="23.85" customHeight="1" s="20">
      <c r="A37" s="27" t="inlineStr">
        <is>
          <t>29. Make the 24 foam blocks (20 thin blocks aft of x = 72 in, 4 bow blocks): pour urethane foam per bay onto release-lined Coroplast trays (or into molds), trim to fit with 1/16 in clearance, seal-coat, glue on HDPE pads</t>
        </is>
      </c>
      <c r="B37" s="28" t="n">
        <v>12</v>
      </c>
      <c r="C37" s="29" t="n">
        <v>950</v>
      </c>
      <c r="D37" s="27" t="inlineStr">
        <is>
          <t>Urethane only; nothing bonded to the hull; blocks lift out</t>
        </is>
      </c>
    </row>
    <row r="38" ht="23.85" customHeight="1" s="20">
      <c r="A38" s="27" t="inlineStr">
        <is>
          <t>30. Make bolt-down floor panels resting on the stringer tops, and the bow shelf (sealed 3/8 in plywood or 0.063 in aluminum), on rivnuts and gasket tape; cut and fit 8 deck plates</t>
        </is>
      </c>
      <c r="B38" s="28" t="n">
        <v>12</v>
      </c>
      <c r="C38" s="29" t="n">
        <v>950</v>
      </c>
      <c r="D38" s="27" t="inlineStr">
        <is>
          <t>Panels hold the blocks down if swamped; floor drains aft to the sump</t>
        </is>
      </c>
    </row>
    <row r="39" ht="15" customHeight="1" s="20">
      <c r="A39" s="27" t="inlineStr">
        <is>
          <t>31. Build the bench: 1/2 in ply box with a sealed bottom panel and bulkhead at x = 87 in; battery bay forward with an Al ledge ring, EPDM gasket and a flush lid bolted into clip nuts; dry storage / cooler aft with a flush padded lid hinged on the starboard top corner, locking stays at both ends, rubber T-latch and a 1 in drain plug</t>
        </is>
      </c>
      <c r="B39" s="28" t="n">
        <v>22</v>
      </c>
      <c r="C39" s="29" t="n">
        <v>1700</v>
      </c>
      <c r="D39" s="27" t="inlineStr">
        <is>
          <t>Hose-test both lids; the cooler lid stops at 95 deg and rests open</t>
        </is>
      </c>
    </row>
    <row r="40" ht="15" customHeight="1" s="20">
      <c r="A40" s="27" t="inlineStr">
        <is>
          <t>32. Backrests, grab handles (loop 10.5 in off centre), engine guard, footrest ladder, rung-mounted throttle pedal (arm, torsion spring, rest stop), padded cushions</t>
        </is>
      </c>
      <c r="B40" s="28" t="n">
        <v>14</v>
      </c>
      <c r="C40" s="29" t="n">
        <v>1100</v>
      </c>
      <c r="D40" s="27" t="inlineStr">
        <is>
          <t>Pedal clears the next rung fully pressed on every rung</t>
        </is>
      </c>
    </row>
    <row r="41" ht="15" customHeight="1" s="20">
      <c r="A41" s="27" t="inlineStr">
        <is>
          <t>33. Mold or cut the strap-in foam side blocks (taller with the low floor); fit straps</t>
        </is>
      </c>
      <c r="B41" s="28" t="n">
        <v>6</v>
      </c>
      <c r="C41" s="29" t="n">
        <v>450</v>
      </c>
      <c r="D41" s="27" t="inlineStr">
        <is>
          <t>They provide the swamped stability: always strapped in</t>
        </is>
      </c>
    </row>
    <row r="42" ht="15" customHeight="1" s="20">
      <c r="A42" s="24" t="inlineStr">
        <is>
          <t>Joint details, rev 6 (added work only; base fabrication is in the sections above)</t>
        </is>
      </c>
      <c r="B42" s="24">
        <f>SUM(B43:B49)</f>
        <v/>
      </c>
      <c r="C42" s="25">
        <f>SUM(C43:C49)</f>
        <v/>
      </c>
      <c r="D42" s="26" t="n"/>
    </row>
    <row r="43" ht="15" customHeight="1" s="20">
      <c r="A43" s="27" t="inlineStr">
        <is>
          <t>34. Cut plates from the DXF flat patterns (plasma or waterjet, or send out); deburr, drill to final size</t>
        </is>
      </c>
      <c r="B43" s="28" t="n">
        <v>4</v>
      </c>
      <c r="C43" s="29" t="n">
        <v>300</v>
      </c>
      <c r="D43" s="27" t="inlineStr">
        <is>
          <t>Check hole positions against the fab workbook</t>
        </is>
      </c>
    </row>
    <row r="44" ht="15" customHeight="1" s="20">
      <c r="A44" s="27" t="inlineStr">
        <is>
          <t>35. Cut tubes per the cut list: mitre leg ends, slot leg tops 3/8 x 2.5, cope cage tubes (hole saw or notcher)</t>
        </is>
      </c>
      <c r="B44" s="28" t="n">
        <v>4</v>
      </c>
      <c r="C44" s="29" t="n">
        <v>300</v>
      </c>
      <c r="D44" s="27" t="inlineStr">
        <is>
          <t>Dry-fit every joint before welding</t>
        </is>
      </c>
    </row>
    <row r="45" ht="23.85" customHeight="1" s="20">
      <c r="A45" s="27" t="inlineStr">
        <is>
          <t>36. Weld the A-frame weldments in a jig: legs into peak plate, caps, crossbar, feet, gussets, clevis tabs</t>
        </is>
      </c>
      <c r="B45" s="28" t="n">
        <v>3</v>
      </c>
      <c r="C45" s="29" t="n">
        <v>250</v>
      </c>
      <c r="D45" s="27" t="inlineStr">
        <is>
          <t>Peak plates parallel, shaft bores in line; weld alternately to limit distortion</t>
        </is>
      </c>
    </row>
    <row r="46" ht="15" customHeight="1" s="20">
      <c r="A46" s="27" t="inlineStr">
        <is>
          <t>37. Build the engine-mount cradles and engine-side brackets; fit poly bushings and through-bolts</t>
        </is>
      </c>
      <c r="B46" s="28" t="n">
        <v>4</v>
      </c>
      <c r="C46" s="29" t="n">
        <v>350</v>
      </c>
      <c r="D46" s="27" t="inlineStr">
        <is>
          <t>Drill brackets to the real block's mount bosses</t>
        </is>
      </c>
    </row>
    <row r="47" ht="15" customHeight="1" s="20">
      <c r="A47" s="27" t="inlineStr">
        <is>
          <t>38. Fit braces with clevis bolts, tie struts, radiator mounts and stays, exhaust hangers and saddle</t>
        </is>
      </c>
      <c r="B47" s="28" t="n">
        <v>3</v>
      </c>
      <c r="C47" s="29" t="n">
        <v>250</v>
      </c>
      <c r="D47" s="27" t="inlineStr">
        <is>
          <t>Everything removable unbolts without cutting</t>
        </is>
      </c>
    </row>
    <row r="48" ht="15" customHeight="1" s="20">
      <c r="A48" s="27" t="inlineStr">
        <is>
          <t>39. Cage: weld coped nodes, drill and bolt the steel pads over HDPE isolators; fit rudder pivots, rod ends, tie bar</t>
        </is>
      </c>
      <c r="B48" s="28" t="n">
        <v>3</v>
      </c>
      <c r="C48" s="29" t="n">
        <v>250</v>
      </c>
      <c r="D48" s="27" t="inlineStr">
        <is>
          <t>Rudders swing freely lock to lock</t>
        </is>
      </c>
    </row>
    <row r="49" ht="15" customHeight="1" s="20">
      <c r="A49" s="27" t="inlineStr">
        <is>
          <t>40. Bench sockets, handle flanges, clips, battery tray, steering pivot, ladder feet, bow-shelf angles and padeyes</t>
        </is>
      </c>
      <c r="B49" s="28" t="n">
        <v>4</v>
      </c>
      <c r="C49" s="29" t="n">
        <v>300</v>
      </c>
      <c r="D49" s="27" t="inlineStr">
        <is>
          <t>Backrests drop in and pin; shelf solid underfoot</t>
        </is>
      </c>
    </row>
    <row r="50" ht="15" customHeight="1" s="20">
      <c r="A50" s="24" t="inlineStr">
        <is>
          <t>Electrical, finish and testing</t>
        </is>
      </c>
      <c r="B50" s="24">
        <f>SUM(B51:B56)</f>
        <v/>
      </c>
      <c r="C50" s="25">
        <f>SUM(C51:C56)</f>
        <v/>
      </c>
      <c r="D50" s="26" t="n"/>
    </row>
    <row r="51" ht="15" customHeight="1" s="20">
      <c r="A51" s="27" t="inlineStr">
        <is>
          <t>41. Battery bay power: Group 31 AGM; 4 AWG fusible link and 1/0 red to the sealed main switch on the bench front (rubber gasket, studs inside the bay); 60 A MRBF and 6 AWG red to the 12-way hub, 6 AWG black return; 10 A MRBF at battery + for the bilge; 4 relays on the port wall, 2 dimmers on the starboard wall (see the wiring schematic)</t>
        </is>
      </c>
      <c r="B51" s="28" t="n">
        <v>10</v>
      </c>
      <c r="C51" s="29" t="n">
        <v>800</v>
      </c>
      <c r="D51" s="27" t="inlineStr">
        <is>
          <t>Every circuit fused at its source: 10 A max on 18 AWG, 20 A only on 12 AWG</t>
        </is>
      </c>
    </row>
    <row r="52" ht="15" customHeight="1" s="20">
      <c r="A52" s="27" t="inlineStr">
        <is>
          <t>42. Build and fit the adjustable trim tab</t>
        </is>
      </c>
      <c r="B52" s="28" t="n">
        <v>4</v>
      </c>
      <c r="C52" s="29" t="n">
        <v>300</v>
      </c>
      <c r="D52" s="27" t="n"/>
    </row>
    <row r="53" ht="15" customHeight="1" s="20">
      <c r="A53" s="27" t="inlineStr">
        <is>
          <t>43. Ground runs: tach sweep, belt tension and flap, cooling, vibration; re-torque all bolts</t>
        </is>
      </c>
      <c r="B53" s="28" t="n">
        <v>8</v>
      </c>
      <c r="C53" s="29" t="n">
        <v>650</v>
      </c>
      <c r="D53" s="27" t="inlineStr">
        <is>
          <t>Listen for rough rpm bands</t>
        </is>
      </c>
    </row>
    <row r="54" ht="15" customHeight="1" s="20">
      <c r="A54" s="27" t="inlineStr">
        <is>
          <t>44. Dock tests: float level, bilge pump, optional swamp test</t>
        </is>
      </c>
      <c r="B54" s="28" t="n">
        <v>4</v>
      </c>
      <c r="C54" s="29" t="n">
        <v>300</v>
      </c>
      <c r="D54" s="27" t="n"/>
    </row>
    <row r="55" ht="15" customHeight="1" s="20">
      <c r="A55" s="27" t="inlineStr">
        <is>
          <t>45. Water trials: trim tab and prop pitch setup, steering, planing two-up</t>
        </is>
      </c>
      <c r="B55" s="28" t="n">
        <v>8</v>
      </c>
      <c r="C55" s="29" t="n">
        <v>650</v>
      </c>
      <c r="D55" s="27" t="n"/>
    </row>
    <row r="56" ht="15" customHeight="1" s="20">
      <c r="A56" s="27" t="inlineStr">
        <is>
          <t>46. Registration, numbering, safety gear check</t>
        </is>
      </c>
      <c r="B56" s="28" t="n">
        <v>2</v>
      </c>
      <c r="C56" s="29" t="n">
        <v>150</v>
      </c>
      <c r="D56" s="27" t="n"/>
    </row>
    <row r="57">
      <c r="A57" s="24" t="inlineStr">
        <is>
          <t>Rev 7 additions: driver station, lights, searchlight, power, deck hardware, safety, electrical</t>
        </is>
      </c>
      <c r="B57" s="24">
        <f>SUM(B58:B69)</f>
        <v/>
      </c>
      <c r="C57" s="25">
        <f>SUM(C58:C69)</f>
        <v/>
      </c>
      <c r="D57" s="26" t="n"/>
    </row>
    <row r="58" ht="15" customHeight="1" s="20">
      <c r="A58" s="27" t="inlineStr">
        <is>
          <t>47. Driver side frame: cut and TIG-weld the two 2 x 2 posts, top rail, cross arms, 2 x 3 inner rail, knee braces, diagonal and hull-side clips; bolt the base plates through the floor and the clips through backing plates (aft pair also through frame x96)</t>
        </is>
      </c>
      <c r="B58" s="28" t="n">
        <v>14</v>
      </c>
      <c r="C58" s="29" t="n">
        <v>1100</v>
      </c>
      <c r="D58" s="27" t="inlineStr">
        <is>
          <t>Leg space 11 in from the bench side to the braces; frame rock-solid under a hard pull</t>
        </is>
      </c>
    </row>
    <row r="59" ht="15" customHeight="1" s="20">
      <c r="A59" s="27" t="inlineStr">
        <is>
          <t>48. Armrest pad and grip: bend the 1 in 316 stick, weld it into the inner rail, fit the ball knob; set the armrest height (drv_armrest_h) and reach (drv_reach) to the driver</t>
        </is>
      </c>
      <c r="B59" s="28" t="n">
        <v>4</v>
      </c>
      <c r="C59" s="29" t="n">
        <v>300</v>
      </c>
      <c r="D59" s="27" t="inlineStr">
        <is>
          <t>Hand lands on the knob seated against the backrest, forearm on the pad</t>
        </is>
      </c>
    </row>
    <row r="60" ht="15" customHeight="1" s="20">
      <c r="A60" s="27" t="inlineStr">
        <is>
          <t>49. Dash: cut the 7 in panel, weld the stalk, fit the tach, water temp and fuel gauges, key switch, trouble light, lanyard kill switch, 12 V socket and USB with flaps; mount the phone holder</t>
        </is>
      </c>
      <c r="B60" s="28" t="n">
        <v>6</v>
      </c>
      <c r="C60" s="29" t="n">
        <v>450</v>
      </c>
      <c r="D60" s="27" t="inlineStr">
        <is>
          <t>Panel faces the eye; flaps seal</t>
        </is>
      </c>
    </row>
    <row r="61">
      <c r="A61" s="27" t="inlineStr">
        <is>
          <t>50. Light switch panel (two OFF-LO-MED-HI rotaries, nav rocker) and inclinometers: mount on the cross arms; zero the bubbles with the boat level on calm water</t>
        </is>
      </c>
      <c r="B61" s="28" t="n">
        <v>2</v>
      </c>
      <c r="C61" s="29" t="n">
        <v>150</v>
      </c>
      <c r="D61" s="27" t="inlineStr">
        <is>
          <t>Both bubbles readable from the seat</t>
        </is>
      </c>
    </row>
    <row r="62" ht="15" customHeight="1" s="20">
      <c r="A62" s="27" t="inlineStr">
        <is>
          <t>51. Cage light bar and searchlight: clamp the brackets over the front hoop, fit the turret and yoke, mount the remote control on the aft cross arm, run the two push-pull cables along the hull side, cage leg and front hoop; adjust so the handle and grip track the light</t>
        </is>
      </c>
      <c r="B62" s="28" t="n">
        <v>8</v>
      </c>
      <c r="C62" s="29" t="n">
        <v>650</v>
      </c>
      <c r="D62" s="27" t="inlineStr">
        <is>
          <t>Full yaw and pitch with no binding; cables clear of the prop</t>
        </is>
      </c>
    </row>
    <row r="63" ht="15" customHeight="1" s="20">
      <c r="A63" s="27" t="inlineStr">
        <is>
          <t>52. Throttle cable: run from the pedal anchor through glands in the bench walls and bulkhead, through the engine-guard grommet to the throttle body; leave a 6 in service loop in the bench</t>
        </is>
      </c>
      <c r="B63" s="28" t="n">
        <v>3</v>
      </c>
      <c r="C63" s="29" t="n">
        <v>250</v>
      </c>
      <c r="D63" s="27" t="inlineStr">
        <is>
          <t>Full throttle at full pedal; snaps back to idle</t>
        </is>
      </c>
    </row>
    <row r="64" ht="15" customHeight="1" s="20">
      <c r="A64" s="27" t="inlineStr">
        <is>
          <t>53. Deck hardware: weld the bow knees, bolt the four cleats (bow on the knees, stern on the transom corners), weld the bow-eye strap and fit the ring</t>
        </is>
      </c>
      <c r="B64" s="28" t="n">
        <v>4</v>
      </c>
      <c r="C64" s="29" t="n">
        <v>300</v>
      </c>
      <c r="D64" s="27" t="inlineStr">
        <is>
          <t>Cleats through-bolted with backing</t>
        </is>
      </c>
    </row>
    <row r="65" ht="15" customHeight="1" s="20">
      <c r="A65" s="27" t="inlineStr">
        <is>
          <t>54. Safety gear: B-1 extinguisher bracket (starboard) and air-horn bracket (port) on the bow shelf</t>
        </is>
      </c>
      <c r="B65" s="28" t="n">
        <v>1</v>
      </c>
      <c r="C65" s="29" t="n">
        <v>75</v>
      </c>
      <c r="D65" s="27" t="inlineStr">
        <is>
          <t>Extinguisher charged; reachable</t>
        </is>
      </c>
    </row>
    <row r="66" ht="15" customHeight="1" s="20">
      <c r="A66" s="27" t="inlineStr">
        <is>
          <t>55. Engine harness: 1-1/2 in PVC conduit along the cooler bottom port corner (sealed through the bulkhead and aft wall); 1/0 red to the starter B+ and 1/0 black to the block ground stud, booted; 5/8 in engine loom (EFI, start, pump, tach, temp, trouble, bilge) to the DT12 + DTP2 engine connector; 3-hole guard grommet; bilge and float-switch branches with DT2s; fuel pump and filter on the port bed plate</t>
        </is>
      </c>
      <c r="B66" s="28" t="n">
        <v>10</v>
      </c>
      <c r="C66" s="29" t="n">
        <v>800</v>
      </c>
      <c r="D66" s="27" t="inlineStr">
        <is>
          <t>Cables clamped every 12 in, clear of the belt, brace and exhaust; start relay clicks on START</t>
        </is>
      </c>
    </row>
    <row r="67">
      <c r="A67" s="27" t="inlineStr">
        <is>
          <t>56. Dash and lights harness: two PG13 glands in the bay starboard wall; dash loom and lights-power loom along the deck cable cover and up the aft post; dash loom along the arm and inner rail to the dash and switch panel; lights loom to the light bar, searchlight and stern light; DT/DTP connectors at every device</t>
        </is>
      </c>
      <c r="B67" s="28" t="n">
        <v>10</v>
      </c>
      <c r="C67" s="29" t="n">
        <v>800</v>
      </c>
      <c r="D67" s="27" t="inlineStr">
        <is>
          <t>Each rotary steps the light through LO-MED-HI; kill lanyard stops the engine</t>
        </is>
      </c>
    </row>
    <row r="68">
      <c r="A68" s="27" t="inlineStr">
        <is>
          <t>57. Nav lights and fuel sender: bow combination light on its stanchion at the bow shelf front, all-round white on the 18 in mast on the aft hoop, bow loom under the starboard gunwale flange; electric sender in the tank with a DT2 at the tank front</t>
        </is>
      </c>
      <c r="B68" s="28" t="n">
        <v>4</v>
      </c>
      <c r="C68" s="29" t="n">
        <v>300</v>
      </c>
      <c r="D68" s="27" t="inlineStr">
        <is>
          <t>Sidelights and all-round light visible from every bearing; fuel gauge reads full and empty</t>
        </is>
      </c>
    </row>
    <row r="69">
      <c r="A69" s="27" t="inlineStr">
        <is>
          <t>58. Sound check: measure dBA at 50 ft at idle, cruise and full throttle before using noise-limited waters</t>
        </is>
      </c>
      <c r="B69" s="28" t="n">
        <v>2</v>
      </c>
      <c r="C69" s="29" t="n">
        <v>150</v>
      </c>
      <c r="D69" s="27" t="inlineStr">
        <is>
          <t>Record the numbers for lake officials</t>
        </is>
      </c>
    </row>
    <row r="70"/>
    <row r="71">
      <c r="A71" s="30" t="inlineStr">
        <is>
          <t>Total</t>
        </is>
      </c>
      <c r="B71" s="30">
        <f>B5+B19+B30+B35+B42+B50+B57</f>
        <v/>
      </c>
      <c r="C71" s="31">
        <f>C5+C19+C30+C35+C42+C50+C57</f>
        <v/>
      </c>
      <c r="D71" s="32" t="n"/>
    </row>
    <row r="72">
      <c r="A72" s="33" t="inlineStr">
        <is>
          <t>DIY weekends at 16 hours each</t>
        </is>
      </c>
      <c r="B72" s="34">
        <f>B71/16</f>
        <v/>
      </c>
    </row>
    <row r="73">
      <c r="A73" s="22" t="inlineStr">
        <is>
          <t>Blue numbers are estimates you can edit; section rows and totals recalculate.</t>
        </is>
      </c>
    </row>
    <row r="74"/>
    <row r="75">
      <c r="A75" s="35" t="inlineStr">
        <is>
          <t>Comparison: stitch-and-glue hull version</t>
        </is>
      </c>
    </row>
    <row r="76">
      <c r="A76" s="33" t="inlineStr">
        <is>
          <t>Hull section only</t>
        </is>
      </c>
      <c r="B76" s="36" t="n">
        <v>204</v>
      </c>
      <c r="C76" s="37" t="n">
        <v>15850</v>
      </c>
    </row>
    <row r="77">
      <c r="A77" s="33" t="inlineStr">
        <is>
          <t>Whole boat</t>
        </is>
      </c>
      <c r="B77" s="36" t="n">
        <v>480</v>
      </c>
      <c r="C77" s="37" t="n">
        <v>37850</v>
      </c>
    </row>
    <row r="78">
      <c r="A78" s="35" t="inlineStr">
        <is>
          <t>Saved with the riveted aluminum hull (whole boat)</t>
        </is>
      </c>
      <c r="B78" s="35">
        <f>B77-B71</f>
        <v/>
      </c>
      <c r="C78" s="38">
        <f>C77-C71</f>
        <v/>
      </c>
    </row>
    <row r="79">
      <c r="A79" s="22" t="inlineStr">
        <is>
          <t>Values above come from the stitch-and-glue build guide (DIY-Mini-Airboat_Build-Guide.xlsx).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2026-10-27T04:39:46Z</dcterms:created>
  <dcterms:modified xsi:type="dcterms:W3CDTF">2026-10-30T06:21:39Z</dcterms:modified>
  <cp:revision>0</cp:revision>
</cp:coreProperties>
</file>