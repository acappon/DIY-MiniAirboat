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ull" sheetId="2" state="visible" r:id="rId4"/>
    <sheet name="Drivetrain" sheetId="3" state="visible" r:id="rId5"/>
    <sheet name="Everything el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<sst xmlns="http://schemas.openxmlformats.org/spreadsheetml/2006/main" count="512" uniqueCount="285">
  <si>
    <t xml:space="preserve">DIY Mini-Airboat — BOM summary (riveted aluminum hull)</t>
  </si>
  <si>
    <t xml:space="preserve">Totals pull from the three BOM tabs. Change quantities, prices or weights there; change the contingency in B11.</t>
  </si>
  <si>
    <t xml:space="preserve">Group</t>
  </si>
  <si>
    <t xml:space="preserve">Est. cost ($)</t>
  </si>
  <si>
    <t xml:space="preserve">Weight (lb)</t>
  </si>
  <si>
    <t xml:space="preserve">Weight in CAD (lb)</t>
  </si>
  <si>
    <t xml:space="preserve">Weight not in CAD (lb)</t>
  </si>
  <si>
    <t xml:space="preserve">Hull</t>
  </si>
  <si>
    <t xml:space="preserve">Drivetrain</t>
  </si>
  <si>
    <t xml:space="preserve">Everything else</t>
  </si>
  <si>
    <t xml:space="preserve">Subtotal</t>
  </si>
  <si>
    <t xml:space="preserve">Contingency (shipping, tax, mistakes, extras)</t>
  </si>
  <si>
    <t xml:space="preserve">Contingency rate</t>
  </si>
  <si>
    <t xml:space="preserve">Assumption: 15% of materials; edit as needed</t>
  </si>
  <si>
    <t xml:space="preserve">Estimated materials total</t>
  </si>
  <si>
    <t xml:space="preserve">Weight check</t>
  </si>
  <si>
    <t xml:space="preserve">Empty boat, CAD model (no fuel or crew)</t>
  </si>
  <si>
    <t xml:space="preserve">lb, from the final trim analysis</t>
  </si>
  <si>
    <t xml:space="preserve">BOM weight in CAD (should match)</t>
  </si>
  <si>
    <t xml:space="preserve">Difference</t>
  </si>
  <si>
    <t xml:space="preserve">Empty boat incl. items not in CAD</t>
  </si>
  <si>
    <t xml:space="preserve">Labor and the fab shop shear/brake service are not included here; see DIY-Mini-Airboat_Build-Guide_Aluminum.xlsx.</t>
  </si>
  <si>
    <t xml:space="preserve">Supplier links appear only where a supplier was discussed during design.</t>
  </si>
  <si>
    <t xml:space="preserve">DIY Mini-Airboat — Hull BOM (riveted aluminum)</t>
  </si>
  <si>
    <t xml:space="preserve">Costs are 2026 USD estimates. Blue cells are inputs you can change; Est. cost = Qty x Unit cost. Weight is the installed line weight in lb.</t>
  </si>
  <si>
    <t xml:space="preserve">Item</t>
  </si>
  <si>
    <t xml:space="preserve">Use / spec</t>
  </si>
  <si>
    <t xml:space="preserve">Qty</t>
  </si>
  <si>
    <t xml:space="preserve">Unit</t>
  </si>
  <si>
    <t xml:space="preserve">Unit cost ($)</t>
  </si>
  <si>
    <t xml:space="preserve">In CAD weight?</t>
  </si>
  <si>
    <t xml:space="preserve">Supplier link</t>
  </si>
  <si>
    <t xml:space="preserve">Notes</t>
  </si>
  <si>
    <t xml:space="preserve">5052-H32 aluminum sheet 0.090 in, 60 x 144 in</t>
  </si>
  <si>
    <t xml:space="preserve">Bottom halves with the 3 in chine bent in, bow rocker pieces, bow face</t>
  </si>
  <si>
    <t xml:space="preserve">sheet</t>
  </si>
  <si>
    <t xml:space="preserve">Y</t>
  </si>
  <si>
    <t xml:space="preserve">Centerline seam over the center stringer; transverse butt seam with doubler at frame 120</t>
  </si>
  <si>
    <t xml:space="preserve">5052-H32 aluminum sheet 0.063 in, 48 x 144 in</t>
  </si>
  <si>
    <t xml:space="preserve">Side panels</t>
  </si>
  <si>
    <t xml:space="preserve">5052-H32 aluminum sheet 0.125 in, 24 x 72 in</t>
  </si>
  <si>
    <t xml:space="preserve">Transom</t>
  </si>
  <si>
    <t xml:space="preserve">5052 strip 0.080 and 0.063 in, brake-formed into hat sections</t>
  </si>
  <si>
    <t xml:space="preserve">5 stringers, 2.5 in tall (0.080 for the two engine-bed stringers); 1 in cross-drain slot in each at x 3.5-4.5</t>
  </si>
  <si>
    <t xml:space="preserve">lot</t>
  </si>
  <si>
    <t xml:space="preserve">Bend to the rocker before riveting</t>
  </si>
  <si>
    <t xml:space="preserve">6061 angle 1-1/2 x 1-1/2 x 1/8 in, 12 ft</t>
  </si>
  <si>
    <t xml:space="preserve">7 frames + transom frame</t>
  </si>
  <si>
    <t xml:space="preserve">stick</t>
  </si>
  <si>
    <t xml:space="preserve">1 x 3/4 in limber notch at the skin in every bay of every frame; deburr and prime the cut edges</t>
  </si>
  <si>
    <t xml:space="preserve">6061 rectangular tube 2 x 3 x 1/8 in, 12 ft</t>
  </si>
  <si>
    <t xml:space="preserve">Engine-bed box beams on the bed stringers</t>
  </si>
  <si>
    <t xml:space="preserve">6061 angle 1 x 1 x 1/8 in, 12 ft</t>
  </si>
  <si>
    <t xml:space="preserve">Rub rails / sheer clamps</t>
  </si>
  <si>
    <t xml:space="preserve">6061 plate 1/4 in</t>
  </si>
  <si>
    <t xml:space="preserve">Quarter knees and frame-12 gussets under the cage plates</t>
  </si>
  <si>
    <t xml:space="preserve">6061 aluminum 1/4 in flat bar and plate</t>
  </si>
  <si>
    <t xml:space="preserve">Engine bed plates 48 x 3 in (2), cage mount plates 4 x 4 in (4)</t>
  </si>
  <si>
    <t xml:space="preserve">Drill beds 16 x 13/32 in at 3 in spacing</t>
  </si>
  <si>
    <t xml:space="preserve">HDPE sheet 1/8 in, 12 x 24 in</t>
  </si>
  <si>
    <t xml:space="preserve">Isolator strips under all aluminum plates</t>
  </si>
  <si>
    <t xml:space="preserve">6061 angle 1-1/2 x 1-1/2 x 1/8 in (2) + 5052 sheet 1/8 in for nose cap</t>
  </si>
  <si>
    <t xml:space="preserve">Chine guard angles opened to 135 deg; bent nose cap</t>
  </si>
  <si>
    <t xml:space="preserve">UHMW 1/4 in sheet, 48 x 120 in</t>
  </si>
  <si>
    <t xml:space="preserve">4 bottom strips (splice over a frame)</t>
  </si>
  <si>
    <t xml:space="preserve">3/16 in saves about 21 lb</t>
  </si>
  <si>
    <t xml:space="preserve">Closed-end aluminum blind rivets 3/16 in (5052/5056, aluminum mandrel)</t>
  </si>
  <si>
    <t xml:space="preserve">All skin laps and framing; double rows at about 3/4 in</t>
  </si>
  <si>
    <t xml:space="preserve">ea</t>
  </si>
  <si>
    <t xml:space="preserve">N</t>
  </si>
  <si>
    <t xml:space="preserve">Never open-end or steel-mandrel rivets</t>
  </si>
  <si>
    <t xml:space="preserve">Seam sealant (Sikaflex 291 or 3M 4200), 10 oz tubes</t>
  </si>
  <si>
    <t xml:space="preserve">Wet in every lap before riveting</t>
  </si>
  <si>
    <t xml:space="preserve">tube</t>
  </si>
  <si>
    <t xml:space="preserve">SS 1/4 in through-bolts, nylock nuts, sealing washers</t>
  </si>
  <si>
    <t xml:space="preserve">UHMW strips through the bottom into the stringers</t>
  </si>
  <si>
    <t xml:space="preserve">set</t>
  </si>
  <si>
    <t xml:space="preserve">Bed in sealant; Tef-Gel on threads</t>
  </si>
  <si>
    <t xml:space="preserve">Clecos 3/16 in (100) + pliers, drill bits, deburr tools</t>
  </si>
  <si>
    <t xml:space="preserve">Tooling</t>
  </si>
  <si>
    <t xml:space="preserve">Self-etching primer + marine topcoat (olive drab)</t>
  </si>
  <si>
    <t xml:space="preserve">Inside and out</t>
  </si>
  <si>
    <t xml:space="preserve">Rev 6 joint details</t>
  </si>
  <si>
    <t xml:space="preserve">Bed plates lengthened to 52 in, new 10-hole pattern; knees/gussets drilled for cage-foot bolts</t>
  </si>
  <si>
    <t xml:space="preserve">Net change from the detailed hull model</t>
  </si>
  <si>
    <t xml:space="preserve">Hole positions in the fab workbook</t>
  </si>
  <si>
    <t xml:space="preserve">Total</t>
  </si>
  <si>
    <t xml:space="preserve">Weight included in the CAD model</t>
  </si>
  <si>
    <t xml:space="preserve">Weight not in the CAD model (fasteners, paint, wiring)</t>
  </si>
  <si>
    <t xml:space="preserve">CAD model weight for this group (reference)</t>
  </si>
  <si>
    <t xml:space="preserve">From the CAD weight reports (hull r4.2, drivetrain r5, layout r6 + cage r2 + flotation r5)</t>
  </si>
  <si>
    <t xml:space="preserve">DIY Mini-Airboat — Drivetrain BOM</t>
  </si>
  <si>
    <t xml:space="preserve">Suzuki G13 1.3 L engine (junkyard), dressed</t>
  </si>
  <si>
    <t xml:space="preserve">1995-2001 Geo/Chevy Metro 1.3 or Suzuki Swift; with flywheel, starter, alternator, intake, ECU/harness</t>
  </si>
  <si>
    <t xml:space="preserve">https://www.car-part.com</t>
  </si>
  <si>
    <t xml:space="preserve">Weight is the CAD placeholder: verify on a scale</t>
  </si>
  <si>
    <t xml:space="preserve">Engine refresh kit</t>
  </si>
  <si>
    <t xml:space="preserve">Gaskets, timing belt + tensioner, water pump, plugs, thermostat, oil and filter</t>
  </si>
  <si>
    <t xml:space="preserve">kit</t>
  </si>
  <si>
    <t xml:space="preserve">Fuel delivery</t>
  </si>
  <si>
    <t xml:space="preserve">Electric pump, filter, fuel line, primer bulb, clamps</t>
  </si>
  <si>
    <t xml:space="preserve">Bellhousing adapter</t>
  </si>
  <si>
    <t xml:space="preserve">3/8 in 6061 plate + shroud, machined to the G13 pattern, starter boss</t>
  </si>
  <si>
    <t xml:space="preserve">Material + DIY machining; pattern from the real block</t>
  </si>
  <si>
    <t xml:space="preserve">Flex coupling (jaw or donut type)</t>
  </si>
  <si>
    <t xml:space="preserve">Torsional damper, flywheel to jackshaft; rated 150 lb-ft or more</t>
  </si>
  <si>
    <t xml:space="preserve">Jackshaft 1-1/4 in 4140 + 2 bearings + housing</t>
  </si>
  <si>
    <t xml:space="preserve">Takes belt pull off the crankshaft</t>
  </si>
  <si>
    <t xml:space="preserve">HTD 8M pulley, 30 teeth, 85 mm, taper-lock + bushing</t>
  </si>
  <si>
    <t xml:space="preserve">Drive pulley on jackshaft</t>
  </si>
  <si>
    <t xml:space="preserve">HTD 8M pulley, 75 teeth, 85 mm, aluminum, taper-lock + bushing</t>
  </si>
  <si>
    <t xml:space="preserve">Prop pulley between the bearings</t>
  </si>
  <si>
    <t xml:space="preserve">HTD belt 2320-8M-85 (290 teeth)</t>
  </si>
  <si>
    <t xml:space="preserve">Gates PowerGrip HTD or equal; 2.5 : 1</t>
  </si>
  <si>
    <t xml:space="preserve">Confirm width with Gates design data for 74 lb-ft</t>
  </si>
  <si>
    <t xml:space="preserve">Backside idler 3.5 in + bearing + pad bracket (optional)</t>
  </si>
  <si>
    <t xml:space="preserve">Slack-side idler bolted to adapter</t>
  </si>
  <si>
    <t xml:space="preserve">Fit only if ground runs show belt flap</t>
  </si>
  <si>
    <t xml:space="preserve">Prop shaft 1-1/2 in 4140, 20 in, keyed</t>
  </si>
  <si>
    <t xml:space="preserve">Supported fore and aft</t>
  </si>
  <si>
    <t xml:space="preserve">Flange bearing 1-1/2 in, 4-bolt</t>
  </si>
  <si>
    <t xml:space="preserve">One in each yoke plate</t>
  </si>
  <si>
    <t xml:space="preserve">Prop flange / hub adapter</t>
  </si>
  <si>
    <t xml:space="preserve">Machined to the Warp Drive HPL hub pattern</t>
  </si>
  <si>
    <t xml:space="preserve">Tension yoke: 3/8 in 6061 plates + 1 in tie tubes</t>
  </si>
  <si>
    <t xml:space="preserve">Carries both bearings; pivots as one piece</t>
  </si>
  <si>
    <t xml:space="preserve">1/2 in grade 8 bolts + lock nuts; 1/2-13 jack screw + block</t>
  </si>
  <si>
    <t xml:space="preserve">Pivot (2), arc slot (4), jack screw</t>
  </si>
  <si>
    <t xml:space="preserve">6061 square tube 2 x 2 x 1/8 in</t>
  </si>
  <si>
    <t xml:space="preserve">A-frame legs and crossbars</t>
  </si>
  <si>
    <t xml:space="preserve">ft</t>
  </si>
  <si>
    <t xml:space="preserve">6061 plate 3/8 in, 24 x 30 in</t>
  </si>
  <si>
    <t xml:space="preserve">Two gusset-shaped peak plates with lightening holes</t>
  </si>
  <si>
    <t xml:space="preserve">A-frame and brace feet (6)</t>
  </si>
  <si>
    <t xml:space="preserve">6061 tube 1-1/2 x 1-1/2 x 1/8 and 1 x 1 in</t>
  </si>
  <si>
    <t xml:space="preserve">Diagonal braces (2) and adapter tie struts (2)</t>
  </si>
  <si>
    <t xml:space="preserve">Engine mount: steel bracket + polyurethane bushing</t>
  </si>
  <si>
    <t xml:space="preserve">Bolted to engine-bed plates at x = 30 and 42 in</t>
  </si>
  <si>
    <t xml:space="preserve">Warp Drive 64R-TX-HPL3 propeller</t>
  </si>
  <si>
    <t xml:space="preserve">64 in, 3 carbon blades, HPL hub, ground-adjustable, R rotation</t>
  </si>
  <si>
    <t xml:space="preserve">https://warpdriveinc.com/product/3-bld-prop-hpl-hub/</t>
  </si>
  <si>
    <t xml:space="preserve">Price from Warp Drive page; confirm rotation, hub pattern and weight before ordering</t>
  </si>
  <si>
    <t xml:space="preserve">Leading-edge protection tape (stoneguard)</t>
  </si>
  <si>
    <t xml:space="preserve">Blade leading edges</t>
  </si>
  <si>
    <t xml:space="preserve">Warp Drive's nickel edge is the $390 alternative</t>
  </si>
  <si>
    <t xml:space="preserve">Honda Civic radiator (junkyard) + hoses, clamps, coolant, overflow bottle</t>
  </si>
  <si>
    <t xml:space="preserve">Above the hub, in front of the prop</t>
  </si>
  <si>
    <t xml:space="preserve">Radiator cradle rails + straps</t>
  </si>
  <si>
    <t xml:space="preserve">On the peak plates</t>
  </si>
  <si>
    <t xml:space="preserve">Exhaust: mandrel bends, flex section, muffler, wrap, heat shields</t>
  </si>
  <si>
    <t xml:space="preserve">Low starboard; tailpipe over transom below the prop disk</t>
  </si>
  <si>
    <t xml:space="preserve">Throttle cable + return spring</t>
  </si>
  <si>
    <t xml:space="preserve">Pedal to throttle body</t>
  </si>
  <si>
    <t xml:space="preserve">A-frame details: slotted leg tops, 1/8 caps, foot gussets, mitred crossbars</t>
  </si>
  <si>
    <t xml:space="preserve">6061 drops; TIG</t>
  </si>
  <si>
    <t xml:space="preserve">Weight included in the A-frame line below</t>
  </si>
  <si>
    <t xml:space="preserve">Brace clevises: 1/4 tongues and tab pairs, 3/8 grade 8 bolts + nylocks (4)</t>
  </si>
  <si>
    <t xml:space="preserve">Removable braces</t>
  </si>
  <si>
    <t xml:space="preserve">Tie-strut tabs + 5/16 bolts (4)</t>
  </si>
  <si>
    <t xml:space="preserve">Adapter to crossbar</t>
  </si>
  <si>
    <t xml:space="preserve">Engine mounts: 6061 cradles (4), steel engine-side brackets (4), DOM sleeves, poly bushings 1.75 OD x 1/2 ID (4), 1/2 grade 8 through-bolts (4)</t>
  </si>
  <si>
    <t xml:space="preserve">Engine-side holes to suit the real block</t>
  </si>
  <si>
    <t xml:space="preserve">Measure the G13 mount bosses first</t>
  </si>
  <si>
    <t xml:space="preserve">Radiator: lower angle, 2 rubber grommets, 2 x 3/8 top stays with rubber bushings</t>
  </si>
  <si>
    <t xml:space="preserve">Exhaust: flex section, 2 rubber isolators, 2 SS band clamps, 6061 hanger brackets, tailpipe saddle + pad</t>
  </si>
  <si>
    <t xml:space="preserve">Bed-plate bolts 3/8 SS + nylocks + Tef-Gel (20)</t>
  </si>
  <si>
    <t xml:space="preserve">All feet and pads</t>
  </si>
  <si>
    <t xml:space="preserve">Net weight of the rev 6 drivetrain details (CAD)</t>
  </si>
  <si>
    <t xml:space="preserve">Reconciles to the detailed drivetrain model</t>
  </si>
  <si>
    <t xml:space="preserve">DIY Mini-Airboat — Everything else BOM: cage, rudders, steering, seating, controls, flotation, electrical, safety</t>
  </si>
  <si>
    <t xml:space="preserve">Prop cage</t>
  </si>
  <si>
    <t xml:space="preserve">Steel tube 1 in x 0.049 in</t>
  </si>
  <si>
    <t xml:space="preserve">Two cage hoops, 72.4 in dia (about 19 ft each)</t>
  </si>
  <si>
    <t xml:space="preserve">Tube rolling service</t>
  </si>
  <si>
    <t xml:space="preserve">Roll two 72.4 in hoops</t>
  </si>
  <si>
    <t xml:space="preserve">job</t>
  </si>
  <si>
    <t xml:space="preserve">Muffler or fab shop</t>
  </si>
  <si>
    <t xml:space="preserve">Steel tube 1 in x 0.065 in</t>
  </si>
  <si>
    <t xml:space="preserve">Cage legs, base rails, rudder rails</t>
  </si>
  <si>
    <t xml:space="preserve">EMT conduit 3/4 in and 1/2 in, 10 ft sticks</t>
  </si>
  <si>
    <t xml:space="preserve">Longitudinals (8) and face bars (4)</t>
  </si>
  <si>
    <t xml:space="preserve">Grind off zinc before welding; ventilate</t>
  </si>
  <si>
    <t xml:space="preserve">Hardware cloth 1/2 in, 19 ga galvanized, 36 in x 50 ft</t>
  </si>
  <si>
    <t xml:space="preserve">Front, aft and side screens</t>
  </si>
  <si>
    <t xml:space="preserve">roll</t>
  </si>
  <si>
    <t xml:space="preserve">Keep 4.7 in or more from any moving part</t>
  </si>
  <si>
    <t xml:space="preserve">Shaft guard sleeve</t>
  </si>
  <si>
    <t xml:space="preserve">Fixed sleeve where the shaft passes the front screen</t>
  </si>
  <si>
    <t xml:space="preserve">Welding wire, gas, paint for cage</t>
  </si>
  <si>
    <t xml:space="preserve">Rudders and steering</t>
  </si>
  <si>
    <t xml:space="preserve">Aluminum honeycomb panel 20 mm, 4 x 8 ft</t>
  </si>
  <si>
    <t xml:space="preserve">Two rudders 14 x 44 in</t>
  </si>
  <si>
    <t xml:space="preserve">https://www.chalcoaluminum.com/knowledge/sandwich-panel/#Honeycomb</t>
  </si>
  <si>
    <t xml:space="preserve">Price is an estimate; request a quote</t>
  </si>
  <si>
    <t xml:space="preserve">Aluminum U-channel 3/4 in, hinge tube 1 in x 0.083 in, horns</t>
  </si>
  <si>
    <t xml:space="preserve">Rudder edges and hinges; seal all edges</t>
  </si>
  <si>
    <t xml:space="preserve">Hinge brackets and bushings</t>
  </si>
  <si>
    <t xml:space="preserve">On the 1 in rudder rails</t>
  </si>
  <si>
    <t xml:space="preserve">Tie bar, pushrod, 4 rod ends, lever pivot</t>
  </si>
  <si>
    <t xml:space="preserve">Horns to the left-hand steering lever</t>
  </si>
  <si>
    <t xml:space="preserve">Seating, controls, fuel, battery</t>
  </si>
  <si>
    <t xml:space="preserve">Marine plywood 3/8 in, 4x8</t>
  </si>
  <si>
    <t xml:space="preserve">Floor, transom to x = 121 in, 64 in wide</t>
  </si>
  <si>
    <t xml:space="preserve">Bolt-down panels resting on the stringer tops (aft panel included); 6.5 in cutouts for deck plates</t>
  </si>
  <si>
    <t xml:space="preserve">Marine plywood 1/2 in, 4x8</t>
  </si>
  <si>
    <t xml:space="preserve">Straddle bench box and bow shelf</t>
  </si>
  <si>
    <t xml:space="preserve">Bench lid hinge, gasket, latches</t>
  </si>
  <si>
    <t xml:space="preserve">Watertight battery compartment</t>
  </si>
  <si>
    <t xml:space="preserve">Seat foam + marine vinyl</t>
  </si>
  <si>
    <t xml:space="preserve">Bench cushion</t>
  </si>
  <si>
    <t xml:space="preserve">Removable backrests</t>
  </si>
  <si>
    <t xml:space="preserve">Driver and passenger</t>
  </si>
  <si>
    <t xml:space="preserve">Passenger grab handles</t>
  </si>
  <si>
    <t xml:space="preserve">Both sides of the bench</t>
  </si>
  <si>
    <t xml:space="preserve">Expanded-metal engine guard</t>
  </si>
  <si>
    <t xml:space="preserve">Between passenger and engine front</t>
  </si>
  <si>
    <t xml:space="preserve">Footrest ladder</t>
  </si>
  <si>
    <t xml:space="preserve">5 rungs, x = 104.5-123 in</t>
  </si>
  <si>
    <t xml:space="preserve">Throttle pedal, clamp-on</t>
  </si>
  <si>
    <t xml:space="preserve">Moves to any ladder rung</t>
  </si>
  <si>
    <t xml:space="preserve">Steering lever + pivot</t>
  </si>
  <si>
    <t xml:space="preserve">Port side, left hand</t>
  </si>
  <si>
    <t xml:space="preserve">Padded grab bar</t>
  </si>
  <si>
    <t xml:space="preserve">Starboard, right hand at 42 in</t>
  </si>
  <si>
    <t xml:space="preserve">Portable fuel tank 6.6 gal + fuel line and primer bulb</t>
  </si>
  <si>
    <t xml:space="preserve">Strapped on the bow shelf</t>
  </si>
  <si>
    <t xml:space="preserve">Fuel itself (40 lb full) not counted</t>
  </si>
  <si>
    <t xml:space="preserve">Battery, Group 26 + hold-down</t>
  </si>
  <si>
    <t xml:space="preserve">Inside the sealed bench</t>
  </si>
  <si>
    <t xml:space="preserve">Lithium option saves about 25 lb</t>
  </si>
  <si>
    <t xml:space="preserve">Adjustable trim tab (DIY aluminum)</t>
  </si>
  <si>
    <t xml:space="preserve">18 x 6 in, starboard half of transom</t>
  </si>
  <si>
    <t xml:space="preserve">Flotation, sump, pump</t>
  </si>
  <si>
    <t xml:space="preserve">Two-part pour foam, 2 lb/cu ft closed-cell urethane, about 8 cu ft per kit</t>
  </si>
  <si>
    <t xml:space="preserve">24 removable blocks: thin blocks under the floor aft of x = 72 in (5.1 cu ft) and under the bow shelf (4.4 cu ft), poured in molds or in each bay on a release-lined tray</t>
  </si>
  <si>
    <t xml:space="preserve">Urethane only (gasoline resistant); nothing bonded to the aluminum</t>
  </si>
  <si>
    <t xml:space="preserve">Coroplast 4 mm 4 x 8 sheets + polyurea or epoxy seal coat</t>
  </si>
  <si>
    <t xml:space="preserve">Bottom tray and sealed skin on every block</t>
  </si>
  <si>
    <t xml:space="preserve">Sealed skin slows water uptake</t>
  </si>
  <si>
    <t xml:space="preserve">HDPE sheet 1/2 in, 12 x 24 in</t>
  </si>
  <si>
    <t xml:space="preserve">54 spacer pads 1.5 x 1.5 in, glued to block bottoms (1/2 in drained channel)</t>
  </si>
  <si>
    <t xml:space="preserve">Two-part pour foam kit + covers and straps</t>
  </si>
  <si>
    <t xml:space="preserve">Removable side blocks (6.4 cu ft), molded to fit; they give the swamped boat its stability</t>
  </si>
  <si>
    <t xml:space="preserve">Must be strapped in whenever the boat is used</t>
  </si>
  <si>
    <t xml:space="preserve">Screw-out deck plates, 6 in</t>
  </si>
  <si>
    <t xml:space="preserve">Inspection ports in the floor (8)</t>
  </si>
  <si>
    <t xml:space="preserve">Plastic, gasketed</t>
  </si>
  <si>
    <t xml:space="preserve">FRP grating panel, 1 in, made into a raised box</t>
  </si>
  <si>
    <t xml:space="preserve">Removable grate box over the open sump (pump is taller than the low floor)</t>
  </si>
  <si>
    <t xml:space="preserve">Automatic bilge pump about 1,100 gph + float switch</t>
  </si>
  <si>
    <t xml:space="preserve">In the open transom sump</t>
  </si>
  <si>
    <t xml:space="preserve">Through-hull, discharge hose, clamps</t>
  </si>
  <si>
    <t xml:space="preserve">Discharge at 14 in on the transom</t>
  </si>
  <si>
    <t xml:space="preserve">Transom self-bailer with check valve, 1.5 in</t>
  </si>
  <si>
    <t xml:space="preserve">Bottom of sump</t>
  </si>
  <si>
    <t xml:space="preserve">Must have a working check valve</t>
  </si>
  <si>
    <t xml:space="preserve">Transom drain plug, 1 in (plastic or aluminum)</t>
  </si>
  <si>
    <t xml:space="preserve">Lowest point of the sump; pull on the trailer after every trip</t>
  </si>
  <si>
    <t xml:space="preserve">Not brass (galvanic)</t>
  </si>
  <si>
    <t xml:space="preserve">Pump cycle counter or hour meter on the float-switch circuit</t>
  </si>
  <si>
    <t xml:space="preserve">Leak early warning</t>
  </si>
  <si>
    <t xml:space="preserve">Waterproof bilge switch (auto / off / manual), fused</t>
  </si>
  <si>
    <t xml:space="preserve">On the transom top, reachable from the water when the boat is swamped</t>
  </si>
  <si>
    <t xml:space="preserve">Pump runs from the battery inside the sealed bench</t>
  </si>
  <si>
    <t xml:space="preserve">Floor fasteners: SS screws into rivnuts + closed-cell gasket tape</t>
  </si>
  <si>
    <t xml:space="preserve">Bolt-down floor panels (hold the blocks down when swamped)</t>
  </si>
  <si>
    <t xml:space="preserve">Electrical and safety</t>
  </si>
  <si>
    <t xml:space="preserve">Wire, fuse block, battery switch, kill-switch lanyard, terminals</t>
  </si>
  <si>
    <t xml:space="preserve">Gauges: tach, coolant temp, oil pressure, hour meter</t>
  </si>
  <si>
    <t xml:space="preserve">Navigation lights (sidelights + all-round white)</t>
  </si>
  <si>
    <t xml:space="preserve">Needed for night running</t>
  </si>
  <si>
    <t xml:space="preserve">Safety gear: fire extinguisher, 2 PFDs, horn, throwable</t>
  </si>
  <si>
    <t xml:space="preserve">Carried gear</t>
  </si>
  <si>
    <t xml:space="preserve">Not counted in boat weight</t>
  </si>
  <si>
    <t xml:space="preserve">Registration and title fees</t>
  </si>
  <si>
    <t xml:space="preserve">Estimate; check your state's rules</t>
  </si>
  <si>
    <t xml:space="preserve">Cage feet: 1/4 steel pads drilled, HDPE isolators, 3/8 SS bolts (16)</t>
  </si>
  <si>
    <t xml:space="preserve">Bolted through the hull plates and knees</t>
  </si>
  <si>
    <t xml:space="preserve">Rudder pivots: 1/2 bolts (4), tapped plugs (4), UHMW thrust washers (4); 3/8 rod ends (3) + bolts</t>
  </si>
  <si>
    <t xml:space="preserve">Backrest sockets 1-1/4 x .065 (4) + straps; handle flanges and backing plates</t>
  </si>
  <si>
    <t xml:space="preserve">Bench clips (4), battery tray + strap, steering pivot base + bushings, ladder foot plates (4), engine-guard angle + stays</t>
  </si>
  <si>
    <t xml:space="preserve">Bow shelf: aft angle at frame 120, front angle + 3 stringer clips, 4 padeyes + 2 cam straps</t>
  </si>
  <si>
    <t xml:space="preserve">Shelf enlarged to x 118.5-140.2</t>
  </si>
  <si>
    <t xml:space="preserve">Net weight of the rev 6 cage and layout details (CAD)</t>
  </si>
  <si>
    <t xml:space="preserve">Reconciles to the detailed models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</si>
</sst>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.0;\(#,##0.0\);\-"/>
    <numFmt numFmtId="167" formatCode="0%"/>
    <numFmt numFmtId="168" formatCode="#,##0.0;\-#,##0.0;\-"/>
    <numFmt numFmtId="169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E4A2E"/>
        <bgColor rgb="FF555555"/>
      </patternFill>
    </fill>
    <fill>
      <patternFill patternType="solid">
        <fgColor rgb="FFF2F2F2"/>
        <bgColor rgb="FFE6EBDD"/>
      </patternFill>
    </fill>
    <fill>
      <patternFill patternType="solid">
        <fgColor rgb="FFFFFF00"/>
        <bgColor rgb="FFFFFF00"/>
      </patternFill>
    </fill>
    <fill>
      <patternFill patternType="solid">
        <fgColor rgb="FFE6EBD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4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car-part.com/" TargetMode="External"/><Relationship Id="rId2" Type="http://schemas.openxmlformats.org/officeDocument/2006/relationships/hyperlink" Target="https://warpdriveinc.com/product/3-bld-prop-hpl-hub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chalcoaluminum.com/knowledge/sandwich-pane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Hull!F25</f>
        <v>5040</v>
      </c>
      <c r="C5" s="6" t="n">
        <f aca="false">Hull!G25</f>
        <v>347.5</v>
      </c>
      <c r="D5" s="6" t="n">
        <f aca="false">Hull!G26</f>
        <v>330.5</v>
      </c>
      <c r="E5" s="6" t="n">
        <f aca="false">Hull!G27</f>
        <v>17</v>
      </c>
    </row>
    <row r="6" customFormat="false" ht="15" hidden="false" customHeight="false" outlineLevel="0" collapsed="false">
      <c r="A6" s="4" t="s">
        <v>8</v>
      </c>
      <c r="B6" s="5" t="n">
        <f aca="false">Drivetrain!F41</f>
        <v>6038</v>
      </c>
      <c r="C6" s="6" t="n">
        <f aca="false">Drivetrain!G41</f>
        <v>389.4</v>
      </c>
      <c r="D6" s="6" t="n">
        <f aca="false">Drivetrain!G42</f>
        <v>385.4</v>
      </c>
      <c r="E6" s="6" t="n">
        <f aca="false">Drivetrain!G43</f>
        <v>4</v>
      </c>
    </row>
    <row r="7" customFormat="false" ht="15" hidden="false" customHeight="false" outlineLevel="0" collapsed="false">
      <c r="A7" s="4" t="s">
        <v>9</v>
      </c>
      <c r="B7" s="5" t="n">
        <f aca="false">'Everything else'!F61</f>
        <v>5154</v>
      </c>
      <c r="C7" s="6" t="n">
        <f aca="false">'Everything else'!G61</f>
        <v>331.9</v>
      </c>
      <c r="D7" s="6" t="n">
        <f aca="false">'Everything else'!G62</f>
        <v>322.9</v>
      </c>
      <c r="E7" s="6" t="n">
        <f aca="false">'Everything else'!G63</f>
        <v>9</v>
      </c>
    </row>
    <row r="8" customFormat="false" ht="15" hidden="false" customHeight="false" outlineLevel="0" collapsed="false">
      <c r="A8" s="7" t="s">
        <v>10</v>
      </c>
      <c r="B8" s="8" t="n">
        <f aca="false">SUM(B5:B7)</f>
        <v>16232</v>
      </c>
      <c r="C8" s="9" t="n">
        <f aca="false">SUM(C5:C7)</f>
        <v>1068.8</v>
      </c>
      <c r="D8" s="9" t="n">
        <f aca="false">SUM(D5:D7)</f>
        <v>1038.8</v>
      </c>
      <c r="E8" s="9" t="n">
        <f aca="false">SUM(E5:E7)</f>
        <v>30</v>
      </c>
    </row>
    <row r="9" customFormat="false" ht="15" hidden="false" customHeight="false" outlineLevel="0" collapsed="false">
      <c r="A9" s="10"/>
      <c r="B9" s="10"/>
      <c r="C9" s="10"/>
      <c r="D9" s="10"/>
      <c r="E9" s="10"/>
    </row>
    <row r="10" customFormat="false" ht="15" hidden="false" customHeight="false" outlineLevel="0" collapsed="false">
      <c r="A10" s="4" t="s">
        <v>11</v>
      </c>
      <c r="B10" s="11" t="n">
        <f aca="false">B8*B11</f>
        <v>2434.8</v>
      </c>
      <c r="C10" s="10"/>
      <c r="D10" s="10"/>
      <c r="E10" s="10"/>
    </row>
    <row r="11" customFormat="false" ht="15" hidden="false" customHeight="false" outlineLevel="0" collapsed="false">
      <c r="A11" s="4" t="s">
        <v>12</v>
      </c>
      <c r="B11" s="12" t="n">
        <v>0.15</v>
      </c>
      <c r="C11" s="2" t="s">
        <v>13</v>
      </c>
      <c r="D11" s="10"/>
      <c r="E11" s="10"/>
    </row>
    <row r="12" customFormat="false" ht="15" hidden="false" customHeight="false" outlineLevel="0" collapsed="false">
      <c r="A12" s="13" t="s">
        <v>14</v>
      </c>
      <c r="B12" s="14" t="n">
        <f aca="false">B8+B10</f>
        <v>18666.8</v>
      </c>
      <c r="C12" s="10"/>
      <c r="D12" s="10"/>
      <c r="E12" s="10"/>
    </row>
    <row r="13" customFormat="false" ht="15" hidden="false" customHeight="false" outlineLevel="0" collapsed="false">
      <c r="A13" s="10"/>
      <c r="B13" s="10"/>
      <c r="C13" s="10"/>
      <c r="D13" s="10"/>
      <c r="E13" s="10"/>
    </row>
    <row r="14" customFormat="false" ht="15" hidden="false" customHeight="false" outlineLevel="0" collapsed="false">
      <c r="A14" s="13" t="s">
        <v>15</v>
      </c>
      <c r="B14" s="10"/>
      <c r="C14" s="10"/>
      <c r="D14" s="10"/>
      <c r="E14" s="10"/>
    </row>
    <row r="15" customFormat="false" ht="15" hidden="false" customHeight="false" outlineLevel="0" collapsed="false">
      <c r="A15" s="10" t="s">
        <v>16</v>
      </c>
      <c r="B15" s="15" t="n">
        <v>1038.8</v>
      </c>
      <c r="C15" s="2" t="s">
        <v>17</v>
      </c>
      <c r="D15" s="10"/>
      <c r="E15" s="10"/>
    </row>
    <row r="16" customFormat="false" ht="15" hidden="false" customHeight="false" outlineLevel="0" collapsed="false">
      <c r="A16" s="10" t="s">
        <v>18</v>
      </c>
      <c r="B16" s="16" t="n">
        <f aca="false">D8</f>
        <v>1038.8</v>
      </c>
      <c r="C16" s="10"/>
      <c r="D16" s="10"/>
      <c r="E16" s="10"/>
    </row>
    <row r="17" customFormat="false" ht="15" hidden="false" customHeight="false" outlineLevel="0" collapsed="false">
      <c r="A17" s="10" t="s">
        <v>19</v>
      </c>
      <c r="B17" s="17" t="n">
        <f aca="false">B16-B15</f>
        <v>0</v>
      </c>
      <c r="C17" s="10"/>
      <c r="D17" s="10"/>
      <c r="E17" s="10"/>
    </row>
    <row r="18" customFormat="false" ht="15" hidden="false" customHeight="false" outlineLevel="0" collapsed="false">
      <c r="A18" s="10" t="s">
        <v>20</v>
      </c>
      <c r="B18" s="16" t="n">
        <f aca="false">C8</f>
        <v>1068.8</v>
      </c>
      <c r="C18" s="10"/>
      <c r="D18" s="10"/>
      <c r="E18" s="10"/>
    </row>
    <row r="20" customFormat="false" ht="15" hidden="false" customHeight="false" outlineLevel="0" collapsed="false">
      <c r="A20" s="2" t="s">
        <v>21</v>
      </c>
    </row>
    <row r="21" customFormat="false" ht="15" hidden="false" customHeight="false" outlineLevel="0" collapsed="false">
      <c r="A21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4" min="3" style="0" width="7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3.85" hidden="false" customHeight="false" outlineLevel="0" collapsed="false">
      <c r="A4" s="18" t="s">
        <v>25</v>
      </c>
      <c r="B4" s="18" t="s">
        <v>26</v>
      </c>
      <c r="C4" s="18" t="s">
        <v>27</v>
      </c>
      <c r="D4" s="18" t="s">
        <v>28</v>
      </c>
      <c r="E4" s="18" t="s">
        <v>29</v>
      </c>
      <c r="F4" s="18" t="s">
        <v>3</v>
      </c>
      <c r="G4" s="18" t="s">
        <v>4</v>
      </c>
      <c r="H4" s="18" t="s">
        <v>30</v>
      </c>
      <c r="I4" s="18" t="s">
        <v>31</v>
      </c>
      <c r="J4" s="18" t="s">
        <v>32</v>
      </c>
    </row>
    <row r="5" customFormat="false" ht="23.85" hidden="false" customHeight="false" outlineLevel="0" collapsed="false">
      <c r="A5" s="19" t="s">
        <v>33</v>
      </c>
      <c r="B5" s="19" t="s">
        <v>34</v>
      </c>
      <c r="C5" s="20" t="n">
        <v>3</v>
      </c>
      <c r="D5" s="21" t="s">
        <v>35</v>
      </c>
      <c r="E5" s="22" t="n">
        <v>450</v>
      </c>
      <c r="F5" s="23" t="n">
        <f aca="false">C5*E5</f>
        <v>1350</v>
      </c>
      <c r="G5" s="24" t="n">
        <v>97.6</v>
      </c>
      <c r="H5" s="21" t="s">
        <v>36</v>
      </c>
      <c r="I5" s="21"/>
      <c r="J5" s="19" t="s">
        <v>37</v>
      </c>
    </row>
    <row r="6" customFormat="false" ht="15" hidden="false" customHeight="false" outlineLevel="0" collapsed="false">
      <c r="A6" s="19" t="s">
        <v>38</v>
      </c>
      <c r="B6" s="19" t="s">
        <v>39</v>
      </c>
      <c r="C6" s="20" t="n">
        <v>2</v>
      </c>
      <c r="D6" s="21" t="s">
        <v>35</v>
      </c>
      <c r="E6" s="22" t="n">
        <v>230</v>
      </c>
      <c r="F6" s="23" t="n">
        <f aca="false">C6*E6</f>
        <v>460</v>
      </c>
      <c r="G6" s="24" t="n">
        <v>22</v>
      </c>
      <c r="H6" s="21" t="s">
        <v>36</v>
      </c>
      <c r="I6" s="21"/>
      <c r="J6" s="19"/>
    </row>
    <row r="7" customFormat="false" ht="15" hidden="false" customHeight="false" outlineLevel="0" collapsed="false">
      <c r="A7" s="19" t="s">
        <v>40</v>
      </c>
      <c r="B7" s="19" t="s">
        <v>41</v>
      </c>
      <c r="C7" s="20" t="n">
        <v>1</v>
      </c>
      <c r="D7" s="21" t="s">
        <v>35</v>
      </c>
      <c r="E7" s="22" t="n">
        <v>180</v>
      </c>
      <c r="F7" s="23" t="n">
        <f aca="false">C7*E7</f>
        <v>180</v>
      </c>
      <c r="G7" s="24" t="n">
        <v>14.5</v>
      </c>
      <c r="H7" s="21" t="s">
        <v>36</v>
      </c>
      <c r="I7" s="21"/>
      <c r="J7" s="19"/>
    </row>
    <row r="8" customFormat="false" ht="23.85" hidden="false" customHeight="false" outlineLevel="0" collapsed="false">
      <c r="A8" s="19" t="s">
        <v>42</v>
      </c>
      <c r="B8" s="19" t="s">
        <v>43</v>
      </c>
      <c r="C8" s="20" t="n">
        <v>1</v>
      </c>
      <c r="D8" s="21" t="s">
        <v>44</v>
      </c>
      <c r="E8" s="22" t="n">
        <v>350</v>
      </c>
      <c r="F8" s="23" t="n">
        <f aca="false">C8*E8</f>
        <v>350</v>
      </c>
      <c r="G8" s="24" t="n">
        <v>39.4</v>
      </c>
      <c r="H8" s="21" t="s">
        <v>36</v>
      </c>
      <c r="I8" s="21"/>
      <c r="J8" s="19" t="s">
        <v>45</v>
      </c>
    </row>
    <row r="9" customFormat="false" ht="23.85" hidden="false" customHeight="false" outlineLevel="0" collapsed="false">
      <c r="A9" s="19" t="s">
        <v>46</v>
      </c>
      <c r="B9" s="19" t="s">
        <v>47</v>
      </c>
      <c r="C9" s="20" t="n">
        <v>5</v>
      </c>
      <c r="D9" s="21" t="s">
        <v>48</v>
      </c>
      <c r="E9" s="22" t="n">
        <v>42</v>
      </c>
      <c r="F9" s="23" t="n">
        <f aca="false">C9*E9</f>
        <v>210</v>
      </c>
      <c r="G9" s="24" t="n">
        <v>24.8</v>
      </c>
      <c r="H9" s="21" t="s">
        <v>36</v>
      </c>
      <c r="I9" s="21"/>
      <c r="J9" s="19" t="s">
        <v>49</v>
      </c>
    </row>
    <row r="10" customFormat="false" ht="15" hidden="false" customHeight="false" outlineLevel="0" collapsed="false">
      <c r="A10" s="19" t="s">
        <v>50</v>
      </c>
      <c r="B10" s="19" t="s">
        <v>51</v>
      </c>
      <c r="C10" s="20" t="n">
        <v>1</v>
      </c>
      <c r="D10" s="21" t="s">
        <v>48</v>
      </c>
      <c r="E10" s="22" t="n">
        <v>95</v>
      </c>
      <c r="F10" s="23" t="n">
        <f aca="false">C10*E10</f>
        <v>95</v>
      </c>
      <c r="G10" s="24" t="n">
        <v>12.9</v>
      </c>
      <c r="H10" s="21" t="s">
        <v>36</v>
      </c>
      <c r="I10" s="21"/>
      <c r="J10" s="19"/>
    </row>
    <row r="11" customFormat="false" ht="15" hidden="false" customHeight="false" outlineLevel="0" collapsed="false">
      <c r="A11" s="19" t="s">
        <v>52</v>
      </c>
      <c r="B11" s="19" t="s">
        <v>53</v>
      </c>
      <c r="C11" s="20" t="n">
        <v>3</v>
      </c>
      <c r="D11" s="21" t="s">
        <v>48</v>
      </c>
      <c r="E11" s="22" t="n">
        <v>25</v>
      </c>
      <c r="F11" s="23" t="n">
        <f aca="false">C11*E11</f>
        <v>75</v>
      </c>
      <c r="G11" s="24" t="n">
        <v>6.4</v>
      </c>
      <c r="H11" s="21" t="s">
        <v>36</v>
      </c>
      <c r="I11" s="21"/>
      <c r="J11" s="19"/>
    </row>
    <row r="12" customFormat="false" ht="15" hidden="false" customHeight="false" outlineLevel="0" collapsed="false">
      <c r="A12" s="19" t="s">
        <v>54</v>
      </c>
      <c r="B12" s="19" t="s">
        <v>55</v>
      </c>
      <c r="C12" s="20" t="n">
        <v>1</v>
      </c>
      <c r="D12" s="21" t="s">
        <v>44</v>
      </c>
      <c r="E12" s="22" t="n">
        <v>40</v>
      </c>
      <c r="F12" s="23" t="n">
        <f aca="false">C12*E12</f>
        <v>40</v>
      </c>
      <c r="G12" s="24" t="n">
        <v>3.6</v>
      </c>
      <c r="H12" s="21" t="s">
        <v>36</v>
      </c>
      <c r="I12" s="21"/>
      <c r="J12" s="19"/>
    </row>
    <row r="13" customFormat="false" ht="15" hidden="false" customHeight="false" outlineLevel="0" collapsed="false">
      <c r="A13" s="19" t="s">
        <v>56</v>
      </c>
      <c r="B13" s="19" t="s">
        <v>57</v>
      </c>
      <c r="C13" s="20" t="n">
        <v>1</v>
      </c>
      <c r="D13" s="21" t="s">
        <v>44</v>
      </c>
      <c r="E13" s="22" t="n">
        <v>130</v>
      </c>
      <c r="F13" s="23" t="n">
        <f aca="false">C13*E13</f>
        <v>130</v>
      </c>
      <c r="G13" s="24" t="n">
        <v>8.4</v>
      </c>
      <c r="H13" s="21" t="s">
        <v>36</v>
      </c>
      <c r="I13" s="21"/>
      <c r="J13" s="19" t="s">
        <v>58</v>
      </c>
    </row>
    <row r="14" customFormat="false" ht="15" hidden="false" customHeight="false" outlineLevel="0" collapsed="false">
      <c r="A14" s="19" t="s">
        <v>59</v>
      </c>
      <c r="B14" s="19" t="s">
        <v>60</v>
      </c>
      <c r="C14" s="20" t="n">
        <v>1</v>
      </c>
      <c r="D14" s="21" t="s">
        <v>35</v>
      </c>
      <c r="E14" s="22" t="n">
        <v>25</v>
      </c>
      <c r="F14" s="23" t="n">
        <f aca="false">C14*E14</f>
        <v>25</v>
      </c>
      <c r="G14" s="24" t="n">
        <v>1.5</v>
      </c>
      <c r="H14" s="21" t="s">
        <v>36</v>
      </c>
      <c r="I14" s="21"/>
      <c r="J14" s="19"/>
    </row>
    <row r="15" customFormat="false" ht="23.85" hidden="false" customHeight="false" outlineLevel="0" collapsed="false">
      <c r="A15" s="19" t="s">
        <v>61</v>
      </c>
      <c r="B15" s="19" t="s">
        <v>62</v>
      </c>
      <c r="C15" s="20" t="n">
        <v>1</v>
      </c>
      <c r="D15" s="21" t="s">
        <v>44</v>
      </c>
      <c r="E15" s="22" t="n">
        <v>120</v>
      </c>
      <c r="F15" s="23" t="n">
        <f aca="false">C15*E15</f>
        <v>120</v>
      </c>
      <c r="G15" s="24" t="n">
        <v>15.9</v>
      </c>
      <c r="H15" s="21" t="s">
        <v>36</v>
      </c>
      <c r="I15" s="21"/>
      <c r="J15" s="19"/>
    </row>
    <row r="16" customFormat="false" ht="15" hidden="false" customHeight="false" outlineLevel="0" collapsed="false">
      <c r="A16" s="19" t="s">
        <v>63</v>
      </c>
      <c r="B16" s="19" t="s">
        <v>64</v>
      </c>
      <c r="C16" s="20" t="n">
        <v>3</v>
      </c>
      <c r="D16" s="21" t="s">
        <v>35</v>
      </c>
      <c r="E16" s="22" t="n">
        <v>290</v>
      </c>
      <c r="F16" s="23" t="n">
        <f aca="false">C16*E16</f>
        <v>870</v>
      </c>
      <c r="G16" s="24" t="n">
        <v>82.8</v>
      </c>
      <c r="H16" s="21" t="s">
        <v>36</v>
      </c>
      <c r="I16" s="21"/>
      <c r="J16" s="19" t="s">
        <v>65</v>
      </c>
    </row>
    <row r="17" customFormat="false" ht="23.85" hidden="false" customHeight="false" outlineLevel="0" collapsed="false">
      <c r="A17" s="19" t="s">
        <v>66</v>
      </c>
      <c r="B17" s="19" t="s">
        <v>67</v>
      </c>
      <c r="C17" s="20" t="n">
        <v>2500</v>
      </c>
      <c r="D17" s="21" t="s">
        <v>68</v>
      </c>
      <c r="E17" s="25" t="n">
        <v>0.15</v>
      </c>
      <c r="F17" s="23" t="n">
        <f aca="false">C17*E17</f>
        <v>375</v>
      </c>
      <c r="G17" s="24" t="n">
        <v>5</v>
      </c>
      <c r="H17" s="21" t="s">
        <v>69</v>
      </c>
      <c r="I17" s="21"/>
      <c r="J17" s="19" t="s">
        <v>70</v>
      </c>
    </row>
    <row r="18" customFormat="false" ht="15" hidden="false" customHeight="false" outlineLevel="0" collapsed="false">
      <c r="A18" s="19" t="s">
        <v>71</v>
      </c>
      <c r="B18" s="19" t="s">
        <v>72</v>
      </c>
      <c r="C18" s="20" t="n">
        <v>10</v>
      </c>
      <c r="D18" s="21" t="s">
        <v>73</v>
      </c>
      <c r="E18" s="22" t="n">
        <v>15</v>
      </c>
      <c r="F18" s="23" t="n">
        <f aca="false">C18*E18</f>
        <v>150</v>
      </c>
      <c r="G18" s="24" t="n">
        <v>4</v>
      </c>
      <c r="H18" s="21" t="s">
        <v>69</v>
      </c>
      <c r="I18" s="21"/>
      <c r="J18" s="19"/>
    </row>
    <row r="19" customFormat="false" ht="15" hidden="false" customHeight="false" outlineLevel="0" collapsed="false">
      <c r="A19" s="19" t="s">
        <v>74</v>
      </c>
      <c r="B19" s="19" t="s">
        <v>75</v>
      </c>
      <c r="C19" s="20" t="n">
        <v>200</v>
      </c>
      <c r="D19" s="21" t="s">
        <v>76</v>
      </c>
      <c r="E19" s="25" t="n">
        <v>0.8</v>
      </c>
      <c r="F19" s="23" t="n">
        <f aca="false">C19*E19</f>
        <v>160</v>
      </c>
      <c r="G19" s="24" t="n">
        <v>3</v>
      </c>
      <c r="H19" s="21" t="s">
        <v>69</v>
      </c>
      <c r="I19" s="21"/>
      <c r="J19" s="19" t="s">
        <v>77</v>
      </c>
    </row>
    <row r="20" customFormat="false" ht="15" hidden="false" customHeight="false" outlineLevel="0" collapsed="false">
      <c r="A20" s="19" t="s">
        <v>78</v>
      </c>
      <c r="B20" s="19" t="s">
        <v>79</v>
      </c>
      <c r="C20" s="20" t="n">
        <v>1</v>
      </c>
      <c r="D20" s="21" t="s">
        <v>44</v>
      </c>
      <c r="E20" s="22" t="n">
        <v>150</v>
      </c>
      <c r="F20" s="23" t="n">
        <f aca="false">C20*E20</f>
        <v>150</v>
      </c>
      <c r="G20" s="24" t="n">
        <v>0</v>
      </c>
      <c r="H20" s="21" t="s">
        <v>69</v>
      </c>
      <c r="I20" s="21"/>
      <c r="J20" s="19"/>
    </row>
    <row r="21" customFormat="false" ht="15" hidden="false" customHeight="false" outlineLevel="0" collapsed="false">
      <c r="A21" s="19" t="s">
        <v>80</v>
      </c>
      <c r="B21" s="19" t="s">
        <v>81</v>
      </c>
      <c r="C21" s="20" t="n">
        <v>1</v>
      </c>
      <c r="D21" s="21" t="s">
        <v>44</v>
      </c>
      <c r="E21" s="22" t="n">
        <v>260</v>
      </c>
      <c r="F21" s="23" t="n">
        <f aca="false">C21*E21</f>
        <v>260</v>
      </c>
      <c r="G21" s="24" t="n">
        <v>5</v>
      </c>
      <c r="H21" s="21" t="s">
        <v>69</v>
      </c>
      <c r="I21" s="21"/>
      <c r="J21" s="19"/>
    </row>
    <row r="22" customFormat="false" ht="15" hidden="false" customHeight="false" outlineLevel="0" collapsed="false">
      <c r="A22" s="26" t="s">
        <v>82</v>
      </c>
      <c r="B22" s="27"/>
      <c r="C22" s="27"/>
      <c r="D22" s="27"/>
      <c r="E22" s="27"/>
      <c r="F22" s="27"/>
      <c r="G22" s="27"/>
      <c r="H22" s="27"/>
      <c r="I22" s="27"/>
      <c r="J22" s="27"/>
    </row>
    <row r="23" customFormat="false" ht="23.85" hidden="false" customHeight="false" outlineLevel="0" collapsed="false">
      <c r="A23" s="19" t="s">
        <v>83</v>
      </c>
      <c r="B23" s="19" t="s">
        <v>84</v>
      </c>
      <c r="C23" s="20" t="n">
        <v>1</v>
      </c>
      <c r="D23" s="21" t="s">
        <v>44</v>
      </c>
      <c r="E23" s="22" t="n">
        <v>40</v>
      </c>
      <c r="F23" s="23" t="n">
        <f aca="false">C23*E23</f>
        <v>40</v>
      </c>
      <c r="G23" s="24" t="n">
        <v>0.7</v>
      </c>
      <c r="H23" s="21" t="s">
        <v>36</v>
      </c>
      <c r="I23" s="21"/>
      <c r="J23" s="19" t="s">
        <v>85</v>
      </c>
    </row>
    <row r="25" customFormat="false" ht="15" hidden="false" customHeight="false" outlineLevel="0" collapsed="false">
      <c r="A25" s="7" t="s">
        <v>86</v>
      </c>
      <c r="B25" s="7"/>
      <c r="C25" s="7"/>
      <c r="D25" s="7"/>
      <c r="E25" s="7"/>
      <c r="F25" s="8" t="n">
        <f aca="false">SUM(F5:F23)</f>
        <v>5040</v>
      </c>
      <c r="G25" s="9" t="n">
        <f aca="false">SUM(G5:G23)</f>
        <v>347.5</v>
      </c>
      <c r="H25" s="7"/>
      <c r="I25" s="7"/>
      <c r="J25" s="7"/>
    </row>
    <row r="26" customFormat="false" ht="15" hidden="false" customHeight="false" outlineLevel="0" collapsed="false">
      <c r="A26" s="4" t="s">
        <v>87</v>
      </c>
      <c r="G26" s="28" t="n">
        <f aca="false">SUMIF(H5:H23,"Y",G5:G23)</f>
        <v>330.5</v>
      </c>
    </row>
    <row r="27" customFormat="false" ht="15" hidden="false" customHeight="false" outlineLevel="0" collapsed="false">
      <c r="A27" s="4" t="s">
        <v>88</v>
      </c>
      <c r="G27" s="28" t="n">
        <f aca="false">SUMIF(H5:H23,"N",G5:G23)</f>
        <v>17</v>
      </c>
    </row>
    <row r="28" customFormat="false" ht="15" hidden="false" customHeight="false" outlineLevel="0" collapsed="false">
      <c r="A28" s="4" t="s">
        <v>89</v>
      </c>
      <c r="G28" s="15" t="n">
        <v>330.5</v>
      </c>
      <c r="J28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4" min="3" style="0" width="7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24</v>
      </c>
    </row>
    <row r="4" customFormat="false" ht="23.85" hidden="false" customHeight="false" outlineLevel="0" collapsed="false">
      <c r="A4" s="18" t="s">
        <v>25</v>
      </c>
      <c r="B4" s="18" t="s">
        <v>26</v>
      </c>
      <c r="C4" s="18" t="s">
        <v>27</v>
      </c>
      <c r="D4" s="18" t="s">
        <v>28</v>
      </c>
      <c r="E4" s="18" t="s">
        <v>29</v>
      </c>
      <c r="F4" s="18" t="s">
        <v>3</v>
      </c>
      <c r="G4" s="18" t="s">
        <v>4</v>
      </c>
      <c r="H4" s="18" t="s">
        <v>30</v>
      </c>
      <c r="I4" s="18" t="s">
        <v>31</v>
      </c>
      <c r="J4" s="18" t="s">
        <v>32</v>
      </c>
    </row>
    <row r="5" customFormat="false" ht="23.85" hidden="false" customHeight="false" outlineLevel="0" collapsed="false">
      <c r="A5" s="19" t="s">
        <v>92</v>
      </c>
      <c r="B5" s="19" t="s">
        <v>93</v>
      </c>
      <c r="C5" s="20" t="n">
        <v>1</v>
      </c>
      <c r="D5" s="21" t="s">
        <v>68</v>
      </c>
      <c r="E5" s="22" t="n">
        <v>600</v>
      </c>
      <c r="F5" s="23" t="n">
        <f aca="false">C5*E5</f>
        <v>600</v>
      </c>
      <c r="G5" s="24" t="n">
        <v>179</v>
      </c>
      <c r="H5" s="21" t="s">
        <v>36</v>
      </c>
      <c r="I5" s="29" t="s">
        <v>94</v>
      </c>
      <c r="J5" s="19" t="s">
        <v>95</v>
      </c>
    </row>
    <row r="6" customFormat="false" ht="23.85" hidden="false" customHeight="false" outlineLevel="0" collapsed="false">
      <c r="A6" s="19" t="s">
        <v>96</v>
      </c>
      <c r="B6" s="19" t="s">
        <v>97</v>
      </c>
      <c r="C6" s="20" t="n">
        <v>1</v>
      </c>
      <c r="D6" s="21" t="s">
        <v>98</v>
      </c>
      <c r="E6" s="22" t="n">
        <v>320</v>
      </c>
      <c r="F6" s="23" t="n">
        <f aca="false">C6*E6</f>
        <v>320</v>
      </c>
      <c r="G6" s="24" t="n">
        <v>0</v>
      </c>
      <c r="H6" s="21" t="s">
        <v>69</v>
      </c>
      <c r="I6" s="21"/>
      <c r="J6" s="19"/>
    </row>
    <row r="7" customFormat="false" ht="15" hidden="false" customHeight="false" outlineLevel="0" collapsed="false">
      <c r="A7" s="19" t="s">
        <v>99</v>
      </c>
      <c r="B7" s="19" t="s">
        <v>100</v>
      </c>
      <c r="C7" s="20" t="n">
        <v>1</v>
      </c>
      <c r="D7" s="21" t="s">
        <v>44</v>
      </c>
      <c r="E7" s="22" t="n">
        <v>140</v>
      </c>
      <c r="F7" s="23" t="n">
        <f aca="false">C7*E7</f>
        <v>140</v>
      </c>
      <c r="G7" s="24" t="n">
        <v>3</v>
      </c>
      <c r="H7" s="21" t="s">
        <v>69</v>
      </c>
      <c r="I7" s="21"/>
      <c r="J7" s="19"/>
    </row>
    <row r="8" customFormat="false" ht="23.85" hidden="false" customHeight="false" outlineLevel="0" collapsed="false">
      <c r="A8" s="19" t="s">
        <v>101</v>
      </c>
      <c r="B8" s="19" t="s">
        <v>102</v>
      </c>
      <c r="C8" s="20" t="n">
        <v>1</v>
      </c>
      <c r="D8" s="21" t="s">
        <v>68</v>
      </c>
      <c r="E8" s="22" t="n">
        <v>160</v>
      </c>
      <c r="F8" s="23" t="n">
        <f aca="false">C8*E8</f>
        <v>160</v>
      </c>
      <c r="G8" s="24" t="n">
        <v>11</v>
      </c>
      <c r="H8" s="21" t="s">
        <v>36</v>
      </c>
      <c r="I8" s="21"/>
      <c r="J8" s="19" t="s">
        <v>103</v>
      </c>
    </row>
    <row r="9" customFormat="false" ht="15" hidden="false" customHeight="false" outlineLevel="0" collapsed="false">
      <c r="A9" s="19" t="s">
        <v>104</v>
      </c>
      <c r="B9" s="19" t="s">
        <v>105</v>
      </c>
      <c r="C9" s="20" t="n">
        <v>1</v>
      </c>
      <c r="D9" s="21" t="s">
        <v>68</v>
      </c>
      <c r="E9" s="22" t="n">
        <v>130</v>
      </c>
      <c r="F9" s="23" t="n">
        <f aca="false">C9*E9</f>
        <v>130</v>
      </c>
      <c r="G9" s="24" t="n">
        <v>1.3</v>
      </c>
      <c r="H9" s="21" t="s">
        <v>36</v>
      </c>
      <c r="I9" s="21"/>
      <c r="J9" s="19"/>
    </row>
    <row r="10" customFormat="false" ht="15" hidden="false" customHeight="false" outlineLevel="0" collapsed="false">
      <c r="A10" s="19" t="s">
        <v>106</v>
      </c>
      <c r="B10" s="19" t="s">
        <v>107</v>
      </c>
      <c r="C10" s="20" t="n">
        <v>1</v>
      </c>
      <c r="D10" s="21" t="s">
        <v>44</v>
      </c>
      <c r="E10" s="22" t="n">
        <v>170</v>
      </c>
      <c r="F10" s="23" t="n">
        <f aca="false">C10*E10</f>
        <v>170</v>
      </c>
      <c r="G10" s="24" t="n">
        <v>4.4</v>
      </c>
      <c r="H10" s="21" t="s">
        <v>36</v>
      </c>
      <c r="I10" s="21"/>
      <c r="J10" s="19"/>
    </row>
    <row r="11" customFormat="false" ht="15" hidden="false" customHeight="false" outlineLevel="0" collapsed="false">
      <c r="A11" s="19" t="s">
        <v>108</v>
      </c>
      <c r="B11" s="19" t="s">
        <v>109</v>
      </c>
      <c r="C11" s="20" t="n">
        <v>1</v>
      </c>
      <c r="D11" s="21" t="s">
        <v>68</v>
      </c>
      <c r="E11" s="22" t="n">
        <v>140</v>
      </c>
      <c r="F11" s="23" t="n">
        <f aca="false">C11*E11</f>
        <v>140</v>
      </c>
      <c r="G11" s="24" t="n">
        <v>5.7</v>
      </c>
      <c r="H11" s="21" t="s">
        <v>36</v>
      </c>
      <c r="I11" s="21"/>
      <c r="J11" s="19"/>
    </row>
    <row r="12" customFormat="false" ht="23.85" hidden="false" customHeight="false" outlineLevel="0" collapsed="false">
      <c r="A12" s="19" t="s">
        <v>110</v>
      </c>
      <c r="B12" s="19" t="s">
        <v>111</v>
      </c>
      <c r="C12" s="20" t="n">
        <v>1</v>
      </c>
      <c r="D12" s="21" t="s">
        <v>68</v>
      </c>
      <c r="E12" s="22" t="n">
        <v>330</v>
      </c>
      <c r="F12" s="23" t="n">
        <f aca="false">C12*E12</f>
        <v>330</v>
      </c>
      <c r="G12" s="24" t="n">
        <v>7.5</v>
      </c>
      <c r="H12" s="21" t="s">
        <v>36</v>
      </c>
      <c r="I12" s="21"/>
      <c r="J12" s="19"/>
    </row>
    <row r="13" customFormat="false" ht="15" hidden="false" customHeight="false" outlineLevel="0" collapsed="false">
      <c r="A13" s="19" t="s">
        <v>112</v>
      </c>
      <c r="B13" s="19" t="s">
        <v>113</v>
      </c>
      <c r="C13" s="20" t="n">
        <v>1</v>
      </c>
      <c r="D13" s="21" t="s">
        <v>68</v>
      </c>
      <c r="E13" s="22" t="n">
        <v>190</v>
      </c>
      <c r="F13" s="23" t="n">
        <f aca="false">C13*E13</f>
        <v>190</v>
      </c>
      <c r="G13" s="24" t="n">
        <v>3</v>
      </c>
      <c r="H13" s="21" t="s">
        <v>36</v>
      </c>
      <c r="I13" s="21"/>
      <c r="J13" s="19" t="s">
        <v>114</v>
      </c>
    </row>
    <row r="14" customFormat="false" ht="15" hidden="false" customHeight="false" outlineLevel="0" collapsed="false">
      <c r="A14" s="19" t="s">
        <v>115</v>
      </c>
      <c r="B14" s="19" t="s">
        <v>116</v>
      </c>
      <c r="C14" s="20" t="n">
        <v>1</v>
      </c>
      <c r="D14" s="21" t="s">
        <v>68</v>
      </c>
      <c r="E14" s="22" t="n">
        <v>70</v>
      </c>
      <c r="F14" s="23" t="n">
        <f aca="false">C14*E14</f>
        <v>70</v>
      </c>
      <c r="G14" s="24" t="n">
        <v>3.2</v>
      </c>
      <c r="H14" s="21" t="s">
        <v>36</v>
      </c>
      <c r="I14" s="21"/>
      <c r="J14" s="19" t="s">
        <v>117</v>
      </c>
    </row>
    <row r="15" customFormat="false" ht="15" hidden="false" customHeight="false" outlineLevel="0" collapsed="false">
      <c r="A15" s="19" t="s">
        <v>118</v>
      </c>
      <c r="B15" s="19" t="s">
        <v>119</v>
      </c>
      <c r="C15" s="20" t="n">
        <v>1</v>
      </c>
      <c r="D15" s="21" t="s">
        <v>68</v>
      </c>
      <c r="E15" s="22" t="n">
        <v>110</v>
      </c>
      <c r="F15" s="23" t="n">
        <f aca="false">C15*E15</f>
        <v>110</v>
      </c>
      <c r="G15" s="24" t="n">
        <v>9.8</v>
      </c>
      <c r="H15" s="21" t="s">
        <v>36</v>
      </c>
      <c r="I15" s="21"/>
      <c r="J15" s="19"/>
    </row>
    <row r="16" customFormat="false" ht="15" hidden="false" customHeight="false" outlineLevel="0" collapsed="false">
      <c r="A16" s="19" t="s">
        <v>120</v>
      </c>
      <c r="B16" s="19" t="s">
        <v>121</v>
      </c>
      <c r="C16" s="20" t="n">
        <v>2</v>
      </c>
      <c r="D16" s="21" t="s">
        <v>68</v>
      </c>
      <c r="E16" s="22" t="n">
        <v>55</v>
      </c>
      <c r="F16" s="23" t="n">
        <f aca="false">C16*E16</f>
        <v>110</v>
      </c>
      <c r="G16" s="24" t="n">
        <v>9</v>
      </c>
      <c r="H16" s="21" t="s">
        <v>36</v>
      </c>
      <c r="I16" s="21"/>
      <c r="J16" s="19"/>
    </row>
    <row r="17" customFormat="false" ht="15" hidden="false" customHeight="false" outlineLevel="0" collapsed="false">
      <c r="A17" s="19" t="s">
        <v>122</v>
      </c>
      <c r="B17" s="19" t="s">
        <v>123</v>
      </c>
      <c r="C17" s="20" t="n">
        <v>1</v>
      </c>
      <c r="D17" s="21" t="s">
        <v>68</v>
      </c>
      <c r="E17" s="22" t="n">
        <v>140</v>
      </c>
      <c r="F17" s="23" t="n">
        <f aca="false">C17*E17</f>
        <v>140</v>
      </c>
      <c r="G17" s="24" t="n">
        <v>3.8</v>
      </c>
      <c r="H17" s="21" t="s">
        <v>36</v>
      </c>
      <c r="I17" s="21"/>
      <c r="J17" s="19"/>
    </row>
    <row r="18" customFormat="false" ht="15" hidden="false" customHeight="false" outlineLevel="0" collapsed="false">
      <c r="A18" s="19" t="s">
        <v>124</v>
      </c>
      <c r="B18" s="19" t="s">
        <v>125</v>
      </c>
      <c r="C18" s="20" t="n">
        <v>1</v>
      </c>
      <c r="D18" s="21" t="s">
        <v>44</v>
      </c>
      <c r="E18" s="22" t="n">
        <v>170</v>
      </c>
      <c r="F18" s="23" t="n">
        <f aca="false">C18*E18</f>
        <v>170</v>
      </c>
      <c r="G18" s="24" t="n">
        <v>13.3</v>
      </c>
      <c r="H18" s="21" t="s">
        <v>36</v>
      </c>
      <c r="I18" s="21"/>
      <c r="J18" s="19"/>
    </row>
    <row r="19" customFormat="false" ht="23.85" hidden="false" customHeight="false" outlineLevel="0" collapsed="false">
      <c r="A19" s="19" t="s">
        <v>126</v>
      </c>
      <c r="B19" s="19" t="s">
        <v>127</v>
      </c>
      <c r="C19" s="20" t="n">
        <v>1</v>
      </c>
      <c r="D19" s="21" t="s">
        <v>44</v>
      </c>
      <c r="E19" s="22" t="n">
        <v>45</v>
      </c>
      <c r="F19" s="23" t="n">
        <f aca="false">C19*E19</f>
        <v>45</v>
      </c>
      <c r="G19" s="24" t="n">
        <v>2</v>
      </c>
      <c r="H19" s="21" t="s">
        <v>36</v>
      </c>
      <c r="I19" s="21"/>
      <c r="J19" s="19"/>
    </row>
    <row r="20" customFormat="false" ht="15" hidden="false" customHeight="false" outlineLevel="0" collapsed="false">
      <c r="A20" s="19" t="s">
        <v>128</v>
      </c>
      <c r="B20" s="19" t="s">
        <v>129</v>
      </c>
      <c r="C20" s="20" t="n">
        <v>30</v>
      </c>
      <c r="D20" s="21" t="s">
        <v>130</v>
      </c>
      <c r="E20" s="25" t="n">
        <v>9</v>
      </c>
      <c r="F20" s="23" t="n">
        <f aca="false">C20*E20</f>
        <v>270</v>
      </c>
      <c r="G20" s="24" t="n">
        <v>17.8</v>
      </c>
      <c r="H20" s="21" t="s">
        <v>36</v>
      </c>
      <c r="I20" s="21"/>
      <c r="J20" s="19"/>
    </row>
    <row r="21" customFormat="false" ht="15" hidden="false" customHeight="false" outlineLevel="0" collapsed="false">
      <c r="A21" s="19" t="s">
        <v>131</v>
      </c>
      <c r="B21" s="19" t="s">
        <v>132</v>
      </c>
      <c r="C21" s="20" t="n">
        <v>1</v>
      </c>
      <c r="D21" s="21" t="s">
        <v>68</v>
      </c>
      <c r="E21" s="22" t="n">
        <v>210</v>
      </c>
      <c r="F21" s="23" t="n">
        <f aca="false">C21*E21</f>
        <v>210</v>
      </c>
      <c r="G21" s="24" t="n">
        <v>20</v>
      </c>
      <c r="H21" s="21" t="s">
        <v>36</v>
      </c>
      <c r="I21" s="21"/>
      <c r="J21" s="19"/>
    </row>
    <row r="22" customFormat="false" ht="15" hidden="false" customHeight="false" outlineLevel="0" collapsed="false">
      <c r="A22" s="19" t="s">
        <v>54</v>
      </c>
      <c r="B22" s="19" t="s">
        <v>133</v>
      </c>
      <c r="C22" s="20" t="n">
        <v>1</v>
      </c>
      <c r="D22" s="21" t="s">
        <v>44</v>
      </c>
      <c r="E22" s="22" t="n">
        <v>40</v>
      </c>
      <c r="F22" s="23" t="n">
        <f aca="false">C22*E22</f>
        <v>40</v>
      </c>
      <c r="G22" s="24" t="n">
        <v>2.6</v>
      </c>
      <c r="H22" s="21" t="s">
        <v>36</v>
      </c>
      <c r="I22" s="21"/>
      <c r="J22" s="19"/>
    </row>
    <row r="23" customFormat="false" ht="15" hidden="false" customHeight="false" outlineLevel="0" collapsed="false">
      <c r="A23" s="19" t="s">
        <v>134</v>
      </c>
      <c r="B23" s="19" t="s">
        <v>135</v>
      </c>
      <c r="C23" s="20" t="n">
        <v>16</v>
      </c>
      <c r="D23" s="21" t="s">
        <v>130</v>
      </c>
      <c r="E23" s="25" t="n">
        <v>8</v>
      </c>
      <c r="F23" s="23" t="n">
        <f aca="false">C23*E23</f>
        <v>128</v>
      </c>
      <c r="G23" s="24" t="n">
        <v>7.1</v>
      </c>
      <c r="H23" s="21" t="s">
        <v>36</v>
      </c>
      <c r="I23" s="21"/>
      <c r="J23" s="19"/>
    </row>
    <row r="24" customFormat="false" ht="15" hidden="false" customHeight="false" outlineLevel="0" collapsed="false">
      <c r="A24" s="19" t="s">
        <v>136</v>
      </c>
      <c r="B24" s="19" t="s">
        <v>137</v>
      </c>
      <c r="C24" s="20" t="n">
        <v>4</v>
      </c>
      <c r="D24" s="21" t="s">
        <v>68</v>
      </c>
      <c r="E24" s="22" t="n">
        <v>35</v>
      </c>
      <c r="F24" s="23" t="n">
        <f aca="false">C24*E24</f>
        <v>140</v>
      </c>
      <c r="G24" s="24" t="n">
        <v>15.3</v>
      </c>
      <c r="H24" s="21" t="s">
        <v>36</v>
      </c>
      <c r="I24" s="21"/>
      <c r="J24" s="19"/>
    </row>
    <row r="25" customFormat="false" ht="23.85" hidden="false" customHeight="false" outlineLevel="0" collapsed="false">
      <c r="A25" s="19" t="s">
        <v>138</v>
      </c>
      <c r="B25" s="19" t="s">
        <v>139</v>
      </c>
      <c r="C25" s="20" t="n">
        <v>1</v>
      </c>
      <c r="D25" s="21" t="s">
        <v>68</v>
      </c>
      <c r="E25" s="22" t="n">
        <v>1395</v>
      </c>
      <c r="F25" s="23" t="n">
        <f aca="false">C25*E25</f>
        <v>1395</v>
      </c>
      <c r="G25" s="24" t="n">
        <v>18</v>
      </c>
      <c r="H25" s="21" t="s">
        <v>36</v>
      </c>
      <c r="I25" s="29" t="s">
        <v>140</v>
      </c>
      <c r="J25" s="19" t="s">
        <v>141</v>
      </c>
    </row>
    <row r="26" customFormat="false" ht="15" hidden="false" customHeight="false" outlineLevel="0" collapsed="false">
      <c r="A26" s="19" t="s">
        <v>142</v>
      </c>
      <c r="B26" s="19" t="s">
        <v>143</v>
      </c>
      <c r="C26" s="20" t="n">
        <v>1</v>
      </c>
      <c r="D26" s="21" t="s">
        <v>98</v>
      </c>
      <c r="E26" s="22" t="n">
        <v>60</v>
      </c>
      <c r="F26" s="23" t="n">
        <f aca="false">C26*E26</f>
        <v>60</v>
      </c>
      <c r="G26" s="24" t="n">
        <v>0</v>
      </c>
      <c r="H26" s="21" t="s">
        <v>69</v>
      </c>
      <c r="I26" s="21"/>
      <c r="J26" s="19" t="s">
        <v>144</v>
      </c>
    </row>
    <row r="27" customFormat="false" ht="23.85" hidden="false" customHeight="false" outlineLevel="0" collapsed="false">
      <c r="A27" s="19" t="s">
        <v>145</v>
      </c>
      <c r="B27" s="19" t="s">
        <v>146</v>
      </c>
      <c r="C27" s="20" t="n">
        <v>1</v>
      </c>
      <c r="D27" s="21" t="s">
        <v>44</v>
      </c>
      <c r="E27" s="22" t="n">
        <v>140</v>
      </c>
      <c r="F27" s="23" t="n">
        <f aca="false">C27*E27</f>
        <v>140</v>
      </c>
      <c r="G27" s="24" t="n">
        <v>20</v>
      </c>
      <c r="H27" s="21" t="s">
        <v>36</v>
      </c>
      <c r="I27" s="21"/>
      <c r="J27" s="19"/>
    </row>
    <row r="28" customFormat="false" ht="15" hidden="false" customHeight="false" outlineLevel="0" collapsed="false">
      <c r="A28" s="19" t="s">
        <v>147</v>
      </c>
      <c r="B28" s="19" t="s">
        <v>148</v>
      </c>
      <c r="C28" s="20" t="n">
        <v>1</v>
      </c>
      <c r="D28" s="21" t="s">
        <v>44</v>
      </c>
      <c r="E28" s="22" t="n">
        <v>35</v>
      </c>
      <c r="F28" s="23" t="n">
        <f aca="false">C28*E28</f>
        <v>35</v>
      </c>
      <c r="G28" s="24" t="n">
        <v>0.8</v>
      </c>
      <c r="H28" s="21" t="s">
        <v>36</v>
      </c>
      <c r="I28" s="21"/>
      <c r="J28" s="19"/>
    </row>
    <row r="29" customFormat="false" ht="23.85" hidden="false" customHeight="false" outlineLevel="0" collapsed="false">
      <c r="A29" s="19" t="s">
        <v>149</v>
      </c>
      <c r="B29" s="19" t="s">
        <v>150</v>
      </c>
      <c r="C29" s="20" t="n">
        <v>1</v>
      </c>
      <c r="D29" s="21" t="s">
        <v>44</v>
      </c>
      <c r="E29" s="22" t="n">
        <v>280</v>
      </c>
      <c r="F29" s="23" t="n">
        <f aca="false">C29*E29</f>
        <v>280</v>
      </c>
      <c r="G29" s="24" t="n">
        <v>16</v>
      </c>
      <c r="H29" s="21" t="s">
        <v>36</v>
      </c>
      <c r="I29" s="21"/>
      <c r="J29" s="19"/>
    </row>
    <row r="30" customFormat="false" ht="15" hidden="false" customHeight="false" outlineLevel="0" collapsed="false">
      <c r="A30" s="19" t="s">
        <v>151</v>
      </c>
      <c r="B30" s="19" t="s">
        <v>152</v>
      </c>
      <c r="C30" s="20" t="n">
        <v>1</v>
      </c>
      <c r="D30" s="21" t="s">
        <v>44</v>
      </c>
      <c r="E30" s="22" t="n">
        <v>60</v>
      </c>
      <c r="F30" s="23" t="n">
        <f aca="false">C30*E30</f>
        <v>60</v>
      </c>
      <c r="G30" s="24" t="n">
        <v>1</v>
      </c>
      <c r="H30" s="21" t="s">
        <v>69</v>
      </c>
      <c r="I30" s="21"/>
      <c r="J30" s="19"/>
    </row>
    <row r="31" customFormat="false" ht="15" hidden="false" customHeight="false" outlineLevel="0" collapsed="false">
      <c r="A31" s="26" t="s">
        <v>82</v>
      </c>
      <c r="B31" s="27"/>
      <c r="C31" s="27"/>
      <c r="D31" s="27"/>
      <c r="E31" s="27"/>
      <c r="F31" s="27"/>
      <c r="G31" s="27"/>
      <c r="H31" s="27"/>
      <c r="I31" s="27"/>
      <c r="J31" s="27"/>
    </row>
    <row r="32" customFormat="false" ht="23.85" hidden="false" customHeight="false" outlineLevel="0" collapsed="false">
      <c r="A32" s="19" t="s">
        <v>153</v>
      </c>
      <c r="B32" s="19" t="s">
        <v>154</v>
      </c>
      <c r="C32" s="20" t="n">
        <v>1</v>
      </c>
      <c r="D32" s="21" t="s">
        <v>44</v>
      </c>
      <c r="E32" s="22" t="n">
        <v>60</v>
      </c>
      <c r="F32" s="23" t="n">
        <f aca="false">C32*E32</f>
        <v>60</v>
      </c>
      <c r="G32" s="24" t="n">
        <v>0</v>
      </c>
      <c r="H32" s="21" t="s">
        <v>36</v>
      </c>
      <c r="I32" s="21"/>
      <c r="J32" s="19" t="s">
        <v>155</v>
      </c>
    </row>
    <row r="33" customFormat="false" ht="23.85" hidden="false" customHeight="false" outlineLevel="0" collapsed="false">
      <c r="A33" s="19" t="s">
        <v>156</v>
      </c>
      <c r="B33" s="19" t="s">
        <v>157</v>
      </c>
      <c r="C33" s="20" t="n">
        <v>1</v>
      </c>
      <c r="D33" s="21" t="s">
        <v>44</v>
      </c>
      <c r="E33" s="22" t="n">
        <v>45</v>
      </c>
      <c r="F33" s="23" t="n">
        <f aca="false">C33*E33</f>
        <v>45</v>
      </c>
      <c r="G33" s="24" t="n">
        <v>0</v>
      </c>
      <c r="H33" s="21" t="s">
        <v>36</v>
      </c>
      <c r="I33" s="21"/>
      <c r="J33" s="19"/>
    </row>
    <row r="34" customFormat="false" ht="15" hidden="false" customHeight="false" outlineLevel="0" collapsed="false">
      <c r="A34" s="19" t="s">
        <v>158</v>
      </c>
      <c r="B34" s="19" t="s">
        <v>159</v>
      </c>
      <c r="C34" s="20" t="n">
        <v>1</v>
      </c>
      <c r="D34" s="21" t="s">
        <v>44</v>
      </c>
      <c r="E34" s="22" t="n">
        <v>20</v>
      </c>
      <c r="F34" s="23" t="n">
        <f aca="false">C34*E34</f>
        <v>20</v>
      </c>
      <c r="G34" s="24" t="n">
        <v>0</v>
      </c>
      <c r="H34" s="21" t="s">
        <v>36</v>
      </c>
      <c r="I34" s="21"/>
      <c r="J34" s="19"/>
    </row>
    <row r="35" customFormat="false" ht="35.05" hidden="false" customHeight="false" outlineLevel="0" collapsed="false">
      <c r="A35" s="19" t="s">
        <v>160</v>
      </c>
      <c r="B35" s="19" t="s">
        <v>161</v>
      </c>
      <c r="C35" s="20" t="n">
        <v>1</v>
      </c>
      <c r="D35" s="21" t="s">
        <v>44</v>
      </c>
      <c r="E35" s="22" t="n">
        <v>160</v>
      </c>
      <c r="F35" s="23" t="n">
        <f aca="false">C35*E35</f>
        <v>160</v>
      </c>
      <c r="G35" s="24" t="n">
        <v>0</v>
      </c>
      <c r="H35" s="21" t="s">
        <v>36</v>
      </c>
      <c r="I35" s="21"/>
      <c r="J35" s="19" t="s">
        <v>162</v>
      </c>
    </row>
    <row r="36" customFormat="false" ht="23.85" hidden="false" customHeight="false" outlineLevel="0" collapsed="false">
      <c r="A36" s="19" t="s">
        <v>163</v>
      </c>
      <c r="B36" s="19"/>
      <c r="C36" s="20" t="n">
        <v>1</v>
      </c>
      <c r="D36" s="21" t="s">
        <v>44</v>
      </c>
      <c r="E36" s="22" t="n">
        <v>45</v>
      </c>
      <c r="F36" s="23" t="n">
        <f aca="false">C36*E36</f>
        <v>45</v>
      </c>
      <c r="G36" s="24" t="n">
        <v>0</v>
      </c>
      <c r="H36" s="21" t="s">
        <v>36</v>
      </c>
      <c r="I36" s="21"/>
      <c r="J36" s="19"/>
    </row>
    <row r="37" customFormat="false" ht="23.85" hidden="false" customHeight="false" outlineLevel="0" collapsed="false">
      <c r="A37" s="19" t="s">
        <v>164</v>
      </c>
      <c r="B37" s="19"/>
      <c r="C37" s="20" t="n">
        <v>1</v>
      </c>
      <c r="D37" s="21" t="s">
        <v>44</v>
      </c>
      <c r="E37" s="22" t="n">
        <v>95</v>
      </c>
      <c r="F37" s="23" t="n">
        <f aca="false">C37*E37</f>
        <v>95</v>
      </c>
      <c r="G37" s="24" t="n">
        <v>0</v>
      </c>
      <c r="H37" s="21" t="s">
        <v>36</v>
      </c>
      <c r="I37" s="21"/>
      <c r="J37" s="19"/>
    </row>
    <row r="38" customFormat="false" ht="15" hidden="false" customHeight="false" outlineLevel="0" collapsed="false">
      <c r="A38" s="19" t="s">
        <v>165</v>
      </c>
      <c r="B38" s="19" t="s">
        <v>166</v>
      </c>
      <c r="C38" s="20" t="n">
        <v>20</v>
      </c>
      <c r="D38" s="21" t="s">
        <v>68</v>
      </c>
      <c r="E38" s="25" t="n">
        <v>1.5</v>
      </c>
      <c r="F38" s="23" t="n">
        <f aca="false">C38*E38</f>
        <v>30</v>
      </c>
      <c r="G38" s="24" t="n">
        <v>0</v>
      </c>
      <c r="H38" s="21" t="s">
        <v>36</v>
      </c>
      <c r="I38" s="21"/>
      <c r="J38" s="19"/>
    </row>
    <row r="39" customFormat="false" ht="15" hidden="false" customHeight="false" outlineLevel="0" collapsed="false">
      <c r="A39" s="19" t="s">
        <v>167</v>
      </c>
      <c r="B39" s="19" t="s">
        <v>168</v>
      </c>
      <c r="C39" s="20" t="n">
        <v>1</v>
      </c>
      <c r="D39" s="21" t="s">
        <v>44</v>
      </c>
      <c r="E39" s="25" t="n">
        <v>0</v>
      </c>
      <c r="F39" s="23" t="n">
        <f aca="false">C39*E39</f>
        <v>0</v>
      </c>
      <c r="G39" s="24" t="n">
        <v>14.8</v>
      </c>
      <c r="H39" s="21" t="s">
        <v>36</v>
      </c>
      <c r="I39" s="21"/>
      <c r="J39" s="19"/>
    </row>
    <row r="41" customFormat="false" ht="15" hidden="false" customHeight="false" outlineLevel="0" collapsed="false">
      <c r="A41" s="7" t="s">
        <v>86</v>
      </c>
      <c r="B41" s="7"/>
      <c r="C41" s="7"/>
      <c r="D41" s="7"/>
      <c r="E41" s="7"/>
      <c r="F41" s="8" t="n">
        <f aca="false">SUM(F5:F39)</f>
        <v>6038</v>
      </c>
      <c r="G41" s="9" t="n">
        <f aca="false">SUM(G5:G39)</f>
        <v>389.4</v>
      </c>
      <c r="H41" s="7"/>
      <c r="I41" s="7"/>
      <c r="J41" s="7"/>
    </row>
    <row r="42" customFormat="false" ht="15" hidden="false" customHeight="false" outlineLevel="0" collapsed="false">
      <c r="A42" s="4" t="s">
        <v>87</v>
      </c>
      <c r="G42" s="28" t="n">
        <f aca="false">SUMIF(H5:H39,"Y",G5:G39)</f>
        <v>385.4</v>
      </c>
    </row>
    <row r="43" customFormat="false" ht="15" hidden="false" customHeight="false" outlineLevel="0" collapsed="false">
      <c r="A43" s="4" t="s">
        <v>88</v>
      </c>
      <c r="G43" s="28" t="n">
        <f aca="false">SUMIF(H5:H39,"N",G5:G39)</f>
        <v>4</v>
      </c>
    </row>
    <row r="44" customFormat="false" ht="15" hidden="false" customHeight="false" outlineLevel="0" collapsed="false">
      <c r="A44" s="4" t="s">
        <v>89</v>
      </c>
      <c r="G44" s="15" t="n">
        <v>385.4</v>
      </c>
      <c r="J44" s="2" t="s">
        <v>90</v>
      </c>
    </row>
  </sheetData>
  <hyperlinks>
    <hyperlink ref="I5" r:id="rId1" display="https://www.car-part.com"/>
    <hyperlink ref="I25" r:id="rId2" display="https://warpdriveinc.com/product/3-bld-prop-hpl-hub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4" min="3" style="0" width="7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24</v>
      </c>
    </row>
    <row r="4" customFormat="false" ht="23.85" hidden="false" customHeight="false" outlineLevel="0" collapsed="false">
      <c r="A4" s="18" t="s">
        <v>25</v>
      </c>
      <c r="B4" s="18" t="s">
        <v>26</v>
      </c>
      <c r="C4" s="18" t="s">
        <v>27</v>
      </c>
      <c r="D4" s="18" t="s">
        <v>28</v>
      </c>
      <c r="E4" s="18" t="s">
        <v>29</v>
      </c>
      <c r="F4" s="18" t="s">
        <v>3</v>
      </c>
      <c r="G4" s="18" t="s">
        <v>4</v>
      </c>
      <c r="H4" s="18" t="s">
        <v>30</v>
      </c>
      <c r="I4" s="18" t="s">
        <v>31</v>
      </c>
      <c r="J4" s="18" t="s">
        <v>32</v>
      </c>
    </row>
    <row r="5" customFormat="false" ht="15" hidden="false" customHeight="false" outlineLevel="0" collapsed="false">
      <c r="A5" s="26" t="s">
        <v>170</v>
      </c>
      <c r="B5" s="27"/>
      <c r="C5" s="27"/>
      <c r="D5" s="27"/>
      <c r="E5" s="27"/>
      <c r="F5" s="27"/>
      <c r="G5" s="27"/>
      <c r="H5" s="27"/>
      <c r="I5" s="27"/>
      <c r="J5" s="27"/>
    </row>
    <row r="6" customFormat="false" ht="15" hidden="false" customHeight="false" outlineLevel="0" collapsed="false">
      <c r="A6" s="19" t="s">
        <v>171</v>
      </c>
      <c r="B6" s="19" t="s">
        <v>172</v>
      </c>
      <c r="C6" s="20" t="n">
        <v>40</v>
      </c>
      <c r="D6" s="21" t="s">
        <v>130</v>
      </c>
      <c r="E6" s="25" t="n">
        <v>3.5</v>
      </c>
      <c r="F6" s="23" t="n">
        <f aca="false">C6*E6</f>
        <v>140</v>
      </c>
      <c r="G6" s="24" t="n">
        <v>18.8</v>
      </c>
      <c r="H6" s="21" t="s">
        <v>36</v>
      </c>
      <c r="I6" s="21"/>
      <c r="J6" s="19"/>
    </row>
    <row r="7" customFormat="false" ht="15" hidden="false" customHeight="false" outlineLevel="0" collapsed="false">
      <c r="A7" s="19" t="s">
        <v>173</v>
      </c>
      <c r="B7" s="19" t="s">
        <v>174</v>
      </c>
      <c r="C7" s="20" t="n">
        <v>1</v>
      </c>
      <c r="D7" s="21" t="s">
        <v>175</v>
      </c>
      <c r="E7" s="22" t="n">
        <v>150</v>
      </c>
      <c r="F7" s="23" t="n">
        <f aca="false">C7*E7</f>
        <v>150</v>
      </c>
      <c r="G7" s="24" t="n">
        <v>0</v>
      </c>
      <c r="H7" s="21" t="s">
        <v>36</v>
      </c>
      <c r="I7" s="21"/>
      <c r="J7" s="19" t="s">
        <v>176</v>
      </c>
    </row>
    <row r="8" customFormat="false" ht="15" hidden="false" customHeight="false" outlineLevel="0" collapsed="false">
      <c r="A8" s="19" t="s">
        <v>177</v>
      </c>
      <c r="B8" s="19" t="s">
        <v>178</v>
      </c>
      <c r="C8" s="20" t="n">
        <v>24</v>
      </c>
      <c r="D8" s="21" t="s">
        <v>130</v>
      </c>
      <c r="E8" s="25" t="n">
        <v>4</v>
      </c>
      <c r="F8" s="23" t="n">
        <f aca="false">C8*E8</f>
        <v>96</v>
      </c>
      <c r="G8" s="24" t="n">
        <v>15.5</v>
      </c>
      <c r="H8" s="21" t="s">
        <v>36</v>
      </c>
      <c r="I8" s="21"/>
      <c r="J8" s="19"/>
    </row>
    <row r="9" customFormat="false" ht="15" hidden="false" customHeight="false" outlineLevel="0" collapsed="false">
      <c r="A9" s="19" t="s">
        <v>179</v>
      </c>
      <c r="B9" s="19" t="s">
        <v>180</v>
      </c>
      <c r="C9" s="20" t="n">
        <v>5</v>
      </c>
      <c r="D9" s="21" t="s">
        <v>48</v>
      </c>
      <c r="E9" s="22" t="n">
        <v>10</v>
      </c>
      <c r="F9" s="23" t="n">
        <f aca="false">C9*E9</f>
        <v>50</v>
      </c>
      <c r="G9" s="24" t="n">
        <v>10.3</v>
      </c>
      <c r="H9" s="21" t="s">
        <v>36</v>
      </c>
      <c r="I9" s="21"/>
      <c r="J9" s="19" t="s">
        <v>181</v>
      </c>
    </row>
    <row r="10" customFormat="false" ht="15" hidden="false" customHeight="false" outlineLevel="0" collapsed="false">
      <c r="A10" s="19" t="s">
        <v>182</v>
      </c>
      <c r="B10" s="19" t="s">
        <v>183</v>
      </c>
      <c r="C10" s="20" t="n">
        <v>1</v>
      </c>
      <c r="D10" s="21" t="s">
        <v>184</v>
      </c>
      <c r="E10" s="22" t="n">
        <v>120</v>
      </c>
      <c r="F10" s="23" t="n">
        <f aca="false">C10*E10</f>
        <v>120</v>
      </c>
      <c r="G10" s="24" t="n">
        <v>17.3</v>
      </c>
      <c r="H10" s="21" t="s">
        <v>36</v>
      </c>
      <c r="I10" s="21"/>
      <c r="J10" s="19" t="s">
        <v>185</v>
      </c>
    </row>
    <row r="11" customFormat="false" ht="15" hidden="false" customHeight="false" outlineLevel="0" collapsed="false">
      <c r="A11" s="19" t="s">
        <v>186</v>
      </c>
      <c r="B11" s="19" t="s">
        <v>187</v>
      </c>
      <c r="C11" s="20" t="n">
        <v>1</v>
      </c>
      <c r="D11" s="21" t="s">
        <v>68</v>
      </c>
      <c r="E11" s="22" t="n">
        <v>15</v>
      </c>
      <c r="F11" s="23" t="n">
        <f aca="false">C11*E11</f>
        <v>15</v>
      </c>
      <c r="G11" s="24" t="n">
        <v>0.2</v>
      </c>
      <c r="H11" s="21" t="s">
        <v>36</v>
      </c>
      <c r="I11" s="21"/>
      <c r="J11" s="19"/>
    </row>
    <row r="12" customFormat="false" ht="15" hidden="false" customHeight="false" outlineLevel="0" collapsed="false">
      <c r="A12" s="19" t="s">
        <v>188</v>
      </c>
      <c r="B12" s="19"/>
      <c r="C12" s="20" t="n">
        <v>1</v>
      </c>
      <c r="D12" s="21" t="s">
        <v>44</v>
      </c>
      <c r="E12" s="22" t="n">
        <v>120</v>
      </c>
      <c r="F12" s="23" t="n">
        <f aca="false">C12*E12</f>
        <v>120</v>
      </c>
      <c r="G12" s="24" t="n">
        <v>0</v>
      </c>
      <c r="H12" s="21" t="s">
        <v>69</v>
      </c>
      <c r="I12" s="21"/>
      <c r="J12" s="19"/>
    </row>
    <row r="13" customFormat="false" ht="15" hidden="false" customHeight="false" outlineLevel="0" collapsed="false">
      <c r="A13" s="26" t="s">
        <v>189</v>
      </c>
      <c r="B13" s="27"/>
      <c r="C13" s="27"/>
      <c r="D13" s="27"/>
      <c r="E13" s="27"/>
      <c r="F13" s="27"/>
      <c r="G13" s="27"/>
      <c r="H13" s="27"/>
      <c r="I13" s="27"/>
      <c r="J13" s="27"/>
    </row>
    <row r="14" customFormat="false" ht="15" hidden="false" customHeight="false" outlineLevel="0" collapsed="false">
      <c r="A14" s="19" t="s">
        <v>190</v>
      </c>
      <c r="B14" s="19" t="s">
        <v>191</v>
      </c>
      <c r="C14" s="20" t="n">
        <v>1</v>
      </c>
      <c r="D14" s="21" t="s">
        <v>35</v>
      </c>
      <c r="E14" s="22" t="n">
        <v>380</v>
      </c>
      <c r="F14" s="23" t="n">
        <f aca="false">C14*E14</f>
        <v>380</v>
      </c>
      <c r="G14" s="24" t="n">
        <v>11.9</v>
      </c>
      <c r="H14" s="21" t="s">
        <v>36</v>
      </c>
      <c r="I14" s="29" t="s">
        <v>192</v>
      </c>
      <c r="J14" s="19" t="s">
        <v>193</v>
      </c>
    </row>
    <row r="15" customFormat="false" ht="23.85" hidden="false" customHeight="false" outlineLevel="0" collapsed="false">
      <c r="A15" s="19" t="s">
        <v>194</v>
      </c>
      <c r="B15" s="19" t="s">
        <v>195</v>
      </c>
      <c r="C15" s="20" t="n">
        <v>1</v>
      </c>
      <c r="D15" s="21" t="s">
        <v>44</v>
      </c>
      <c r="E15" s="22" t="n">
        <v>90</v>
      </c>
      <c r="F15" s="23" t="n">
        <f aca="false">C15*E15</f>
        <v>90</v>
      </c>
      <c r="G15" s="24" t="n">
        <v>5.6</v>
      </c>
      <c r="H15" s="21" t="s">
        <v>36</v>
      </c>
      <c r="I15" s="21"/>
      <c r="J15" s="19"/>
    </row>
    <row r="16" customFormat="false" ht="15" hidden="false" customHeight="false" outlineLevel="0" collapsed="false">
      <c r="A16" s="19" t="s">
        <v>196</v>
      </c>
      <c r="B16" s="19" t="s">
        <v>197</v>
      </c>
      <c r="C16" s="20" t="n">
        <v>4</v>
      </c>
      <c r="D16" s="21" t="s">
        <v>68</v>
      </c>
      <c r="E16" s="22" t="n">
        <v>10</v>
      </c>
      <c r="F16" s="23" t="n">
        <f aca="false">C16*E16</f>
        <v>40</v>
      </c>
      <c r="G16" s="24" t="n">
        <v>0</v>
      </c>
      <c r="H16" s="21" t="s">
        <v>69</v>
      </c>
      <c r="I16" s="21"/>
      <c r="J16" s="19"/>
    </row>
    <row r="17" customFormat="false" ht="15" hidden="false" customHeight="false" outlineLevel="0" collapsed="false">
      <c r="A17" s="19" t="s">
        <v>198</v>
      </c>
      <c r="B17" s="19" t="s">
        <v>199</v>
      </c>
      <c r="C17" s="20" t="n">
        <v>1</v>
      </c>
      <c r="D17" s="21" t="s">
        <v>44</v>
      </c>
      <c r="E17" s="22" t="n">
        <v>130</v>
      </c>
      <c r="F17" s="23" t="n">
        <f aca="false">C17*E17</f>
        <v>130</v>
      </c>
      <c r="G17" s="24" t="n">
        <v>4.6</v>
      </c>
      <c r="H17" s="21" t="s">
        <v>36</v>
      </c>
      <c r="I17" s="21"/>
      <c r="J17" s="19"/>
    </row>
    <row r="18" customFormat="false" ht="15" hidden="false" customHeight="false" outlineLevel="0" collapsed="false">
      <c r="A18" s="26" t="s">
        <v>200</v>
      </c>
      <c r="B18" s="27"/>
      <c r="C18" s="27"/>
      <c r="D18" s="27"/>
      <c r="E18" s="27"/>
      <c r="F18" s="27"/>
      <c r="G18" s="27"/>
      <c r="H18" s="27"/>
      <c r="I18" s="27"/>
      <c r="J18" s="27"/>
    </row>
    <row r="19" customFormat="false" ht="23.85" hidden="false" customHeight="false" outlineLevel="0" collapsed="false">
      <c r="A19" s="19" t="s">
        <v>201</v>
      </c>
      <c r="B19" s="19" t="s">
        <v>202</v>
      </c>
      <c r="C19" s="20" t="n">
        <v>5</v>
      </c>
      <c r="D19" s="21" t="s">
        <v>35</v>
      </c>
      <c r="E19" s="22" t="n">
        <v>110</v>
      </c>
      <c r="F19" s="23" t="n">
        <f aca="false">C19*E19</f>
        <v>550</v>
      </c>
      <c r="G19" s="24" t="n">
        <v>61.7</v>
      </c>
      <c r="H19" s="21" t="s">
        <v>36</v>
      </c>
      <c r="I19" s="21"/>
      <c r="J19" s="19" t="s">
        <v>203</v>
      </c>
    </row>
    <row r="20" customFormat="false" ht="15" hidden="false" customHeight="false" outlineLevel="0" collapsed="false">
      <c r="A20" s="19" t="s">
        <v>204</v>
      </c>
      <c r="B20" s="19" t="s">
        <v>205</v>
      </c>
      <c r="C20" s="20" t="n">
        <v>1</v>
      </c>
      <c r="D20" s="21" t="s">
        <v>35</v>
      </c>
      <c r="E20" s="22" t="n">
        <v>150</v>
      </c>
      <c r="F20" s="23" t="n">
        <f aca="false">C20*E20</f>
        <v>150</v>
      </c>
      <c r="G20" s="24" t="n">
        <v>33.3</v>
      </c>
      <c r="H20" s="21" t="s">
        <v>36</v>
      </c>
      <c r="I20" s="21"/>
      <c r="J20" s="19"/>
    </row>
    <row r="21" customFormat="false" ht="15" hidden="false" customHeight="false" outlineLevel="0" collapsed="false">
      <c r="A21" s="19" t="s">
        <v>206</v>
      </c>
      <c r="B21" s="19" t="s">
        <v>207</v>
      </c>
      <c r="C21" s="20" t="n">
        <v>1</v>
      </c>
      <c r="D21" s="21" t="s">
        <v>44</v>
      </c>
      <c r="E21" s="22" t="n">
        <v>70</v>
      </c>
      <c r="F21" s="23" t="n">
        <f aca="false">C21*E21</f>
        <v>70</v>
      </c>
      <c r="G21" s="24" t="n">
        <v>0</v>
      </c>
      <c r="H21" s="21" t="s">
        <v>69</v>
      </c>
      <c r="I21" s="21"/>
      <c r="J21" s="19"/>
    </row>
    <row r="22" customFormat="false" ht="15" hidden="false" customHeight="false" outlineLevel="0" collapsed="false">
      <c r="A22" s="19" t="s">
        <v>208</v>
      </c>
      <c r="B22" s="19" t="s">
        <v>209</v>
      </c>
      <c r="C22" s="20" t="n">
        <v>1</v>
      </c>
      <c r="D22" s="21" t="s">
        <v>44</v>
      </c>
      <c r="E22" s="22" t="n">
        <v>130</v>
      </c>
      <c r="F22" s="23" t="n">
        <f aca="false">C22*E22</f>
        <v>130</v>
      </c>
      <c r="G22" s="24" t="n">
        <v>4</v>
      </c>
      <c r="H22" s="21" t="s">
        <v>36</v>
      </c>
      <c r="I22" s="21"/>
      <c r="J22" s="19"/>
    </row>
    <row r="23" customFormat="false" ht="15" hidden="false" customHeight="false" outlineLevel="0" collapsed="false">
      <c r="A23" s="19" t="s">
        <v>210</v>
      </c>
      <c r="B23" s="19" t="s">
        <v>211</v>
      </c>
      <c r="C23" s="20" t="n">
        <v>2</v>
      </c>
      <c r="D23" s="21" t="s">
        <v>68</v>
      </c>
      <c r="E23" s="22" t="n">
        <v>55</v>
      </c>
      <c r="F23" s="23" t="n">
        <f aca="false">C23*E23</f>
        <v>110</v>
      </c>
      <c r="G23" s="24" t="n">
        <v>10</v>
      </c>
      <c r="H23" s="21" t="s">
        <v>36</v>
      </c>
      <c r="I23" s="21"/>
      <c r="J23" s="19"/>
    </row>
    <row r="24" customFormat="false" ht="15" hidden="false" customHeight="false" outlineLevel="0" collapsed="false">
      <c r="A24" s="19" t="s">
        <v>212</v>
      </c>
      <c r="B24" s="19" t="s">
        <v>213</v>
      </c>
      <c r="C24" s="20" t="n">
        <v>2</v>
      </c>
      <c r="D24" s="21" t="s">
        <v>68</v>
      </c>
      <c r="E24" s="22" t="n">
        <v>22</v>
      </c>
      <c r="F24" s="23" t="n">
        <f aca="false">C24*E24</f>
        <v>44</v>
      </c>
      <c r="G24" s="24" t="n">
        <v>3</v>
      </c>
      <c r="H24" s="21" t="s">
        <v>36</v>
      </c>
      <c r="I24" s="21"/>
      <c r="J24" s="19"/>
    </row>
    <row r="25" customFormat="false" ht="15" hidden="false" customHeight="false" outlineLevel="0" collapsed="false">
      <c r="A25" s="19" t="s">
        <v>214</v>
      </c>
      <c r="B25" s="19" t="s">
        <v>215</v>
      </c>
      <c r="C25" s="20" t="n">
        <v>1</v>
      </c>
      <c r="D25" s="21" t="s">
        <v>68</v>
      </c>
      <c r="E25" s="22" t="n">
        <v>60</v>
      </c>
      <c r="F25" s="23" t="n">
        <f aca="false">C25*E25</f>
        <v>60</v>
      </c>
      <c r="G25" s="24" t="n">
        <v>5</v>
      </c>
      <c r="H25" s="21" t="s">
        <v>36</v>
      </c>
      <c r="I25" s="21"/>
      <c r="J25" s="19"/>
    </row>
    <row r="26" customFormat="false" ht="15" hidden="false" customHeight="false" outlineLevel="0" collapsed="false">
      <c r="A26" s="19" t="s">
        <v>216</v>
      </c>
      <c r="B26" s="19" t="s">
        <v>217</v>
      </c>
      <c r="C26" s="20" t="n">
        <v>1</v>
      </c>
      <c r="D26" s="21" t="s">
        <v>68</v>
      </c>
      <c r="E26" s="22" t="n">
        <v>45</v>
      </c>
      <c r="F26" s="23" t="n">
        <f aca="false">C26*E26</f>
        <v>45</v>
      </c>
      <c r="G26" s="24" t="n">
        <v>4</v>
      </c>
      <c r="H26" s="21" t="s">
        <v>36</v>
      </c>
      <c r="I26" s="21"/>
      <c r="J26" s="19"/>
    </row>
    <row r="27" customFormat="false" ht="15" hidden="false" customHeight="false" outlineLevel="0" collapsed="false">
      <c r="A27" s="19" t="s">
        <v>218</v>
      </c>
      <c r="B27" s="19" t="s">
        <v>219</v>
      </c>
      <c r="C27" s="20" t="n">
        <v>1</v>
      </c>
      <c r="D27" s="21" t="s">
        <v>68</v>
      </c>
      <c r="E27" s="22" t="n">
        <v>45</v>
      </c>
      <c r="F27" s="23" t="n">
        <f aca="false">C27*E27</f>
        <v>45</v>
      </c>
      <c r="G27" s="24" t="n">
        <v>2</v>
      </c>
      <c r="H27" s="21" t="s">
        <v>36</v>
      </c>
      <c r="I27" s="21"/>
      <c r="J27" s="19"/>
    </row>
    <row r="28" customFormat="false" ht="15" hidden="false" customHeight="false" outlineLevel="0" collapsed="false">
      <c r="A28" s="19" t="s">
        <v>220</v>
      </c>
      <c r="B28" s="19" t="s">
        <v>221</v>
      </c>
      <c r="C28" s="20" t="n">
        <v>1</v>
      </c>
      <c r="D28" s="21" t="s">
        <v>68</v>
      </c>
      <c r="E28" s="22" t="n">
        <v>70</v>
      </c>
      <c r="F28" s="23" t="n">
        <f aca="false">C28*E28</f>
        <v>70</v>
      </c>
      <c r="G28" s="24" t="n">
        <v>7</v>
      </c>
      <c r="H28" s="21" t="s">
        <v>36</v>
      </c>
      <c r="I28" s="21"/>
      <c r="J28" s="19"/>
    </row>
    <row r="29" customFormat="false" ht="15" hidden="false" customHeight="false" outlineLevel="0" collapsed="false">
      <c r="A29" s="19" t="s">
        <v>222</v>
      </c>
      <c r="B29" s="19" t="s">
        <v>223</v>
      </c>
      <c r="C29" s="20" t="n">
        <v>1</v>
      </c>
      <c r="D29" s="21" t="s">
        <v>68</v>
      </c>
      <c r="E29" s="22" t="n">
        <v>55</v>
      </c>
      <c r="F29" s="23" t="n">
        <f aca="false">C29*E29</f>
        <v>55</v>
      </c>
      <c r="G29" s="24" t="n">
        <v>4</v>
      </c>
      <c r="H29" s="21" t="s">
        <v>36</v>
      </c>
      <c r="I29" s="21"/>
      <c r="J29" s="19"/>
    </row>
    <row r="30" customFormat="false" ht="15" hidden="false" customHeight="false" outlineLevel="0" collapsed="false">
      <c r="A30" s="19" t="s">
        <v>224</v>
      </c>
      <c r="B30" s="19" t="s">
        <v>225</v>
      </c>
      <c r="C30" s="20" t="n">
        <v>1</v>
      </c>
      <c r="D30" s="21" t="s">
        <v>44</v>
      </c>
      <c r="E30" s="22" t="n">
        <v>120</v>
      </c>
      <c r="F30" s="23" t="n">
        <f aca="false">C30*E30</f>
        <v>120</v>
      </c>
      <c r="G30" s="24" t="n">
        <v>4.5</v>
      </c>
      <c r="H30" s="21" t="s">
        <v>36</v>
      </c>
      <c r="I30" s="21"/>
      <c r="J30" s="19" t="s">
        <v>226</v>
      </c>
    </row>
    <row r="31" customFormat="false" ht="15" hidden="false" customHeight="false" outlineLevel="0" collapsed="false">
      <c r="A31" s="19" t="s">
        <v>227</v>
      </c>
      <c r="B31" s="19" t="s">
        <v>228</v>
      </c>
      <c r="C31" s="20" t="n">
        <v>1</v>
      </c>
      <c r="D31" s="21" t="s">
        <v>68</v>
      </c>
      <c r="E31" s="22" t="n">
        <v>150</v>
      </c>
      <c r="F31" s="23" t="n">
        <f aca="false">C31*E31</f>
        <v>150</v>
      </c>
      <c r="G31" s="24" t="n">
        <v>38</v>
      </c>
      <c r="H31" s="21" t="s">
        <v>36</v>
      </c>
      <c r="I31" s="21"/>
      <c r="J31" s="19" t="s">
        <v>229</v>
      </c>
    </row>
    <row r="32" customFormat="false" ht="15" hidden="false" customHeight="false" outlineLevel="0" collapsed="false">
      <c r="A32" s="19" t="s">
        <v>230</v>
      </c>
      <c r="B32" s="19" t="s">
        <v>231</v>
      </c>
      <c r="C32" s="20" t="n">
        <v>1</v>
      </c>
      <c r="D32" s="21" t="s">
        <v>68</v>
      </c>
      <c r="E32" s="22" t="n">
        <v>60</v>
      </c>
      <c r="F32" s="23" t="n">
        <f aca="false">C32*E32</f>
        <v>60</v>
      </c>
      <c r="G32" s="24" t="n">
        <v>4</v>
      </c>
      <c r="H32" s="21" t="s">
        <v>36</v>
      </c>
      <c r="I32" s="21"/>
      <c r="J32" s="19"/>
    </row>
    <row r="33" customFormat="false" ht="15" hidden="false" customHeight="false" outlineLevel="0" collapsed="false">
      <c r="A33" s="26" t="s">
        <v>232</v>
      </c>
      <c r="B33" s="27"/>
      <c r="C33" s="27"/>
      <c r="D33" s="27"/>
      <c r="E33" s="27"/>
      <c r="F33" s="27"/>
      <c r="G33" s="27"/>
      <c r="H33" s="27"/>
      <c r="I33" s="27"/>
      <c r="J33" s="27"/>
    </row>
    <row r="34" customFormat="false" ht="35.05" hidden="false" customHeight="false" outlineLevel="0" collapsed="false">
      <c r="A34" s="19" t="s">
        <v>233</v>
      </c>
      <c r="B34" s="19" t="s">
        <v>234</v>
      </c>
      <c r="C34" s="20" t="n">
        <v>2</v>
      </c>
      <c r="D34" s="21" t="s">
        <v>98</v>
      </c>
      <c r="E34" s="22" t="n">
        <v>115</v>
      </c>
      <c r="F34" s="23" t="n">
        <f aca="false">C34*E34</f>
        <v>230</v>
      </c>
      <c r="G34" s="24" t="n">
        <v>19</v>
      </c>
      <c r="H34" s="21" t="s">
        <v>36</v>
      </c>
      <c r="I34" s="21"/>
      <c r="J34" s="19" t="s">
        <v>235</v>
      </c>
    </row>
    <row r="35" customFormat="false" ht="23.85" hidden="false" customHeight="false" outlineLevel="0" collapsed="false">
      <c r="A35" s="19" t="s">
        <v>236</v>
      </c>
      <c r="B35" s="19" t="s">
        <v>237</v>
      </c>
      <c r="C35" s="20" t="n">
        <v>1</v>
      </c>
      <c r="D35" s="21" t="s">
        <v>44</v>
      </c>
      <c r="E35" s="22" t="n">
        <v>100</v>
      </c>
      <c r="F35" s="23" t="n">
        <f aca="false">C35*E35</f>
        <v>100</v>
      </c>
      <c r="G35" s="24" t="n">
        <v>3.7</v>
      </c>
      <c r="H35" s="21" t="s">
        <v>36</v>
      </c>
      <c r="I35" s="21"/>
      <c r="J35" s="19" t="s">
        <v>238</v>
      </c>
    </row>
    <row r="36" customFormat="false" ht="23.85" hidden="false" customHeight="false" outlineLevel="0" collapsed="false">
      <c r="A36" s="19" t="s">
        <v>239</v>
      </c>
      <c r="B36" s="19" t="s">
        <v>240</v>
      </c>
      <c r="C36" s="20" t="n">
        <v>1</v>
      </c>
      <c r="D36" s="21" t="s">
        <v>35</v>
      </c>
      <c r="E36" s="22" t="n">
        <v>35</v>
      </c>
      <c r="F36" s="23" t="n">
        <f aca="false">C36*E36</f>
        <v>35</v>
      </c>
      <c r="G36" s="24" t="n">
        <v>2.1</v>
      </c>
      <c r="H36" s="21" t="s">
        <v>36</v>
      </c>
      <c r="I36" s="21"/>
      <c r="J36" s="19"/>
    </row>
    <row r="37" customFormat="false" ht="23.85" hidden="false" customHeight="false" outlineLevel="0" collapsed="false">
      <c r="A37" s="19" t="s">
        <v>241</v>
      </c>
      <c r="B37" s="19" t="s">
        <v>242</v>
      </c>
      <c r="C37" s="20" t="n">
        <v>1</v>
      </c>
      <c r="D37" s="21" t="s">
        <v>44</v>
      </c>
      <c r="E37" s="22" t="n">
        <v>215</v>
      </c>
      <c r="F37" s="23" t="n">
        <f aca="false">C37*E37</f>
        <v>215</v>
      </c>
      <c r="G37" s="24" t="n">
        <v>12.8</v>
      </c>
      <c r="H37" s="21" t="s">
        <v>36</v>
      </c>
      <c r="I37" s="21"/>
      <c r="J37" s="19" t="s">
        <v>243</v>
      </c>
    </row>
    <row r="38" customFormat="false" ht="15" hidden="false" customHeight="false" outlineLevel="0" collapsed="false">
      <c r="A38" s="19" t="s">
        <v>244</v>
      </c>
      <c r="B38" s="19" t="s">
        <v>245</v>
      </c>
      <c r="C38" s="20" t="n">
        <v>8</v>
      </c>
      <c r="D38" s="21" t="s">
        <v>68</v>
      </c>
      <c r="E38" s="22" t="n">
        <v>14</v>
      </c>
      <c r="F38" s="23" t="n">
        <f aca="false">C38*E38</f>
        <v>112</v>
      </c>
      <c r="G38" s="24" t="n">
        <v>3.6</v>
      </c>
      <c r="H38" s="21" t="s">
        <v>36</v>
      </c>
      <c r="I38" s="21"/>
      <c r="J38" s="19" t="s">
        <v>246</v>
      </c>
    </row>
    <row r="39" customFormat="false" ht="23.85" hidden="false" customHeight="false" outlineLevel="0" collapsed="false">
      <c r="A39" s="19" t="s">
        <v>247</v>
      </c>
      <c r="B39" s="19" t="s">
        <v>248</v>
      </c>
      <c r="C39" s="20" t="n">
        <v>1</v>
      </c>
      <c r="D39" s="21" t="s">
        <v>68</v>
      </c>
      <c r="E39" s="22" t="n">
        <v>60</v>
      </c>
      <c r="F39" s="23" t="n">
        <f aca="false">C39*E39</f>
        <v>60</v>
      </c>
      <c r="G39" s="24" t="n">
        <v>2.5</v>
      </c>
      <c r="H39" s="21" t="s">
        <v>36</v>
      </c>
      <c r="I39" s="21"/>
      <c r="J39" s="19"/>
    </row>
    <row r="40" customFormat="false" ht="15" hidden="false" customHeight="false" outlineLevel="0" collapsed="false">
      <c r="A40" s="19" t="s">
        <v>249</v>
      </c>
      <c r="B40" s="19" t="s">
        <v>250</v>
      </c>
      <c r="C40" s="20" t="n">
        <v>1</v>
      </c>
      <c r="D40" s="21" t="s">
        <v>68</v>
      </c>
      <c r="E40" s="22" t="n">
        <v>90</v>
      </c>
      <c r="F40" s="23" t="n">
        <f aca="false">C40*E40</f>
        <v>90</v>
      </c>
      <c r="G40" s="24" t="n">
        <v>2.5</v>
      </c>
      <c r="H40" s="21" t="s">
        <v>36</v>
      </c>
      <c r="I40" s="21"/>
      <c r="J40" s="19"/>
    </row>
    <row r="41" customFormat="false" ht="15" hidden="false" customHeight="false" outlineLevel="0" collapsed="false">
      <c r="A41" s="19" t="s">
        <v>251</v>
      </c>
      <c r="B41" s="19" t="s">
        <v>252</v>
      </c>
      <c r="C41" s="20" t="n">
        <v>1</v>
      </c>
      <c r="D41" s="21" t="s">
        <v>44</v>
      </c>
      <c r="E41" s="22" t="n">
        <v>35</v>
      </c>
      <c r="F41" s="23" t="n">
        <f aca="false">C41*E41</f>
        <v>35</v>
      </c>
      <c r="G41" s="24" t="n">
        <v>1</v>
      </c>
      <c r="H41" s="21" t="s">
        <v>36</v>
      </c>
      <c r="I41" s="21"/>
      <c r="J41" s="19"/>
    </row>
    <row r="42" customFormat="false" ht="15" hidden="false" customHeight="false" outlineLevel="0" collapsed="false">
      <c r="A42" s="19" t="s">
        <v>253</v>
      </c>
      <c r="B42" s="19" t="s">
        <v>254</v>
      </c>
      <c r="C42" s="20" t="n">
        <v>1</v>
      </c>
      <c r="D42" s="21" t="s">
        <v>68</v>
      </c>
      <c r="E42" s="22" t="n">
        <v>45</v>
      </c>
      <c r="F42" s="23" t="n">
        <f aca="false">C42*E42</f>
        <v>45</v>
      </c>
      <c r="G42" s="24" t="n">
        <v>0.5</v>
      </c>
      <c r="H42" s="21" t="s">
        <v>36</v>
      </c>
      <c r="I42" s="21"/>
      <c r="J42" s="19" t="s">
        <v>255</v>
      </c>
    </row>
    <row r="43" customFormat="false" ht="15" hidden="false" customHeight="false" outlineLevel="0" collapsed="false">
      <c r="A43" s="19" t="s">
        <v>256</v>
      </c>
      <c r="B43" s="19" t="s">
        <v>257</v>
      </c>
      <c r="C43" s="20" t="n">
        <v>1</v>
      </c>
      <c r="D43" s="21" t="s">
        <v>68</v>
      </c>
      <c r="E43" s="22" t="n">
        <v>12</v>
      </c>
      <c r="F43" s="23" t="n">
        <f aca="false">C43*E43</f>
        <v>12</v>
      </c>
      <c r="G43" s="24" t="n">
        <v>0.2</v>
      </c>
      <c r="H43" s="21" t="s">
        <v>36</v>
      </c>
      <c r="I43" s="21"/>
      <c r="J43" s="19" t="s">
        <v>258</v>
      </c>
    </row>
    <row r="44" customFormat="false" ht="23.85" hidden="false" customHeight="false" outlineLevel="0" collapsed="false">
      <c r="A44" s="19" t="s">
        <v>259</v>
      </c>
      <c r="B44" s="19" t="s">
        <v>260</v>
      </c>
      <c r="C44" s="20" t="n">
        <v>1</v>
      </c>
      <c r="D44" s="21" t="s">
        <v>68</v>
      </c>
      <c r="E44" s="22" t="n">
        <v>25</v>
      </c>
      <c r="F44" s="23" t="n">
        <f aca="false">C44*E44</f>
        <v>25</v>
      </c>
      <c r="G44" s="24" t="n">
        <v>0</v>
      </c>
      <c r="H44" s="21" t="s">
        <v>69</v>
      </c>
      <c r="I44" s="21"/>
      <c r="J44" s="19"/>
    </row>
    <row r="45" customFormat="false" ht="23.85" hidden="false" customHeight="false" outlineLevel="0" collapsed="false">
      <c r="A45" s="19" t="s">
        <v>261</v>
      </c>
      <c r="B45" s="19" t="s">
        <v>262</v>
      </c>
      <c r="C45" s="20" t="n">
        <v>1</v>
      </c>
      <c r="D45" s="21" t="s">
        <v>68</v>
      </c>
      <c r="E45" s="22" t="n">
        <v>35</v>
      </c>
      <c r="F45" s="23" t="n">
        <f aca="false">C45*E45</f>
        <v>35</v>
      </c>
      <c r="G45" s="24" t="n">
        <v>0</v>
      </c>
      <c r="H45" s="21" t="s">
        <v>69</v>
      </c>
      <c r="I45" s="21"/>
      <c r="J45" s="19" t="s">
        <v>263</v>
      </c>
    </row>
    <row r="46" customFormat="false" ht="23.85" hidden="false" customHeight="false" outlineLevel="0" collapsed="false">
      <c r="A46" s="19" t="s">
        <v>264</v>
      </c>
      <c r="B46" s="19" t="s">
        <v>265</v>
      </c>
      <c r="C46" s="20" t="n">
        <v>1</v>
      </c>
      <c r="D46" s="21" t="s">
        <v>44</v>
      </c>
      <c r="E46" s="22" t="n">
        <v>60</v>
      </c>
      <c r="F46" s="23" t="n">
        <f aca="false">C46*E46</f>
        <v>60</v>
      </c>
      <c r="G46" s="24" t="n">
        <v>0</v>
      </c>
      <c r="H46" s="21" t="s">
        <v>69</v>
      </c>
      <c r="I46" s="21"/>
      <c r="J46" s="19"/>
    </row>
    <row r="47" customFormat="false" ht="15" hidden="false" customHeight="false" outlineLevel="0" collapsed="false">
      <c r="A47" s="26" t="s">
        <v>266</v>
      </c>
      <c r="B47" s="27"/>
      <c r="C47" s="27"/>
      <c r="D47" s="27"/>
      <c r="E47" s="27"/>
      <c r="F47" s="27"/>
      <c r="G47" s="27"/>
      <c r="H47" s="27"/>
      <c r="I47" s="27"/>
      <c r="J47" s="27"/>
    </row>
    <row r="48" customFormat="false" ht="23.85" hidden="false" customHeight="false" outlineLevel="0" collapsed="false">
      <c r="A48" s="19" t="s">
        <v>267</v>
      </c>
      <c r="B48" s="19"/>
      <c r="C48" s="20" t="n">
        <v>1</v>
      </c>
      <c r="D48" s="21" t="s">
        <v>44</v>
      </c>
      <c r="E48" s="22" t="n">
        <v>180</v>
      </c>
      <c r="F48" s="23" t="n">
        <f aca="false">C48*E48</f>
        <v>180</v>
      </c>
      <c r="G48" s="24" t="n">
        <v>5</v>
      </c>
      <c r="H48" s="21" t="s">
        <v>69</v>
      </c>
      <c r="I48" s="21"/>
      <c r="J48" s="19"/>
    </row>
    <row r="49" customFormat="false" ht="15" hidden="false" customHeight="false" outlineLevel="0" collapsed="false">
      <c r="A49" s="19" t="s">
        <v>268</v>
      </c>
      <c r="B49" s="19"/>
      <c r="C49" s="20" t="n">
        <v>1</v>
      </c>
      <c r="D49" s="21" t="s">
        <v>44</v>
      </c>
      <c r="E49" s="22" t="n">
        <v>160</v>
      </c>
      <c r="F49" s="23" t="n">
        <f aca="false">C49*E49</f>
        <v>160</v>
      </c>
      <c r="G49" s="24" t="n">
        <v>2</v>
      </c>
      <c r="H49" s="21" t="s">
        <v>69</v>
      </c>
      <c r="I49" s="21"/>
      <c r="J49" s="19"/>
    </row>
    <row r="50" customFormat="false" ht="15" hidden="false" customHeight="false" outlineLevel="0" collapsed="false">
      <c r="A50" s="19" t="s">
        <v>269</v>
      </c>
      <c r="B50" s="19" t="s">
        <v>270</v>
      </c>
      <c r="C50" s="20" t="n">
        <v>1</v>
      </c>
      <c r="D50" s="21" t="s">
        <v>76</v>
      </c>
      <c r="E50" s="22" t="n">
        <v>90</v>
      </c>
      <c r="F50" s="23" t="n">
        <f aca="false">C50*E50</f>
        <v>90</v>
      </c>
      <c r="G50" s="24" t="n">
        <v>2</v>
      </c>
      <c r="H50" s="21" t="s">
        <v>69</v>
      </c>
      <c r="I50" s="21"/>
      <c r="J50" s="19"/>
    </row>
    <row r="51" customFormat="false" ht="15" hidden="false" customHeight="false" outlineLevel="0" collapsed="false">
      <c r="A51" s="19" t="s">
        <v>271</v>
      </c>
      <c r="B51" s="19" t="s">
        <v>272</v>
      </c>
      <c r="C51" s="20" t="n">
        <v>1</v>
      </c>
      <c r="D51" s="21" t="s">
        <v>44</v>
      </c>
      <c r="E51" s="22" t="n">
        <v>200</v>
      </c>
      <c r="F51" s="23" t="n">
        <f aca="false">C51*E51</f>
        <v>200</v>
      </c>
      <c r="G51" s="24" t="n">
        <v>0</v>
      </c>
      <c r="H51" s="21" t="s">
        <v>69</v>
      </c>
      <c r="I51" s="21"/>
      <c r="J51" s="19" t="s">
        <v>273</v>
      </c>
    </row>
    <row r="52" customFormat="false" ht="15" hidden="false" customHeight="false" outlineLevel="0" collapsed="false">
      <c r="A52" s="19" t="s">
        <v>274</v>
      </c>
      <c r="B52" s="19"/>
      <c r="C52" s="20" t="n">
        <v>1</v>
      </c>
      <c r="D52" s="21" t="s">
        <v>44</v>
      </c>
      <c r="E52" s="22" t="n">
        <v>75</v>
      </c>
      <c r="F52" s="23" t="n">
        <f aca="false">C52*E52</f>
        <v>75</v>
      </c>
      <c r="G52" s="24" t="n">
        <v>0</v>
      </c>
      <c r="H52" s="21" t="s">
        <v>69</v>
      </c>
      <c r="I52" s="21"/>
      <c r="J52" s="19" t="s">
        <v>275</v>
      </c>
    </row>
    <row r="53" customFormat="false" ht="15" hidden="false" customHeight="false" outlineLevel="0" collapsed="false">
      <c r="A53" s="26" t="s">
        <v>82</v>
      </c>
      <c r="B53" s="27"/>
      <c r="C53" s="27"/>
      <c r="D53" s="27"/>
      <c r="E53" s="27"/>
      <c r="F53" s="27"/>
      <c r="G53" s="27"/>
      <c r="H53" s="27"/>
      <c r="I53" s="27"/>
      <c r="J53" s="27"/>
    </row>
    <row r="54" customFormat="false" ht="23.85" hidden="false" customHeight="false" outlineLevel="0" collapsed="false">
      <c r="A54" s="19" t="s">
        <v>276</v>
      </c>
      <c r="B54" s="19" t="s">
        <v>277</v>
      </c>
      <c r="C54" s="20" t="n">
        <v>1</v>
      </c>
      <c r="D54" s="21" t="s">
        <v>44</v>
      </c>
      <c r="E54" s="22" t="n">
        <v>70</v>
      </c>
      <c r="F54" s="23" t="n">
        <f aca="false">C54*E54</f>
        <v>70</v>
      </c>
      <c r="G54" s="24" t="n">
        <v>0</v>
      </c>
      <c r="H54" s="21" t="s">
        <v>36</v>
      </c>
      <c r="I54" s="21"/>
      <c r="J54" s="19"/>
    </row>
    <row r="55" customFormat="false" ht="23.85" hidden="false" customHeight="false" outlineLevel="0" collapsed="false">
      <c r="A55" s="19" t="s">
        <v>278</v>
      </c>
      <c r="B55" s="19"/>
      <c r="C55" s="20" t="n">
        <v>1</v>
      </c>
      <c r="D55" s="21" t="s">
        <v>44</v>
      </c>
      <c r="E55" s="22" t="n">
        <v>85</v>
      </c>
      <c r="F55" s="23" t="n">
        <f aca="false">C55*E55</f>
        <v>85</v>
      </c>
      <c r="G55" s="24" t="n">
        <v>0</v>
      </c>
      <c r="H55" s="21" t="s">
        <v>36</v>
      </c>
      <c r="I55" s="21"/>
      <c r="J55" s="19"/>
    </row>
    <row r="56" customFormat="false" ht="23.85" hidden="false" customHeight="false" outlineLevel="0" collapsed="false">
      <c r="A56" s="19" t="s">
        <v>279</v>
      </c>
      <c r="B56" s="19"/>
      <c r="C56" s="20" t="n">
        <v>1</v>
      </c>
      <c r="D56" s="21" t="s">
        <v>44</v>
      </c>
      <c r="E56" s="22" t="n">
        <v>60</v>
      </c>
      <c r="F56" s="23" t="n">
        <f aca="false">C56*E56</f>
        <v>60</v>
      </c>
      <c r="G56" s="24" t="n">
        <v>0</v>
      </c>
      <c r="H56" s="21" t="s">
        <v>36</v>
      </c>
      <c r="I56" s="21"/>
      <c r="J56" s="19"/>
    </row>
    <row r="57" customFormat="false" ht="35.05" hidden="false" customHeight="false" outlineLevel="0" collapsed="false">
      <c r="A57" s="19" t="s">
        <v>280</v>
      </c>
      <c r="B57" s="19"/>
      <c r="C57" s="20" t="n">
        <v>1</v>
      </c>
      <c r="D57" s="21" t="s">
        <v>44</v>
      </c>
      <c r="E57" s="22" t="n">
        <v>120</v>
      </c>
      <c r="F57" s="23" t="n">
        <f aca="false">C57*E57</f>
        <v>120</v>
      </c>
      <c r="G57" s="24" t="n">
        <v>0</v>
      </c>
      <c r="H57" s="21" t="s">
        <v>36</v>
      </c>
      <c r="I57" s="21"/>
      <c r="J57" s="19"/>
    </row>
    <row r="58" customFormat="false" ht="23.85" hidden="false" customHeight="false" outlineLevel="0" collapsed="false">
      <c r="A58" s="19" t="s">
        <v>281</v>
      </c>
      <c r="B58" s="19" t="s">
        <v>282</v>
      </c>
      <c r="C58" s="20" t="n">
        <v>1</v>
      </c>
      <c r="D58" s="21" t="s">
        <v>44</v>
      </c>
      <c r="E58" s="22" t="n">
        <v>70</v>
      </c>
      <c r="F58" s="23" t="n">
        <f aca="false">C58*E58</f>
        <v>70</v>
      </c>
      <c r="G58" s="24" t="n">
        <v>0</v>
      </c>
      <c r="H58" s="21" t="s">
        <v>36</v>
      </c>
      <c r="I58" s="21"/>
      <c r="J58" s="19"/>
    </row>
    <row r="59" customFormat="false" ht="15" hidden="false" customHeight="false" outlineLevel="0" collapsed="false">
      <c r="A59" s="19" t="s">
        <v>283</v>
      </c>
      <c r="B59" s="19" t="s">
        <v>284</v>
      </c>
      <c r="C59" s="20" t="n">
        <v>1</v>
      </c>
      <c r="D59" s="21" t="s">
        <v>44</v>
      </c>
      <c r="E59" s="25" t="n">
        <v>0</v>
      </c>
      <c r="F59" s="23" t="n">
        <f aca="false">C59*E59</f>
        <v>0</v>
      </c>
      <c r="G59" s="24" t="n">
        <v>10.3</v>
      </c>
      <c r="H59" s="21" t="s">
        <v>36</v>
      </c>
      <c r="I59" s="21"/>
      <c r="J59" s="19"/>
    </row>
    <row r="61" customFormat="false" ht="15" hidden="false" customHeight="false" outlineLevel="0" collapsed="false">
      <c r="A61" s="7" t="s">
        <v>86</v>
      </c>
      <c r="B61" s="7"/>
      <c r="C61" s="7"/>
      <c r="D61" s="7"/>
      <c r="E61" s="7"/>
      <c r="F61" s="8" t="n">
        <f aca="false">SUM(F5:F59)</f>
        <v>5154</v>
      </c>
      <c r="G61" s="9" t="n">
        <f aca="false">SUM(G5:G59)</f>
        <v>331.9</v>
      </c>
      <c r="H61" s="7"/>
      <c r="I61" s="7"/>
      <c r="J61" s="7"/>
    </row>
    <row r="62" customFormat="false" ht="15" hidden="false" customHeight="false" outlineLevel="0" collapsed="false">
      <c r="A62" s="4" t="s">
        <v>87</v>
      </c>
      <c r="G62" s="28" t="n">
        <f aca="false">SUMIF(H5:H59,"Y",G5:G59)</f>
        <v>322.9</v>
      </c>
    </row>
    <row r="63" customFormat="false" ht="15" hidden="false" customHeight="false" outlineLevel="0" collapsed="false">
      <c r="A63" s="4" t="s">
        <v>88</v>
      </c>
      <c r="G63" s="28" t="n">
        <f aca="false">SUMIF(H5:H59,"N",G5:G59)</f>
        <v>9</v>
      </c>
    </row>
    <row r="64" customFormat="false" ht="15" hidden="false" customHeight="false" outlineLevel="0" collapsed="false">
      <c r="A64" s="4" t="s">
        <v>89</v>
      </c>
      <c r="G64" s="15" t="n">
        <v>322.87</v>
      </c>
      <c r="J64" s="2" t="s">
        <v>90</v>
      </c>
    </row>
  </sheetData>
  <hyperlinks>
    <hyperlink ref="I14" r:id="rId1" location="Honeycomb" display="https://www.chalcoaluminum.com/knowledge/sandwich-panel/#Honeycom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2026-10-27T04:39:21Z</dcterms:created>
  <dc:creator>openpyxl</dc:creator>
  <dc:description/>
  <dc:language>en-US</dc:language>
  <cp:lastModifiedBy/>
  <dcterms:modified xsi:type="dcterms:W3CDTF">2026-10-27T04:39:21Z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