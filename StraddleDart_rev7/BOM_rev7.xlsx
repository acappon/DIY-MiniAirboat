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Hull" sheetId="2" state="visible" r:id="rId2"/>
    <sheet name="Drivetrain" sheetId="3" state="visible" r:id="rId3"/>
    <sheet name="Everything else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;&quot;($&quot;#,##0\);\-"/>
    <numFmt numFmtId="165" formatCode="#,##0.0;\(#,##0.0\);\-"/>
    <numFmt numFmtId="166" formatCode="#,##0.0;\-#,##0.0;\-"/>
    <numFmt numFmtId="167" formatCode="\$#,##0.00;&quot;($&quot;#,##0.00\);\-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sz val="10"/>
    </font>
    <font>
      <name val="Arial"/>
      <charset val="1"/>
      <family val="0"/>
      <color theme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FF3E4A2E"/>
        <bgColor rgb="FF555555"/>
      </patternFill>
    </fill>
    <fill>
      <patternFill patternType="solid">
        <fgColor rgb="FFF2F2F2"/>
        <bgColor rgb="FFE6EBDD"/>
      </patternFill>
    </fill>
    <fill>
      <patternFill patternType="solid">
        <fgColor rgb="FFFFFF00"/>
        <bgColor rgb="FFFFFF00"/>
      </patternFill>
    </fill>
    <fill>
      <patternFill patternType="solid">
        <fgColor rgb="FFE6EBDD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9" fontId="11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164" fontId="11" fillId="0" borderId="1" applyAlignment="1" pivotButton="0" quotePrefix="0" xfId="0">
      <alignment horizontal="general" vertical="top"/>
    </xf>
    <xf numFmtId="164" fontId="7" fillId="0" borderId="1" applyAlignment="1" pivotButton="0" quotePrefix="0" xfId="0">
      <alignment horizontal="general" vertical="top"/>
    </xf>
    <xf numFmtId="165" fontId="11" fillId="0" borderId="1" applyAlignment="1" pivotButton="0" quotePrefix="0" xfId="0">
      <alignment horizontal="general" vertical="top"/>
    </xf>
    <xf numFmtId="167" fontId="11" fillId="0" borderId="1" applyAlignment="1" pivotButton="0" quotePrefix="0" xfId="0">
      <alignment horizontal="general" vertical="top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4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9" fontId="11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/>
    </xf>
    <xf numFmtId="164" fontId="11" fillId="0" borderId="1" applyAlignment="1" pivotButton="0" quotePrefix="0" xfId="0">
      <alignment horizontal="general" vertical="top"/>
    </xf>
    <xf numFmtId="164" fontId="7" fillId="0" borderId="1" applyAlignment="1" pivotButton="0" quotePrefix="0" xfId="0">
      <alignment horizontal="general" vertical="top"/>
    </xf>
    <xf numFmtId="165" fontId="11" fillId="0" borderId="1" applyAlignment="1" pivotButton="0" quotePrefix="0" xfId="0">
      <alignment horizontal="general" vertical="top"/>
    </xf>
    <xf numFmtId="167" fontId="11" fillId="0" borderId="1" applyAlignment="1" pivotButton="0" quotePrefix="0" xfId="0">
      <alignment horizontal="general" vertical="top"/>
    </xf>
    <xf numFmtId="0" fontId="9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B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4A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www.car-part.com/" TargetMode="External" Id="rId1" /><Relationship Type="http://schemas.openxmlformats.org/officeDocument/2006/relationships/hyperlink" Target="https://warpdriveinc.com/product/3-bld-prop-hpl-hub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halcoaluminum.com/knowledge/sandwich-panel/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30" min="1" max="1"/>
    <col width="16" customWidth="1" style="30" min="2" max="2"/>
    <col width="14" customWidth="1" style="30" min="3" max="3"/>
    <col width="16" customWidth="1" style="30" min="4" max="4"/>
    <col width="18" customWidth="1" style="30" min="5" max="5"/>
  </cols>
  <sheetData>
    <row r="1" ht="17.35" customHeight="1" s="31">
      <c r="A1" s="32" t="inlineStr">
        <is>
          <t>Straddle Dart — BOM summary, rev 7 (riveted aluminum hull)</t>
        </is>
      </c>
    </row>
    <row r="2" ht="15" customHeight="1" s="31">
      <c r="A2" s="33" t="inlineStr">
        <is>
          <t>Totals pull from the three BOM tabs. Change quantities, prices or weights there; change the contingency in B11.</t>
        </is>
      </c>
    </row>
    <row r="4" ht="23.85" customHeight="1" s="31">
      <c r="A4" s="34" t="inlineStr">
        <is>
          <t>Group</t>
        </is>
      </c>
      <c r="B4" s="34" t="inlineStr">
        <is>
          <t>Est. cost ($)</t>
        </is>
      </c>
      <c r="C4" s="34" t="inlineStr">
        <is>
          <t>Weight (lb)</t>
        </is>
      </c>
      <c r="D4" s="34" t="inlineStr">
        <is>
          <t>Weight in CAD (lb)</t>
        </is>
      </c>
      <c r="E4" s="34" t="inlineStr">
        <is>
          <t>Weight not in CAD (lb)</t>
        </is>
      </c>
    </row>
    <row r="5" ht="15" customHeight="1" s="31">
      <c r="A5" s="35" t="inlineStr">
        <is>
          <t>Hull</t>
        </is>
      </c>
      <c r="B5" s="36">
        <f>Hull!F25</f>
        <v/>
      </c>
      <c r="C5" s="37">
        <f>Hull!G25</f>
        <v/>
      </c>
      <c r="D5" s="37">
        <f>Hull!G26</f>
        <v/>
      </c>
      <c r="E5" s="37">
        <f>Hull!G27</f>
        <v/>
      </c>
    </row>
    <row r="6" ht="15" customHeight="1" s="31">
      <c r="A6" s="35" t="inlineStr">
        <is>
          <t>Drivetrain</t>
        </is>
      </c>
      <c r="B6" s="36">
        <f>Drivetrain!F41</f>
        <v/>
      </c>
      <c r="C6" s="37">
        <f>Drivetrain!G41</f>
        <v/>
      </c>
      <c r="D6" s="37">
        <f>Drivetrain!G42</f>
        <v/>
      </c>
      <c r="E6" s="37">
        <f>Drivetrain!G43</f>
        <v/>
      </c>
    </row>
    <row r="7" ht="15" customHeight="1" s="31">
      <c r="A7" s="35" t="inlineStr">
        <is>
          <t>Everything else</t>
        </is>
      </c>
      <c r="B7" s="36">
        <f>'Everything else'!F102</f>
        <v/>
      </c>
      <c r="C7" s="37">
        <f>'Everything else'!G102</f>
        <v/>
      </c>
      <c r="D7" s="37">
        <f>'Everything else'!G103</f>
        <v/>
      </c>
      <c r="E7" s="37">
        <f>'Everything else'!G104</f>
        <v/>
      </c>
    </row>
    <row r="8" ht="15" customHeight="1" s="31">
      <c r="A8" s="38" t="inlineStr">
        <is>
          <t>Subtotal</t>
        </is>
      </c>
      <c r="B8" s="39">
        <f>SUM(B5:B7)</f>
        <v/>
      </c>
      <c r="C8" s="40">
        <f>SUM(C5:C7)</f>
        <v/>
      </c>
      <c r="D8" s="40">
        <f>SUM(D5:D7)</f>
        <v/>
      </c>
      <c r="E8" s="40">
        <f>SUM(E5:E7)</f>
        <v/>
      </c>
    </row>
    <row r="9" ht="15" customHeight="1" s="31">
      <c r="A9" s="41" t="n"/>
      <c r="B9" s="41" t="n"/>
      <c r="C9" s="41" t="n"/>
      <c r="D9" s="41" t="n"/>
      <c r="E9" s="41" t="n"/>
    </row>
    <row r="10" ht="15" customHeight="1" s="31">
      <c r="A10" s="35" t="inlineStr">
        <is>
          <t>Contingency (shipping, tax, mistakes, extras)</t>
        </is>
      </c>
      <c r="B10" s="42">
        <f>B8*B11</f>
        <v/>
      </c>
      <c r="C10" s="41" t="n"/>
      <c r="D10" s="41" t="n"/>
      <c r="E10" s="41" t="n"/>
    </row>
    <row r="11" ht="15" customHeight="1" s="31">
      <c r="A11" s="35" t="inlineStr">
        <is>
          <t>Contingency rate</t>
        </is>
      </c>
      <c r="B11" s="43" t="n">
        <v>0.15</v>
      </c>
      <c r="C11" s="33" t="inlineStr">
        <is>
          <t>Assumption: 15% of materials; edit as needed</t>
        </is>
      </c>
      <c r="D11" s="41" t="n"/>
      <c r="E11" s="41" t="n"/>
    </row>
    <row r="12" ht="15" customHeight="1" s="31">
      <c r="A12" s="44" t="inlineStr">
        <is>
          <t>Estimated materials total</t>
        </is>
      </c>
      <c r="B12" s="45">
        <f>B8+B10</f>
        <v/>
      </c>
      <c r="C12" s="41" t="n"/>
      <c r="D12" s="41" t="n"/>
      <c r="E12" s="41" t="n"/>
    </row>
    <row r="13" ht="15" customHeight="1" s="31">
      <c r="A13" s="41" t="n"/>
      <c r="B13" s="41" t="n"/>
      <c r="C13" s="41" t="n"/>
      <c r="D13" s="41" t="n"/>
      <c r="E13" s="41" t="n"/>
    </row>
    <row r="14" ht="15" customHeight="1" s="31">
      <c r="A14" s="44" t="inlineStr">
        <is>
          <t>Weight check</t>
        </is>
      </c>
      <c r="B14" s="41" t="n"/>
      <c r="C14" s="41" t="n"/>
      <c r="D14" s="41" t="n"/>
      <c r="E14" s="41" t="n"/>
    </row>
    <row r="15" ht="15" customHeight="1" s="31">
      <c r="A15" s="41" t="inlineStr">
        <is>
          <t>Empty boat, CAD model (no fuel or crew)</t>
        </is>
      </c>
      <c r="B15" s="46" t="n">
        <v>1160</v>
      </c>
      <c r="C15" s="33" t="inlineStr">
        <is>
          <t>lb, rev 7 estimate: rev 6 trim analysis (1,038.8) plus the rev 7 changes in this workbook</t>
        </is>
      </c>
      <c r="D15" s="41" t="n"/>
      <c r="E15" s="41" t="n"/>
    </row>
    <row r="16" ht="15" customHeight="1" s="31">
      <c r="A16" s="41" t="inlineStr">
        <is>
          <t>BOM weight in CAD (should match)</t>
        </is>
      </c>
      <c r="B16" s="47">
        <f>D8</f>
        <v/>
      </c>
      <c r="C16" s="41" t="n"/>
      <c r="D16" s="41" t="n"/>
      <c r="E16" s="41" t="n"/>
    </row>
    <row r="17" ht="15" customHeight="1" s="31">
      <c r="A17" s="41" t="inlineStr">
        <is>
          <t>Difference</t>
        </is>
      </c>
      <c r="B17" s="48">
        <f>B16-B15</f>
        <v/>
      </c>
      <c r="C17" s="41" t="n"/>
      <c r="D17" s="41" t="n"/>
      <c r="E17" s="41" t="n"/>
    </row>
    <row r="18" ht="15" customHeight="1" s="31">
      <c r="A18" s="41" t="inlineStr">
        <is>
          <t>Empty boat incl. items not in CAD</t>
        </is>
      </c>
      <c r="B18" s="47">
        <f>C8</f>
        <v/>
      </c>
      <c r="C18" s="41" t="n"/>
      <c r="D18" s="41" t="n"/>
      <c r="E18" s="41" t="n"/>
    </row>
    <row r="20" ht="15" customHeight="1" s="31">
      <c r="A20" s="33" t="inlineStr">
        <is>
          <t>Labor and the fab shop shear/brake service are not included here; see DIY-Mini-Airboat_Build-Guide_Aluminum.xlsx.</t>
        </is>
      </c>
    </row>
    <row r="21" ht="15" customHeight="1" s="31">
      <c r="A21" s="33" t="inlineStr">
        <is>
          <t>Supplier links appear only where a supplier was discussed during design.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52" customWidth="1" style="30" min="2" max="2"/>
    <col width="7" customWidth="1" style="30" min="3" max="4"/>
    <col width="12" customWidth="1" style="30" min="5" max="6"/>
    <col width="11" customWidth="1" style="30" min="7" max="7"/>
    <col width="10" customWidth="1" style="30" min="8" max="8"/>
    <col width="28" customWidth="1" style="30" min="9" max="9"/>
    <col width="46" customWidth="1" style="30" min="10" max="10"/>
  </cols>
  <sheetData>
    <row r="1" ht="17.35" customHeight="1" s="31">
      <c r="A1" s="32" t="inlineStr">
        <is>
          <t>Straddle Dart — Hull BOM (riveted aluminum) (rev 7)</t>
        </is>
      </c>
    </row>
    <row r="2" ht="15" customHeight="1" s="31">
      <c r="A2" s="33" t="inlineStr">
        <is>
          <t>Costs are 2026 USD estimates. Blue cells are inputs you can change; Est. cost = Qty x Unit cost. Weight is the installed line weight in lb.</t>
        </is>
      </c>
    </row>
    <row r="4" ht="23.85" customHeight="1" s="31">
      <c r="A4" s="49" t="inlineStr">
        <is>
          <t>Item</t>
        </is>
      </c>
      <c r="B4" s="49" t="inlineStr">
        <is>
          <t>Use / spec</t>
        </is>
      </c>
      <c r="C4" s="49" t="inlineStr">
        <is>
          <t>Qty</t>
        </is>
      </c>
      <c r="D4" s="49" t="inlineStr">
        <is>
          <t>Unit</t>
        </is>
      </c>
      <c r="E4" s="49" t="inlineStr">
        <is>
          <t>Unit cost ($)</t>
        </is>
      </c>
      <c r="F4" s="49" t="inlineStr">
        <is>
          <t>Est. cost ($)</t>
        </is>
      </c>
      <c r="G4" s="49" t="inlineStr">
        <is>
          <t>Weight (lb)</t>
        </is>
      </c>
      <c r="H4" s="49" t="inlineStr">
        <is>
          <t>In CAD weight?</t>
        </is>
      </c>
      <c r="I4" s="49" t="inlineStr">
        <is>
          <t>Supplier link</t>
        </is>
      </c>
      <c r="J4" s="49" t="inlineStr">
        <is>
          <t>Notes</t>
        </is>
      </c>
    </row>
    <row r="5" ht="23.85" customHeight="1" s="31">
      <c r="A5" s="50" t="inlineStr">
        <is>
          <t>5052-H32 aluminum sheet 0.125 in, 60 x 144 in</t>
        </is>
      </c>
      <c r="B5" s="50" t="inlineStr">
        <is>
          <t>Bottom halves with the 3 in chine bent in, bow rocker pieces, bow face</t>
        </is>
      </c>
      <c r="C5" s="51" t="n">
        <v>3</v>
      </c>
      <c r="D5" s="52" t="inlineStr">
        <is>
          <t>sheet</t>
        </is>
      </c>
      <c r="E5" s="53" t="n">
        <v>625</v>
      </c>
      <c r="F5" s="54">
        <f>C5*E5</f>
        <v/>
      </c>
      <c r="G5" s="55" t="n">
        <v>135.6</v>
      </c>
      <c r="H5" s="52" t="inlineStr">
        <is>
          <t>Y</t>
        </is>
      </c>
      <c r="I5" s="52" t="n"/>
      <c r="J5" s="50" t="inlineStr">
        <is>
          <t>Was 0.090: ISO 12215-5 check (Structural Checks 8c). Centerline seam over the center stringer; transverse butt seam with doubler at frame 120</t>
        </is>
      </c>
    </row>
    <row r="6" ht="15" customHeight="1" s="31">
      <c r="A6" s="50" t="inlineStr">
        <is>
          <t>5052-H32 aluminum sheet 0.063 in, 48 x 144 in</t>
        </is>
      </c>
      <c r="B6" s="50" t="inlineStr">
        <is>
          <t>Side panels</t>
        </is>
      </c>
      <c r="C6" s="51" t="n">
        <v>2</v>
      </c>
      <c r="D6" s="52" t="inlineStr">
        <is>
          <t>sheet</t>
        </is>
      </c>
      <c r="E6" s="53" t="n">
        <v>230</v>
      </c>
      <c r="F6" s="54">
        <f>C6*E6</f>
        <v/>
      </c>
      <c r="G6" s="55" t="n">
        <v>22</v>
      </c>
      <c r="H6" s="52" t="inlineStr">
        <is>
          <t>Y</t>
        </is>
      </c>
      <c r="I6" s="52" t="n"/>
      <c r="J6" s="50" t="n"/>
    </row>
    <row r="7" ht="15" customHeight="1" s="31">
      <c r="A7" s="50" t="inlineStr">
        <is>
          <t>5052-H32 aluminum sheet 0.125 in, 24 x 72 in</t>
        </is>
      </c>
      <c r="B7" s="50" t="inlineStr">
        <is>
          <t>Transom</t>
        </is>
      </c>
      <c r="C7" s="51" t="n">
        <v>1</v>
      </c>
      <c r="D7" s="52" t="inlineStr">
        <is>
          <t>sheet</t>
        </is>
      </c>
      <c r="E7" s="53" t="n">
        <v>180</v>
      </c>
      <c r="F7" s="54">
        <f>C7*E7</f>
        <v/>
      </c>
      <c r="G7" s="55" t="n">
        <v>14.5</v>
      </c>
      <c r="H7" s="52" t="inlineStr">
        <is>
          <t>Y</t>
        </is>
      </c>
      <c r="I7" s="52" t="n"/>
      <c r="J7" s="50" t="n"/>
    </row>
    <row r="8" ht="23.85" customHeight="1" s="31">
      <c r="A8" s="50" t="inlineStr">
        <is>
          <t>5052 strip 0.080 and 0.063 in, brake-formed into hat sections</t>
        </is>
      </c>
      <c r="B8" s="50" t="inlineStr">
        <is>
          <t>5 stringers, 2.5 in tall (0.080 for the two engine-bed stringers); 1 in cross-drain slot in each at x 3.5-4.5</t>
        </is>
      </c>
      <c r="C8" s="51" t="n">
        <v>1</v>
      </c>
      <c r="D8" s="52" t="inlineStr">
        <is>
          <t>lot</t>
        </is>
      </c>
      <c r="E8" s="53" t="n">
        <v>350</v>
      </c>
      <c r="F8" s="54">
        <f>C8*E8</f>
        <v/>
      </c>
      <c r="G8" s="55" t="n">
        <v>39.4</v>
      </c>
      <c r="H8" s="52" t="inlineStr">
        <is>
          <t>Y</t>
        </is>
      </c>
      <c r="I8" s="52" t="n"/>
      <c r="J8" s="50" t="inlineStr">
        <is>
          <t>Bend to the rocker before riveting</t>
        </is>
      </c>
    </row>
    <row r="9" ht="23.85" customHeight="1" s="31">
      <c r="A9" s="50" t="inlineStr">
        <is>
          <t>6061 angle 1-1/2 x 1-1/2 x 1/8 in, 12 ft</t>
        </is>
      </c>
      <c r="B9" s="50" t="inlineStr">
        <is>
          <t>10 frames (x 12, 24, 36, 48, 60, 72, 84, 96, 111.5, 120 in) + transom frame</t>
        </is>
      </c>
      <c r="C9" s="51" t="n">
        <v>7</v>
      </c>
      <c r="D9" s="52" t="inlineStr">
        <is>
          <t>stick</t>
        </is>
      </c>
      <c r="E9" s="53" t="n">
        <v>42</v>
      </c>
      <c r="F9" s="54">
        <f>C9*E9</f>
        <v/>
      </c>
      <c r="G9" s="55" t="n">
        <v>38.9</v>
      </c>
      <c r="H9" s="52" t="inlineStr">
        <is>
          <t>Y</t>
        </is>
      </c>
      <c r="I9" s="52" t="n"/>
      <c r="J9" s="50" t="inlineStr">
        <is>
          <t>Frames at 60, 84 and 111.5 in added for the 0.125 bottom (ISO 12215-5). 1 x 3/4 in limber notch at the skin in every bay of every frame; deburr and prime the cut edges</t>
        </is>
      </c>
    </row>
    <row r="10" ht="15" customHeight="1" s="31">
      <c r="A10" s="50" t="inlineStr">
        <is>
          <t>6061 rectangular tube 2 x 3 x 1/8 in, 12 ft</t>
        </is>
      </c>
      <c r="B10" s="50" t="inlineStr">
        <is>
          <t>Engine-bed box beams on the bed stringers</t>
        </is>
      </c>
      <c r="C10" s="51" t="n">
        <v>1</v>
      </c>
      <c r="D10" s="52" t="inlineStr">
        <is>
          <t>stick</t>
        </is>
      </c>
      <c r="E10" s="53" t="n">
        <v>95</v>
      </c>
      <c r="F10" s="54">
        <f>C10*E10</f>
        <v/>
      </c>
      <c r="G10" s="55" t="n">
        <v>12.9</v>
      </c>
      <c r="H10" s="52" t="inlineStr">
        <is>
          <t>Y</t>
        </is>
      </c>
      <c r="I10" s="52" t="n"/>
      <c r="J10" s="50" t="n"/>
    </row>
    <row r="11" ht="15" customHeight="1" s="31">
      <c r="A11" s="50" t="inlineStr">
        <is>
          <t>6061 angle 1 x 1 x 1/8 in, 12 ft</t>
        </is>
      </c>
      <c r="B11" s="50" t="inlineStr">
        <is>
          <t>Rub rails / sheer clamps</t>
        </is>
      </c>
      <c r="C11" s="51" t="n">
        <v>3</v>
      </c>
      <c r="D11" s="52" t="inlineStr">
        <is>
          <t>stick</t>
        </is>
      </c>
      <c r="E11" s="53" t="n">
        <v>25</v>
      </c>
      <c r="F11" s="54">
        <f>C11*E11</f>
        <v/>
      </c>
      <c r="G11" s="55" t="n">
        <v>6.4</v>
      </c>
      <c r="H11" s="52" t="inlineStr">
        <is>
          <t>Y</t>
        </is>
      </c>
      <c r="I11" s="52" t="n"/>
      <c r="J11" s="50" t="n"/>
    </row>
    <row r="12" ht="15" customHeight="1" s="31">
      <c r="A12" s="50" t="inlineStr">
        <is>
          <t>6061 plate 1/4 in</t>
        </is>
      </c>
      <c r="B12" s="50" t="inlineStr">
        <is>
          <t>Quarter knees and frame-12 gussets under the cage plates</t>
        </is>
      </c>
      <c r="C12" s="51" t="n">
        <v>1</v>
      </c>
      <c r="D12" s="52" t="inlineStr">
        <is>
          <t>lot</t>
        </is>
      </c>
      <c r="E12" s="53" t="n">
        <v>40</v>
      </c>
      <c r="F12" s="54">
        <f>C12*E12</f>
        <v/>
      </c>
      <c r="G12" s="55" t="n">
        <v>3.6</v>
      </c>
      <c r="H12" s="52" t="inlineStr">
        <is>
          <t>Y</t>
        </is>
      </c>
      <c r="I12" s="52" t="n"/>
      <c r="J12" s="50" t="n"/>
    </row>
    <row r="13" ht="15" customHeight="1" s="31">
      <c r="A13" s="50" t="inlineStr">
        <is>
          <t>6061 aluminum 1/4 in flat bar and plate</t>
        </is>
      </c>
      <c r="B13" s="50" t="inlineStr">
        <is>
          <t>Engine bed plates 48 x 3 in (2), cage mount plates 4 x 4 in (4)</t>
        </is>
      </c>
      <c r="C13" s="51" t="n">
        <v>1</v>
      </c>
      <c r="D13" s="52" t="inlineStr">
        <is>
          <t>lot</t>
        </is>
      </c>
      <c r="E13" s="53" t="n">
        <v>130</v>
      </c>
      <c r="F13" s="54">
        <f>C13*E13</f>
        <v/>
      </c>
      <c r="G13" s="55" t="n">
        <v>8.4</v>
      </c>
      <c r="H13" s="52" t="inlineStr">
        <is>
          <t>Y</t>
        </is>
      </c>
      <c r="I13" s="52" t="n"/>
      <c r="J13" s="50" t="inlineStr">
        <is>
          <t>Drill beds 16 x 13/32 in at 3 in spacing</t>
        </is>
      </c>
    </row>
    <row r="14" ht="15" customHeight="1" s="31">
      <c r="A14" s="50" t="inlineStr">
        <is>
          <t>HDPE sheet 1/8 in, 12 x 24 in</t>
        </is>
      </c>
      <c r="B14" s="50" t="inlineStr">
        <is>
          <t>Isolator strips under all aluminum plates</t>
        </is>
      </c>
      <c r="C14" s="51" t="n">
        <v>1</v>
      </c>
      <c r="D14" s="52" t="inlineStr">
        <is>
          <t>sheet</t>
        </is>
      </c>
      <c r="E14" s="53" t="n">
        <v>25</v>
      </c>
      <c r="F14" s="54">
        <f>C14*E14</f>
        <v/>
      </c>
      <c r="G14" s="55" t="n">
        <v>1.5</v>
      </c>
      <c r="H14" s="52" t="inlineStr">
        <is>
          <t>Y</t>
        </is>
      </c>
      <c r="I14" s="52" t="n"/>
      <c r="J14" s="50" t="n"/>
    </row>
    <row r="15" ht="23.85" customHeight="1" s="31">
      <c r="A15" s="50" t="inlineStr">
        <is>
          <t>5052-H32 sheet 1/8 in: two chine guards brake-formed to 135 deg (12.5 ft) + bent nose cap</t>
        </is>
      </c>
      <c r="B15" s="50" t="inlineStr">
        <is>
          <t>Chine guard angles opened to 135 deg; bent nose cap</t>
        </is>
      </c>
      <c r="C15" s="51" t="n">
        <v>1</v>
      </c>
      <c r="D15" s="52" t="inlineStr">
        <is>
          <t>lot</t>
        </is>
      </c>
      <c r="E15" s="53" t="n">
        <v>90</v>
      </c>
      <c r="F15" s="54">
        <f>C15*E15</f>
        <v/>
      </c>
      <c r="G15" s="55" t="n">
        <v>15.9</v>
      </c>
      <c r="H15" s="52" t="inlineStr">
        <is>
          <t>Y</t>
        </is>
      </c>
      <c r="I15" s="52" t="n"/>
      <c r="J15" s="50" t="inlineStr">
        <is>
          <t>Guards brake-formed at the shop with the chine bends (were 6061 angles opened to 135 deg by hand)</t>
        </is>
      </c>
    </row>
    <row r="16" ht="15" customHeight="1" s="31">
      <c r="A16" s="50" t="inlineStr">
        <is>
          <t>UHMW 1/4 in sheet, 48 x 120 in</t>
        </is>
      </c>
      <c r="B16" s="50" t="inlineStr">
        <is>
          <t>4 bottom strips (splice over a frame)</t>
        </is>
      </c>
      <c r="C16" s="51" t="n">
        <v>3</v>
      </c>
      <c r="D16" s="52" t="inlineStr">
        <is>
          <t>sheet</t>
        </is>
      </c>
      <c r="E16" s="53" t="n">
        <v>290</v>
      </c>
      <c r="F16" s="54">
        <f>C16*E16</f>
        <v/>
      </c>
      <c r="G16" s="55" t="n">
        <v>82.8</v>
      </c>
      <c r="H16" s="52" t="inlineStr">
        <is>
          <t>Y</t>
        </is>
      </c>
      <c r="I16" s="52" t="n"/>
      <c r="J16" s="50" t="inlineStr">
        <is>
          <t>3/16 in saves about 21 lb</t>
        </is>
      </c>
    </row>
    <row r="17" ht="23.85" customHeight="1" s="31">
      <c r="A17" s="50" t="inlineStr">
        <is>
          <t>Closed-end aluminum blind rivets 3/16 in (5052/5056, aluminum mandrel)</t>
        </is>
      </c>
      <c r="B17" s="50" t="inlineStr">
        <is>
          <t>All skin laps and framing; double rows at about 3/4 in</t>
        </is>
      </c>
      <c r="C17" s="51" t="n">
        <v>2400</v>
      </c>
      <c r="D17" s="52" t="inlineStr">
        <is>
          <t>ea</t>
        </is>
      </c>
      <c r="E17" s="56" t="n">
        <v>0.15</v>
      </c>
      <c r="F17" s="54">
        <f>C17*E17</f>
        <v/>
      </c>
      <c r="G17" s="55" t="n">
        <v>4.8</v>
      </c>
      <c r="H17" s="52" t="inlineStr">
        <is>
          <t>N</t>
        </is>
      </c>
      <c r="I17" s="52" t="n"/>
      <c r="J17" s="50" t="inlineStr">
        <is>
          <t>Double rows: 3/4 in pitch on the bottom seams and chine laps, 1 in on laps above the waterline. Never open-end or steel-mandrel rivets</t>
        </is>
      </c>
    </row>
    <row r="18" ht="15" customHeight="1" s="31">
      <c r="A18" s="50" t="inlineStr">
        <is>
          <t>Seam sealant (Sikaflex 291 or 3M 4200), 10 oz tubes</t>
        </is>
      </c>
      <c r="B18" s="50" t="inlineStr">
        <is>
          <t>Wet in every lap before riveting</t>
        </is>
      </c>
      <c r="C18" s="51" t="n">
        <v>10</v>
      </c>
      <c r="D18" s="52" t="inlineStr">
        <is>
          <t>tube</t>
        </is>
      </c>
      <c r="E18" s="53" t="n">
        <v>15</v>
      </c>
      <c r="F18" s="54">
        <f>C18*E18</f>
        <v/>
      </c>
      <c r="G18" s="55" t="n">
        <v>4</v>
      </c>
      <c r="H18" s="52" t="inlineStr">
        <is>
          <t>N</t>
        </is>
      </c>
      <c r="I18" s="52" t="n"/>
      <c r="J18" s="50" t="n"/>
    </row>
    <row r="19" ht="15" customHeight="1" s="31">
      <c r="A19" s="50" t="inlineStr">
        <is>
          <t>SS 1/4 in through-bolts, nylock nuts, sealing washers</t>
        </is>
      </c>
      <c r="B19" s="50" t="inlineStr">
        <is>
          <t>UHMW strips through the bottom into the stringers</t>
        </is>
      </c>
      <c r="C19" s="51" t="n">
        <v>200</v>
      </c>
      <c r="D19" s="52" t="inlineStr">
        <is>
          <t>set</t>
        </is>
      </c>
      <c r="E19" s="56" t="n">
        <v>0.8</v>
      </c>
      <c r="F19" s="54">
        <f>C19*E19</f>
        <v/>
      </c>
      <c r="G19" s="55" t="n">
        <v>3</v>
      </c>
      <c r="H19" s="52" t="inlineStr">
        <is>
          <t>N</t>
        </is>
      </c>
      <c r="I19" s="52" t="n"/>
      <c r="J19" s="50" t="inlineStr">
        <is>
          <t>Bed in sealant; Tef-Gel on threads</t>
        </is>
      </c>
    </row>
    <row r="20" ht="15" customHeight="1" s="31">
      <c r="A20" s="50" t="inlineStr">
        <is>
          <t>Clecos 3/16 in (100) + pliers, drill bits, deburr tools</t>
        </is>
      </c>
      <c r="B20" s="50" t="inlineStr">
        <is>
          <t>Tooling</t>
        </is>
      </c>
      <c r="C20" s="51" t="n">
        <v>1</v>
      </c>
      <c r="D20" s="52" t="inlineStr">
        <is>
          <t>lot</t>
        </is>
      </c>
      <c r="E20" s="53" t="n">
        <v>150</v>
      </c>
      <c r="F20" s="54">
        <f>C20*E20</f>
        <v/>
      </c>
      <c r="G20" s="55" t="n">
        <v>0</v>
      </c>
      <c r="H20" s="52" t="inlineStr">
        <is>
          <t>N</t>
        </is>
      </c>
      <c r="I20" s="52" t="n"/>
      <c r="J20" s="50" t="n"/>
    </row>
    <row r="21" ht="15" customHeight="1" s="31">
      <c r="A21" s="50" t="inlineStr">
        <is>
          <t>Self-etching primer</t>
        </is>
      </c>
      <c r="B21" s="50" t="inlineStr">
        <is>
          <t>Faying surfaces and cut edges only; the hull stays bare 5052 (topcoat optional later)</t>
        </is>
      </c>
      <c r="C21" s="51" t="n">
        <v>1</v>
      </c>
      <c r="D21" s="52" t="inlineStr">
        <is>
          <t>lot</t>
        </is>
      </c>
      <c r="E21" s="53" t="n">
        <v>60</v>
      </c>
      <c r="F21" s="54">
        <f>C21*E21</f>
        <v/>
      </c>
      <c r="G21" s="55" t="n">
        <v>1</v>
      </c>
      <c r="H21" s="52" t="inlineStr">
        <is>
          <t>N</t>
        </is>
      </c>
      <c r="I21" s="52" t="n"/>
      <c r="J21" s="50" t="n"/>
    </row>
    <row r="22" ht="15" customHeight="1" s="31">
      <c r="A22" s="57" t="inlineStr">
        <is>
          <t>Rev 6 joint details</t>
        </is>
      </c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</row>
    <row r="23" ht="23.85" customHeight="1" s="31">
      <c r="A23" s="50" t="inlineStr">
        <is>
          <t>Bed plates lengthened to 52 in, new 10-hole pattern; knees/gussets drilled for cage-foot bolts</t>
        </is>
      </c>
      <c r="B23" s="50" t="inlineStr">
        <is>
          <t>Net change from the detailed hull model</t>
        </is>
      </c>
      <c r="C23" s="51" t="n">
        <v>1</v>
      </c>
      <c r="D23" s="52" t="inlineStr">
        <is>
          <t>lot</t>
        </is>
      </c>
      <c r="E23" s="53" t="n">
        <v>40</v>
      </c>
      <c r="F23" s="54">
        <f>C23*E23</f>
        <v/>
      </c>
      <c r="G23" s="55" t="n">
        <v>0.7</v>
      </c>
      <c r="H23" s="52" t="inlineStr">
        <is>
          <t>Y</t>
        </is>
      </c>
      <c r="I23" s="52" t="n"/>
      <c r="J23" s="50" t="inlineStr">
        <is>
          <t>Hole positions in the fab workbook</t>
        </is>
      </c>
    </row>
    <row r="25" ht="15" customHeight="1" s="31">
      <c r="A25" s="38" t="inlineStr">
        <is>
          <t>Total</t>
        </is>
      </c>
      <c r="B25" s="38" t="n"/>
      <c r="C25" s="38" t="n"/>
      <c r="D25" s="38" t="n"/>
      <c r="E25" s="38" t="n"/>
      <c r="F25" s="39">
        <f>SUM(F5:F23)</f>
        <v/>
      </c>
      <c r="G25" s="40">
        <f>SUM(G5:G23)</f>
        <v/>
      </c>
      <c r="H25" s="38" t="n"/>
      <c r="I25" s="38" t="n"/>
      <c r="J25" s="38" t="n"/>
    </row>
    <row r="26" ht="15" customHeight="1" s="31">
      <c r="A26" s="35" t="inlineStr">
        <is>
          <t>Weight included in the CAD model</t>
        </is>
      </c>
      <c r="G26" s="59">
        <f>SUMIF(H5:H23,"Y",G5:G23)</f>
        <v/>
      </c>
    </row>
    <row r="27" ht="15" customHeight="1" s="31">
      <c r="A27" s="35" t="inlineStr">
        <is>
          <t>Weight not in the CAD model (fasteners, paint, wiring)</t>
        </is>
      </c>
      <c r="G27" s="59">
        <f>SUMIF(H5:H23,"N",G5:G23)</f>
        <v/>
      </c>
    </row>
    <row r="28" ht="15" customHeight="1" s="31">
      <c r="A28" s="35" t="inlineStr">
        <is>
          <t>CAD model weight for this group (reference)</t>
        </is>
      </c>
      <c r="G28" s="46" t="n">
        <v>330.5</v>
      </c>
      <c r="J28" s="33" t="inlineStr">
        <is>
          <t>From the CAD weight reports (hull r4.2, drivetrain r5, layout r6 + cage r2 + flotation r5)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52" customWidth="1" style="30" min="2" max="2"/>
    <col width="7" customWidth="1" style="30" min="3" max="4"/>
    <col width="12" customWidth="1" style="30" min="5" max="6"/>
    <col width="11" customWidth="1" style="30" min="7" max="7"/>
    <col width="10" customWidth="1" style="30" min="8" max="8"/>
    <col width="28" customWidth="1" style="30" min="9" max="9"/>
    <col width="46" customWidth="1" style="30" min="10" max="10"/>
  </cols>
  <sheetData>
    <row r="1" ht="17.35" customHeight="1" s="31">
      <c r="A1" s="32" t="inlineStr">
        <is>
          <t>Straddle Dart — Drivetrain BOM (rev 7)</t>
        </is>
      </c>
    </row>
    <row r="2" ht="15" customHeight="1" s="31">
      <c r="A2" s="33" t="inlineStr">
        <is>
          <t>Costs are 2026 USD estimates. Blue cells are inputs you can change; Est. cost = Qty x Unit cost. Weight is the installed line weight in lb.</t>
        </is>
      </c>
    </row>
    <row r="4" ht="23.85" customHeight="1" s="31">
      <c r="A4" s="49" t="inlineStr">
        <is>
          <t>Item</t>
        </is>
      </c>
      <c r="B4" s="49" t="inlineStr">
        <is>
          <t>Use / spec</t>
        </is>
      </c>
      <c r="C4" s="49" t="inlineStr">
        <is>
          <t>Qty</t>
        </is>
      </c>
      <c r="D4" s="49" t="inlineStr">
        <is>
          <t>Unit</t>
        </is>
      </c>
      <c r="E4" s="49" t="inlineStr">
        <is>
          <t>Unit cost ($)</t>
        </is>
      </c>
      <c r="F4" s="49" t="inlineStr">
        <is>
          <t>Est. cost ($)</t>
        </is>
      </c>
      <c r="G4" s="49" t="inlineStr">
        <is>
          <t>Weight (lb)</t>
        </is>
      </c>
      <c r="H4" s="49" t="inlineStr">
        <is>
          <t>In CAD weight?</t>
        </is>
      </c>
      <c r="I4" s="49" t="inlineStr">
        <is>
          <t>Supplier link</t>
        </is>
      </c>
      <c r="J4" s="49" t="inlineStr">
        <is>
          <t>Notes</t>
        </is>
      </c>
    </row>
    <row r="5" ht="23.85" customHeight="1" s="31">
      <c r="A5" s="50" t="inlineStr">
        <is>
          <t>Suzuki G13B 1.3 L DOHC 16-valve engine, dressed</t>
        </is>
      </c>
      <c r="B5" s="50" t="inlineStr">
        <is>
          <t>1989-94 Suzuki Swift GT/GTi (US) or a JDM Cultus GT-i import; with flywheel, starter, alternator, intake, ECU and harness</t>
        </is>
      </c>
      <c r="C5" s="51" t="n">
        <v>1</v>
      </c>
      <c r="D5" s="52" t="inlineStr">
        <is>
          <t>ea</t>
        </is>
      </c>
      <c r="E5" s="53" t="n">
        <v>1200</v>
      </c>
      <c r="F5" s="54">
        <f>C5*E5</f>
        <v/>
      </c>
      <c r="G5" s="55" t="n">
        <v>194</v>
      </c>
      <c r="H5" s="52" t="inlineStr">
        <is>
          <t>Y</t>
        </is>
      </c>
      <c r="I5" s="60" t="inlineStr">
        <is>
          <t>https://www.car-part.com</t>
        </is>
      </c>
      <c r="J5" s="50" t="inlineStr">
        <is>
          <t>About 100 hp at 6,500 rpm, about 83 lb-ft. Weight is the CAD placeholder + 15 lb for the twin-cam head: verify weight and head clearances on the engine bought</t>
        </is>
      </c>
    </row>
    <row r="6" ht="23.85" customHeight="1" s="31">
      <c r="A6" s="50" t="inlineStr">
        <is>
          <t>Engine refresh kit</t>
        </is>
      </c>
      <c r="B6" s="50" t="inlineStr">
        <is>
          <t>Gaskets, timing belt + tensioner, water pump, plugs, thermostat, oil and filter</t>
        </is>
      </c>
      <c r="C6" s="51" t="n">
        <v>1</v>
      </c>
      <c r="D6" s="52" t="inlineStr">
        <is>
          <t>kit</t>
        </is>
      </c>
      <c r="E6" s="53" t="n">
        <v>320</v>
      </c>
      <c r="F6" s="54">
        <f>C6*E6</f>
        <v/>
      </c>
      <c r="G6" s="55" t="n">
        <v>0</v>
      </c>
      <c r="H6" s="52" t="inlineStr">
        <is>
          <t>N</t>
        </is>
      </c>
      <c r="I6" s="52" t="n"/>
      <c r="J6" s="50" t="n"/>
    </row>
    <row r="7" ht="15" customHeight="1" s="31">
      <c r="A7" s="50" t="inlineStr">
        <is>
          <t>Fuel delivery</t>
        </is>
      </c>
      <c r="B7" s="50" t="inlineStr">
        <is>
          <t>Electric pump, filter, fuel line, primer bulb, clamps</t>
        </is>
      </c>
      <c r="C7" s="51" t="n">
        <v>1</v>
      </c>
      <c r="D7" s="52" t="inlineStr">
        <is>
          <t>lot</t>
        </is>
      </c>
      <c r="E7" s="53" t="n">
        <v>140</v>
      </c>
      <c r="F7" s="54">
        <f>C7*E7</f>
        <v/>
      </c>
      <c r="G7" s="55" t="n">
        <v>3</v>
      </c>
      <c r="H7" s="52" t="inlineStr">
        <is>
          <t>N</t>
        </is>
      </c>
      <c r="I7" s="52" t="n"/>
      <c r="J7" s="50" t="n"/>
    </row>
    <row r="8" ht="23.85" customHeight="1" s="31">
      <c r="A8" s="50" t="inlineStr">
        <is>
          <t>Bellhousing adapter</t>
        </is>
      </c>
      <c r="B8" s="50" t="inlineStr">
        <is>
          <t>3/8 in 6061 plate + shroud, machined to the G13-family pattern (G13B), starter boss</t>
        </is>
      </c>
      <c r="C8" s="51" t="n">
        <v>1</v>
      </c>
      <c r="D8" s="52" t="inlineStr">
        <is>
          <t>ea</t>
        </is>
      </c>
      <c r="E8" s="53" t="n">
        <v>160</v>
      </c>
      <c r="F8" s="54">
        <f>C8*E8</f>
        <v/>
      </c>
      <c r="G8" s="55" t="n">
        <v>11</v>
      </c>
      <c r="H8" s="52" t="inlineStr">
        <is>
          <t>Y</t>
        </is>
      </c>
      <c r="I8" s="52" t="n"/>
      <c r="J8" s="50" t="inlineStr">
        <is>
          <t>Material + DIY machining; pattern from the real block</t>
        </is>
      </c>
    </row>
    <row r="9" ht="15" customHeight="1" s="31">
      <c r="A9" s="50" t="inlineStr">
        <is>
          <t>Flex coupling (jaw or donut type)</t>
        </is>
      </c>
      <c r="B9" s="50" t="inlineStr">
        <is>
          <t>Torsional damper, flywheel to jackshaft; rated 150 lb-ft or more</t>
        </is>
      </c>
      <c r="C9" s="51" t="n">
        <v>1</v>
      </c>
      <c r="D9" s="52" t="inlineStr">
        <is>
          <t>ea</t>
        </is>
      </c>
      <c r="E9" s="53" t="n">
        <v>130</v>
      </c>
      <c r="F9" s="54">
        <f>C9*E9</f>
        <v/>
      </c>
      <c r="G9" s="55" t="n">
        <v>1.3</v>
      </c>
      <c r="H9" s="52" t="inlineStr">
        <is>
          <t>Y</t>
        </is>
      </c>
      <c r="I9" s="52" t="n"/>
      <c r="J9" s="50" t="n"/>
    </row>
    <row r="10" ht="15" customHeight="1" s="31">
      <c r="A10" s="50" t="inlineStr">
        <is>
          <t>Jackshaft 1-1/4 in 4140 + 2 bearings + housing</t>
        </is>
      </c>
      <c r="B10" s="50" t="inlineStr">
        <is>
          <t>Takes belt pull off the crankshaft</t>
        </is>
      </c>
      <c r="C10" s="51" t="n">
        <v>1</v>
      </c>
      <c r="D10" s="52" t="inlineStr">
        <is>
          <t>lot</t>
        </is>
      </c>
      <c r="E10" s="53" t="n">
        <v>170</v>
      </c>
      <c r="F10" s="54">
        <f>C10*E10</f>
        <v/>
      </c>
      <c r="G10" s="55" t="n">
        <v>4.4</v>
      </c>
      <c r="H10" s="52" t="inlineStr">
        <is>
          <t>Y</t>
        </is>
      </c>
      <c r="I10" s="52" t="n"/>
      <c r="J10" s="50" t="n"/>
    </row>
    <row r="11" ht="15" customHeight="1" s="31">
      <c r="A11" s="50" t="inlineStr">
        <is>
          <t>HTD 8M pulley, 30 teeth, 85 mm, taper-lock + bushing</t>
        </is>
      </c>
      <c r="B11" s="50" t="inlineStr">
        <is>
          <t>Drive pulley on jackshaft</t>
        </is>
      </c>
      <c r="C11" s="51" t="n">
        <v>1</v>
      </c>
      <c r="D11" s="52" t="inlineStr">
        <is>
          <t>ea</t>
        </is>
      </c>
      <c r="E11" s="53" t="n">
        <v>140</v>
      </c>
      <c r="F11" s="54">
        <f>C11*E11</f>
        <v/>
      </c>
      <c r="G11" s="55" t="n">
        <v>5.7</v>
      </c>
      <c r="H11" s="52" t="inlineStr">
        <is>
          <t>Y</t>
        </is>
      </c>
      <c r="I11" s="52" t="n"/>
      <c r="J11" s="50" t="n"/>
    </row>
    <row r="12" ht="23.85" customHeight="1" s="31">
      <c r="A12" s="50" t="inlineStr">
        <is>
          <t>HTD 8M pulley, 75 teeth, 85 mm, aluminum, taper-lock + bushing</t>
        </is>
      </c>
      <c r="B12" s="50" t="inlineStr">
        <is>
          <t>Prop pulley between the bearings</t>
        </is>
      </c>
      <c r="C12" s="51" t="n">
        <v>1</v>
      </c>
      <c r="D12" s="52" t="inlineStr">
        <is>
          <t>ea</t>
        </is>
      </c>
      <c r="E12" s="53" t="n">
        <v>330</v>
      </c>
      <c r="F12" s="54">
        <f>C12*E12</f>
        <v/>
      </c>
      <c r="G12" s="55" t="n">
        <v>7.5</v>
      </c>
      <c r="H12" s="52" t="inlineStr">
        <is>
          <t>Y</t>
        </is>
      </c>
      <c r="I12" s="52" t="n"/>
      <c r="J12" s="50" t="n"/>
    </row>
    <row r="13" ht="15" customHeight="1" s="31">
      <c r="A13" s="50" t="inlineStr">
        <is>
          <t>HTD belt 2320-8M-85 (290 teeth)</t>
        </is>
      </c>
      <c r="B13" s="50" t="inlineStr">
        <is>
          <t>Gates PowerGrip HTD or equal; 2.5 : 1</t>
        </is>
      </c>
      <c r="C13" s="51" t="n">
        <v>1</v>
      </c>
      <c r="D13" s="52" t="inlineStr">
        <is>
          <t>ea</t>
        </is>
      </c>
      <c r="E13" s="53" t="n">
        <v>190</v>
      </c>
      <c r="F13" s="54">
        <f>C13*E13</f>
        <v/>
      </c>
      <c r="G13" s="55" t="n">
        <v>3</v>
      </c>
      <c r="H13" s="52" t="inlineStr">
        <is>
          <t>Y</t>
        </is>
      </c>
      <c r="I13" s="52" t="n"/>
      <c r="J13" s="50" t="inlineStr">
        <is>
          <t>Confirm width with Gates design data for the G13B (83 lb-ft, 6,500 rpm); may need a wider HTD belt or Poly Chain GT Carbon</t>
        </is>
      </c>
    </row>
    <row r="14" ht="15" customHeight="1" s="31">
      <c r="A14" s="50" t="inlineStr">
        <is>
          <t>Backside idler 3.5 in + bearing + pad bracket (optional)</t>
        </is>
      </c>
      <c r="B14" s="50" t="inlineStr">
        <is>
          <t>Slack-side idler bolted to adapter</t>
        </is>
      </c>
      <c r="C14" s="51" t="n">
        <v>1</v>
      </c>
      <c r="D14" s="52" t="inlineStr">
        <is>
          <t>ea</t>
        </is>
      </c>
      <c r="E14" s="53" t="n">
        <v>70</v>
      </c>
      <c r="F14" s="54">
        <f>C14*E14</f>
        <v/>
      </c>
      <c r="G14" s="55" t="n">
        <v>3.2</v>
      </c>
      <c r="H14" s="52" t="inlineStr">
        <is>
          <t>Y</t>
        </is>
      </c>
      <c r="I14" s="52" t="n"/>
      <c r="J14" s="50" t="inlineStr">
        <is>
          <t>Fit only if ground runs show belt flap</t>
        </is>
      </c>
    </row>
    <row r="15" ht="15" customHeight="1" s="31">
      <c r="A15" s="50" t="inlineStr">
        <is>
          <t>Prop shaft 1-1/2 in 4140 pre-hardened (28-32 HRC), 20 in, keyed</t>
        </is>
      </c>
      <c r="B15" s="50" t="inlineStr">
        <is>
          <t>Supported fore and aft</t>
        </is>
      </c>
      <c r="C15" s="51" t="n">
        <v>1</v>
      </c>
      <c r="D15" s="52" t="inlineStr">
        <is>
          <t>ea</t>
        </is>
      </c>
      <c r="E15" s="53" t="n">
        <v>140</v>
      </c>
      <c r="F15" s="54">
        <f>C15*E15</f>
        <v/>
      </c>
      <c r="G15" s="55" t="n">
        <v>9.800000000000001</v>
      </c>
      <c r="H15" s="52" t="inlineStr">
        <is>
          <t>Y</t>
        </is>
      </c>
      <c r="I15" s="52" t="n"/>
      <c r="J15" s="50" t="inlineStr">
        <is>
          <t>Pre-hardened for gyroscopic bending in hard turns; carry thrust on a shoulder or clamped collar, not set screws alone</t>
        </is>
      </c>
    </row>
    <row r="16" ht="15" customHeight="1" s="31">
      <c r="A16" s="50" t="inlineStr">
        <is>
          <t>Flange bearing 1-1/2 in, 4-bolt</t>
        </is>
      </c>
      <c r="B16" s="50" t="inlineStr">
        <is>
          <t>One in each yoke plate</t>
        </is>
      </c>
      <c r="C16" s="51" t="n">
        <v>2</v>
      </c>
      <c r="D16" s="52" t="inlineStr">
        <is>
          <t>ea</t>
        </is>
      </c>
      <c r="E16" s="53" t="n">
        <v>55</v>
      </c>
      <c r="F16" s="54">
        <f>C16*E16</f>
        <v/>
      </c>
      <c r="G16" s="55" t="n">
        <v>9</v>
      </c>
      <c r="H16" s="52" t="inlineStr">
        <is>
          <t>Y</t>
        </is>
      </c>
      <c r="I16" s="52" t="n"/>
      <c r="J16" s="50" t="n"/>
    </row>
    <row r="17" ht="15" customHeight="1" s="31">
      <c r="A17" s="50" t="inlineStr">
        <is>
          <t>Prop flange / hub adapter</t>
        </is>
      </c>
      <c r="B17" s="50" t="inlineStr">
        <is>
          <t>Machined to the Warp Drive HPL hub pattern</t>
        </is>
      </c>
      <c r="C17" s="51" t="n">
        <v>1</v>
      </c>
      <c r="D17" s="52" t="inlineStr">
        <is>
          <t>ea</t>
        </is>
      </c>
      <c r="E17" s="53" t="n">
        <v>140</v>
      </c>
      <c r="F17" s="54">
        <f>C17*E17</f>
        <v/>
      </c>
      <c r="G17" s="55" t="n">
        <v>3.8</v>
      </c>
      <c r="H17" s="52" t="inlineStr">
        <is>
          <t>Y</t>
        </is>
      </c>
      <c r="I17" s="52" t="n"/>
      <c r="J17" s="50" t="n"/>
    </row>
    <row r="18" ht="15" customHeight="1" s="31">
      <c r="A18" s="50" t="inlineStr">
        <is>
          <t>Tension yoke: 3/8 in 6061 plates + 1 in tie tubes</t>
        </is>
      </c>
      <c r="B18" s="50" t="inlineStr">
        <is>
          <t>Carries both bearings; pivots as one piece</t>
        </is>
      </c>
      <c r="C18" s="51" t="n">
        <v>1</v>
      </c>
      <c r="D18" s="52" t="inlineStr">
        <is>
          <t>lot</t>
        </is>
      </c>
      <c r="E18" s="53" t="n">
        <v>170</v>
      </c>
      <c r="F18" s="54">
        <f>C18*E18</f>
        <v/>
      </c>
      <c r="G18" s="55" t="n">
        <v>13.3</v>
      </c>
      <c r="H18" s="52" t="inlineStr">
        <is>
          <t>Y</t>
        </is>
      </c>
      <c r="I18" s="52" t="n"/>
      <c r="J18" s="50" t="n"/>
    </row>
    <row r="19" ht="23.85" customHeight="1" s="31">
      <c r="A19" s="50" t="inlineStr">
        <is>
          <t>1/2 in grade 8 bolts + lock nuts; 1/2-13 jack screw + block</t>
        </is>
      </c>
      <c r="B19" s="50" t="inlineStr">
        <is>
          <t>Pivot (2), arc slot (4), jack screw</t>
        </is>
      </c>
      <c r="C19" s="51" t="n">
        <v>1</v>
      </c>
      <c r="D19" s="52" t="inlineStr">
        <is>
          <t>lot</t>
        </is>
      </c>
      <c r="E19" s="53" t="n">
        <v>45</v>
      </c>
      <c r="F19" s="54">
        <f>C19*E19</f>
        <v/>
      </c>
      <c r="G19" s="55" t="n">
        <v>2</v>
      </c>
      <c r="H19" s="52" t="inlineStr">
        <is>
          <t>Y</t>
        </is>
      </c>
      <c r="I19" s="52" t="n"/>
      <c r="J19" s="50" t="n"/>
    </row>
    <row r="20" ht="15" customHeight="1" s="31">
      <c r="A20" s="50" t="inlineStr">
        <is>
          <t>6061 square tube 2 x 2 x 1/8 in</t>
        </is>
      </c>
      <c r="B20" s="50" t="inlineStr">
        <is>
          <t>A-frame legs and aft crossbar</t>
        </is>
      </c>
      <c r="C20" s="51" t="n">
        <v>17</v>
      </c>
      <c r="D20" s="52" t="inlineStr">
        <is>
          <t>ft</t>
        </is>
      </c>
      <c r="E20" s="56" t="n">
        <v>9</v>
      </c>
      <c r="F20" s="54">
        <f>C20*E20</f>
        <v/>
      </c>
      <c r="G20" s="55" t="n">
        <v>16.1</v>
      </c>
      <c r="H20" s="52" t="inlineStr">
        <is>
          <t>Y</t>
        </is>
      </c>
      <c r="I20" s="52" t="n"/>
      <c r="J20" s="50" t="n"/>
    </row>
    <row r="21" ht="15" customHeight="1" s="31">
      <c r="A21" s="50" t="inlineStr">
        <is>
          <t>6061 plate 3/8 in, 24 x 30 in</t>
        </is>
      </c>
      <c r="B21" s="50" t="inlineStr">
        <is>
          <t>Two gusset-shaped peak plates with lightening holes</t>
        </is>
      </c>
      <c r="C21" s="51" t="n">
        <v>1</v>
      </c>
      <c r="D21" s="52" t="inlineStr">
        <is>
          <t>ea</t>
        </is>
      </c>
      <c r="E21" s="53" t="n">
        <v>210</v>
      </c>
      <c r="F21" s="54">
        <f>C21*E21</f>
        <v/>
      </c>
      <c r="G21" s="55" t="n">
        <v>20</v>
      </c>
      <c r="H21" s="52" t="inlineStr">
        <is>
          <t>Y</t>
        </is>
      </c>
      <c r="I21" s="52" t="n"/>
      <c r="J21" s="50" t="n"/>
    </row>
    <row r="22" ht="15" customHeight="1" s="31">
      <c r="A22" s="50" t="inlineStr">
        <is>
          <t>6061 plate 1/4 in</t>
        </is>
      </c>
      <c r="B22" s="50" t="inlineStr">
        <is>
          <t>A-frame and brace feet (6)</t>
        </is>
      </c>
      <c r="C22" s="51" t="n">
        <v>1</v>
      </c>
      <c r="D22" s="52" t="inlineStr">
        <is>
          <t>lot</t>
        </is>
      </c>
      <c r="E22" s="53" t="n">
        <v>40</v>
      </c>
      <c r="F22" s="54">
        <f>C22*E22</f>
        <v/>
      </c>
      <c r="G22" s="55" t="n">
        <v>2.6</v>
      </c>
      <c r="H22" s="52" t="inlineStr">
        <is>
          <t>Y</t>
        </is>
      </c>
      <c r="I22" s="52" t="n"/>
      <c r="J22" s="50" t="n"/>
    </row>
    <row r="23" ht="15" customHeight="1" s="31">
      <c r="A23" s="50" t="inlineStr">
        <is>
          <t>6061 tube 1-1/2 x 1-1/2 x 1/8 and 1 x 1 in</t>
        </is>
      </c>
      <c r="B23" s="50" t="inlineStr">
        <is>
          <t>Diagonal braces (2) and adapter tie struts (2)</t>
        </is>
      </c>
      <c r="C23" s="51" t="n">
        <v>16</v>
      </c>
      <c r="D23" s="52" t="inlineStr">
        <is>
          <t>ft</t>
        </is>
      </c>
      <c r="E23" s="56" t="n">
        <v>8</v>
      </c>
      <c r="F23" s="54">
        <f>C23*E23</f>
        <v/>
      </c>
      <c r="G23" s="55" t="n">
        <v>7.1</v>
      </c>
      <c r="H23" s="52" t="inlineStr">
        <is>
          <t>Y</t>
        </is>
      </c>
      <c r="I23" s="52" t="n"/>
      <c r="J23" s="50" t="n"/>
    </row>
    <row r="24" ht="15" customHeight="1" s="31">
      <c r="A24" s="50" t="inlineStr">
        <is>
          <t>Engine mount: steel bracket + polyurethane bushing</t>
        </is>
      </c>
      <c r="B24" s="50" t="inlineStr">
        <is>
          <t>Bolted to engine-bed plates at x = 30 and 42 in</t>
        </is>
      </c>
      <c r="C24" s="51" t="n">
        <v>4</v>
      </c>
      <c r="D24" s="52" t="inlineStr">
        <is>
          <t>ea</t>
        </is>
      </c>
      <c r="E24" s="53" t="n">
        <v>35</v>
      </c>
      <c r="F24" s="54">
        <f>C24*E24</f>
        <v/>
      </c>
      <c r="G24" s="55" t="n">
        <v>15.3</v>
      </c>
      <c r="H24" s="52" t="inlineStr">
        <is>
          <t>Y</t>
        </is>
      </c>
      <c r="I24" s="52" t="n"/>
      <c r="J24" s="50" t="n"/>
    </row>
    <row r="25" ht="23.85" customHeight="1" s="31">
      <c r="A25" s="50" t="inlineStr">
        <is>
          <t>Warp Drive 64R-TX-HPL3 propeller</t>
        </is>
      </c>
      <c r="B25" s="50" t="inlineStr">
        <is>
          <t>64 in, 3 carbon blades, HPL hub, ground-adjustable, R rotation</t>
        </is>
      </c>
      <c r="C25" s="51" t="n">
        <v>1</v>
      </c>
      <c r="D25" s="52" t="inlineStr">
        <is>
          <t>ea</t>
        </is>
      </c>
      <c r="E25" s="53" t="n">
        <v>1395</v>
      </c>
      <c r="F25" s="54">
        <f>C25*E25</f>
        <v/>
      </c>
      <c r="G25" s="55" t="n">
        <v>18</v>
      </c>
      <c r="H25" s="52" t="inlineStr">
        <is>
          <t>Y</t>
        </is>
      </c>
      <c r="I25" s="60" t="inlineStr">
        <is>
          <t>https://warpdriveinc.com/product/3-bld-prop-hpl-hub/</t>
        </is>
      </c>
      <c r="J25" s="50" t="inlineStr">
        <is>
          <t>Price from Warp Drive page; confirm rotation, hub pattern and weight before ordering. G13B: pitch for 6,000-6,300 rpm at full throttle standing still</t>
        </is>
      </c>
    </row>
    <row r="26" ht="15" customHeight="1" s="31">
      <c r="A26" s="50" t="inlineStr">
        <is>
          <t>Leading-edge protection tape (stoneguard)</t>
        </is>
      </c>
      <c r="B26" s="50" t="inlineStr">
        <is>
          <t>Blade leading edges</t>
        </is>
      </c>
      <c r="C26" s="51" t="n">
        <v>1</v>
      </c>
      <c r="D26" s="52" t="inlineStr">
        <is>
          <t>kit</t>
        </is>
      </c>
      <c r="E26" s="53" t="n">
        <v>60</v>
      </c>
      <c r="F26" s="54">
        <f>C26*E26</f>
        <v/>
      </c>
      <c r="G26" s="55" t="n">
        <v>0</v>
      </c>
      <c r="H26" s="52" t="inlineStr">
        <is>
          <t>N</t>
        </is>
      </c>
      <c r="I26" s="52" t="n"/>
      <c r="J26" s="50" t="inlineStr">
        <is>
          <t>Warp Drive's nickel edge is the $390 alternative</t>
        </is>
      </c>
    </row>
    <row r="27" ht="23.85" customHeight="1" s="31">
      <c r="A27" s="50" t="inlineStr">
        <is>
          <t>Honda Civic radiator (junkyard) + hoses, clamps, coolant, overflow bottle</t>
        </is>
      </c>
      <c r="B27" s="50" t="inlineStr">
        <is>
          <t>Above the hub, in front of the prop</t>
        </is>
      </c>
      <c r="C27" s="51" t="n">
        <v>1</v>
      </c>
      <c r="D27" s="52" t="inlineStr">
        <is>
          <t>lot</t>
        </is>
      </c>
      <c r="E27" s="53" t="n">
        <v>140</v>
      </c>
      <c r="F27" s="54">
        <f>C27*E27</f>
        <v/>
      </c>
      <c r="G27" s="55" t="n">
        <v>20</v>
      </c>
      <c r="H27" s="52" t="inlineStr">
        <is>
          <t>Y</t>
        </is>
      </c>
      <c r="I27" s="52" t="n"/>
      <c r="J27" s="50" t="inlineStr">
        <is>
          <t>Civic radiator suits engines of about 100 hp; watch coolant temperature on a long static run</t>
        </is>
      </c>
    </row>
    <row r="28" ht="15" customHeight="1" s="31">
      <c r="A28" s="50" t="inlineStr">
        <is>
          <t>Radiator cradle rails + straps</t>
        </is>
      </c>
      <c r="B28" s="50" t="inlineStr">
        <is>
          <t>On the peak plates</t>
        </is>
      </c>
      <c r="C28" s="51" t="n">
        <v>1</v>
      </c>
      <c r="D28" s="52" t="inlineStr">
        <is>
          <t>lot</t>
        </is>
      </c>
      <c r="E28" s="53" t="n">
        <v>35</v>
      </c>
      <c r="F28" s="54">
        <f>C28*E28</f>
        <v/>
      </c>
      <c r="G28" s="55" t="n">
        <v>0.8</v>
      </c>
      <c r="H28" s="52" t="inlineStr">
        <is>
          <t>Y</t>
        </is>
      </c>
      <c r="I28" s="52" t="n"/>
      <c r="J28" s="50" t="n"/>
    </row>
    <row r="29" ht="23.85" customHeight="1" s="31">
      <c r="A29" s="50" t="inlineStr">
        <is>
          <t>Exhaust: mandrel bends, flex section, muffler, wrap, heat shields</t>
        </is>
      </c>
      <c r="B29" s="50" t="inlineStr">
        <is>
          <t>Low starboard; tailpipe over transom below the prop disk</t>
        </is>
      </c>
      <c r="C29" s="51" t="n">
        <v>1</v>
      </c>
      <c r="D29" s="52" t="inlineStr">
        <is>
          <t>lot</t>
        </is>
      </c>
      <c r="E29" s="53" t="n">
        <v>280</v>
      </c>
      <c r="F29" s="54">
        <f>C29*E29</f>
        <v/>
      </c>
      <c r="G29" s="55" t="n">
        <v>16</v>
      </c>
      <c r="H29" s="52" t="inlineStr">
        <is>
          <t>Y</t>
        </is>
      </c>
      <c r="I29" s="52" t="n"/>
      <c r="J29" s="50" t="n"/>
    </row>
    <row r="30" ht="15" customHeight="1" s="31">
      <c r="A30" s="50" t="inlineStr">
        <is>
          <t>Throttle cable + return spring</t>
        </is>
      </c>
      <c r="B30" s="50" t="inlineStr">
        <is>
          <t>Pedal to throttle body</t>
        </is>
      </c>
      <c r="C30" s="51" t="n">
        <v>1</v>
      </c>
      <c r="D30" s="52" t="inlineStr">
        <is>
          <t>lot</t>
        </is>
      </c>
      <c r="E30" s="53" t="n">
        <v>60</v>
      </c>
      <c r="F30" s="54">
        <f>C30*E30</f>
        <v/>
      </c>
      <c r="G30" s="55" t="n">
        <v>1</v>
      </c>
      <c r="H30" s="52" t="inlineStr">
        <is>
          <t>N</t>
        </is>
      </c>
      <c r="I30" s="52" t="n"/>
      <c r="J30" s="50" t="n"/>
    </row>
    <row r="31" ht="15" customHeight="1" s="31">
      <c r="A31" s="57" t="inlineStr">
        <is>
          <t>Rev 6 joint details</t>
        </is>
      </c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</row>
    <row r="32" ht="23.85" customHeight="1" s="31">
      <c r="A32" s="50" t="inlineStr">
        <is>
          <t>A-frame details: slotted leg tops, 1/8 caps, foot gussets, mitred crossbars</t>
        </is>
      </c>
      <c r="B32" s="50" t="inlineStr">
        <is>
          <t>6061 drops; TIG</t>
        </is>
      </c>
      <c r="C32" s="51" t="n">
        <v>1</v>
      </c>
      <c r="D32" s="52" t="inlineStr">
        <is>
          <t>lot</t>
        </is>
      </c>
      <c r="E32" s="53" t="n">
        <v>60</v>
      </c>
      <c r="F32" s="54">
        <f>C32*E32</f>
        <v/>
      </c>
      <c r="G32" s="55" t="n">
        <v>0</v>
      </c>
      <c r="H32" s="52" t="inlineStr">
        <is>
          <t>Y</t>
        </is>
      </c>
      <c r="I32" s="52" t="n"/>
      <c r="J32" s="50" t="inlineStr">
        <is>
          <t>Weight included in the A-frame line below</t>
        </is>
      </c>
    </row>
    <row r="33" ht="23.85" customHeight="1" s="31">
      <c r="A33" s="50" t="inlineStr">
        <is>
          <t>Brace clevises: 1/4 tongues and tab pairs, 3/8 grade 8 bolts + nylocks (4)</t>
        </is>
      </c>
      <c r="B33" s="50" t="inlineStr">
        <is>
          <t>Removable braces</t>
        </is>
      </c>
      <c r="C33" s="51" t="n">
        <v>1</v>
      </c>
      <c r="D33" s="52" t="inlineStr">
        <is>
          <t>lot</t>
        </is>
      </c>
      <c r="E33" s="53" t="n">
        <v>45</v>
      </c>
      <c r="F33" s="54">
        <f>C33*E33</f>
        <v/>
      </c>
      <c r="G33" s="55" t="n">
        <v>0</v>
      </c>
      <c r="H33" s="52" t="inlineStr">
        <is>
          <t>Y</t>
        </is>
      </c>
      <c r="I33" s="52" t="n"/>
      <c r="J33" s="50" t="n"/>
    </row>
    <row r="34" ht="15" customHeight="1" s="31">
      <c r="A34" s="50" t="inlineStr">
        <is>
          <t>Tie-strut tabs + 5/16 bolts (4)</t>
        </is>
      </c>
      <c r="B34" s="50" t="inlineStr">
        <is>
          <t>Adapter to crossbar</t>
        </is>
      </c>
      <c r="C34" s="51" t="n">
        <v>1</v>
      </c>
      <c r="D34" s="52" t="inlineStr">
        <is>
          <t>lot</t>
        </is>
      </c>
      <c r="E34" s="53" t="n">
        <v>20</v>
      </c>
      <c r="F34" s="54">
        <f>C34*E34</f>
        <v/>
      </c>
      <c r="G34" s="55" t="n">
        <v>0</v>
      </c>
      <c r="H34" s="52" t="inlineStr">
        <is>
          <t>Y</t>
        </is>
      </c>
      <c r="I34" s="52" t="n"/>
      <c r="J34" s="50" t="n"/>
    </row>
    <row r="35" ht="35.05" customHeight="1" s="31">
      <c r="A35" s="50" t="inlineStr">
        <is>
          <t>Engine mounts: 6061 cradles (4), steel engine-side brackets (4), DOM sleeves, poly bushings 1.75 OD x 1/2 ID (4), 1/2 grade 8 through-bolts (4)</t>
        </is>
      </c>
      <c r="B35" s="50" t="inlineStr">
        <is>
          <t>Engine-side holes to suit the real block</t>
        </is>
      </c>
      <c r="C35" s="51" t="n">
        <v>1</v>
      </c>
      <c r="D35" s="52" t="inlineStr">
        <is>
          <t>lot</t>
        </is>
      </c>
      <c r="E35" s="53" t="n">
        <v>160</v>
      </c>
      <c r="F35" s="54">
        <f>C35*E35</f>
        <v/>
      </c>
      <c r="G35" s="55" t="n">
        <v>0</v>
      </c>
      <c r="H35" s="52" t="inlineStr">
        <is>
          <t>Y</t>
        </is>
      </c>
      <c r="I35" s="52" t="n"/>
      <c r="J35" s="50" t="inlineStr">
        <is>
          <t>Measure the G13B mount bosses before drilling the engine-side brackets</t>
        </is>
      </c>
    </row>
    <row r="36" ht="23.85" customHeight="1" s="31">
      <c r="A36" s="50" t="inlineStr">
        <is>
          <t>Radiator: lower angle, 2 rubber grommets, 2 x 3/8 top stays with rubber bushings</t>
        </is>
      </c>
      <c r="B36" s="50" t="n"/>
      <c r="C36" s="51" t="n">
        <v>1</v>
      </c>
      <c r="D36" s="52" t="inlineStr">
        <is>
          <t>lot</t>
        </is>
      </c>
      <c r="E36" s="53" t="n">
        <v>45</v>
      </c>
      <c r="F36" s="54">
        <f>C36*E36</f>
        <v/>
      </c>
      <c r="G36" s="55" t="n">
        <v>0</v>
      </c>
      <c r="H36" s="52" t="inlineStr">
        <is>
          <t>Y</t>
        </is>
      </c>
      <c r="I36" s="52" t="n"/>
      <c r="J36" s="50" t="n"/>
    </row>
    <row r="37" ht="23.85" customHeight="1" s="31">
      <c r="A37" s="50" t="inlineStr">
        <is>
          <t>Exhaust: flex section, 2 rubber isolators, 2 SS band clamps, 6061 hanger brackets, tailpipe saddle + pad</t>
        </is>
      </c>
      <c r="B37" s="50" t="n"/>
      <c r="C37" s="51" t="n">
        <v>1</v>
      </c>
      <c r="D37" s="52" t="inlineStr">
        <is>
          <t>lot</t>
        </is>
      </c>
      <c r="E37" s="53" t="n">
        <v>95</v>
      </c>
      <c r="F37" s="54">
        <f>C37*E37</f>
        <v/>
      </c>
      <c r="G37" s="55" t="n">
        <v>0</v>
      </c>
      <c r="H37" s="52" t="inlineStr">
        <is>
          <t>Y</t>
        </is>
      </c>
      <c r="I37" s="52" t="n"/>
      <c r="J37" s="50" t="n"/>
    </row>
    <row r="38" ht="15" customHeight="1" s="31">
      <c r="A38" s="50" t="inlineStr">
        <is>
          <t>Bed-plate bolts 3/8 SS + nylocks + Tef-Gel (20)</t>
        </is>
      </c>
      <c r="B38" s="50" t="inlineStr">
        <is>
          <t>All feet and pads</t>
        </is>
      </c>
      <c r="C38" s="51" t="n">
        <v>20</v>
      </c>
      <c r="D38" s="52" t="inlineStr">
        <is>
          <t>ea</t>
        </is>
      </c>
      <c r="E38" s="56" t="n">
        <v>1.5</v>
      </c>
      <c r="F38" s="54">
        <f>C38*E38</f>
        <v/>
      </c>
      <c r="G38" s="55" t="n">
        <v>0</v>
      </c>
      <c r="H38" s="52" t="inlineStr">
        <is>
          <t>Y</t>
        </is>
      </c>
      <c r="I38" s="52" t="n"/>
      <c r="J38" s="50" t="n"/>
    </row>
    <row r="39" ht="15" customHeight="1" s="31">
      <c r="A39" s="50" t="inlineStr">
        <is>
          <t>Net weight of the rev 6 drivetrain details (CAD)</t>
        </is>
      </c>
      <c r="B39" s="50" t="inlineStr">
        <is>
          <t>Reconciles to the detailed drivetrain model</t>
        </is>
      </c>
      <c r="C39" s="51" t="n">
        <v>1</v>
      </c>
      <c r="D39" s="52" t="inlineStr">
        <is>
          <t>lot</t>
        </is>
      </c>
      <c r="E39" s="56" t="n">
        <v>0</v>
      </c>
      <c r="F39" s="54">
        <f>C39*E39</f>
        <v/>
      </c>
      <c r="G39" s="55" t="n">
        <v>14.8</v>
      </c>
      <c r="H39" s="52" t="inlineStr">
        <is>
          <t>Y</t>
        </is>
      </c>
      <c r="I39" s="52" t="n"/>
      <c r="J39" s="50" t="n"/>
    </row>
    <row r="41" ht="15" customHeight="1" s="31">
      <c r="A41" s="38" t="inlineStr">
        <is>
          <t>Total</t>
        </is>
      </c>
      <c r="B41" s="38" t="n"/>
      <c r="C41" s="38" t="n"/>
      <c r="D41" s="38" t="n"/>
      <c r="E41" s="38" t="n"/>
      <c r="F41" s="39">
        <f>SUM(F5:F39)</f>
        <v/>
      </c>
      <c r="G41" s="40">
        <f>SUM(G5:G39)</f>
        <v/>
      </c>
      <c r="H41" s="38" t="n"/>
      <c r="I41" s="38" t="n"/>
      <c r="J41" s="38" t="n"/>
    </row>
    <row r="42" ht="15" customHeight="1" s="31">
      <c r="A42" s="35" t="inlineStr">
        <is>
          <t>Weight included in the CAD model</t>
        </is>
      </c>
      <c r="G42" s="59">
        <f>SUMIF(H5:H39,"Y",G5:G39)</f>
        <v/>
      </c>
    </row>
    <row r="43" ht="15" customHeight="1" s="31">
      <c r="A43" s="35" t="inlineStr">
        <is>
          <t>Weight not in the CAD model (fasteners, paint, wiring)</t>
        </is>
      </c>
      <c r="G43" s="59">
        <f>SUMIF(H5:H39,"N",G5:G39)</f>
        <v/>
      </c>
    </row>
    <row r="44" ht="15" customHeight="1" s="31">
      <c r="A44" s="35" t="inlineStr">
        <is>
          <t>CAD model weight for this group (reference)</t>
        </is>
      </c>
      <c r="G44" s="46" t="n">
        <v>385.4</v>
      </c>
      <c r="J44" s="33" t="inlineStr">
        <is>
          <t>From the CAD weight reports (hull r4.2, drivetrain r5, layout r6 + cage r2 + flotation r5)</t>
        </is>
      </c>
    </row>
  </sheetData>
  <hyperlinks>
    <hyperlink xmlns:r="http://schemas.openxmlformats.org/officeDocument/2006/relationships" ref="I5" display="https://www.car-part.com" r:id="rId1"/>
    <hyperlink xmlns:r="http://schemas.openxmlformats.org/officeDocument/2006/relationships" ref="I25" display="https://warpdriveinc.com/product/3-bld-prop-hpl-hub/" r:id="rId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30" min="1" max="1"/>
    <col width="52" customWidth="1" style="30" min="2" max="2"/>
    <col width="7" customWidth="1" style="30" min="3" max="4"/>
    <col width="12" customWidth="1" style="30" min="5" max="6"/>
    <col width="11" customWidth="1" style="30" min="7" max="7"/>
    <col width="10" customWidth="1" style="30" min="8" max="8"/>
    <col width="28" customWidth="1" style="30" min="9" max="9"/>
    <col width="46" customWidth="1" style="30" min="10" max="10"/>
  </cols>
  <sheetData>
    <row r="1" ht="17.35" customHeight="1" s="31">
      <c r="A1" s="32" t="inlineStr">
        <is>
          <t>Straddle Dart — Everything else BOM: cage, rudders, steering, seating, controls, flotation, electrical, safety (rev 7)</t>
        </is>
      </c>
    </row>
    <row r="2" ht="15" customHeight="1" s="31">
      <c r="A2" s="33" t="inlineStr">
        <is>
          <t>Costs are 2026 USD estimates. Blue cells are inputs you can change; Est. cost = Qty x Unit cost. Weight is the installed line weight in lb.</t>
        </is>
      </c>
    </row>
    <row r="4" ht="23.85" customHeight="1" s="31">
      <c r="A4" s="49" t="inlineStr">
        <is>
          <t>Item</t>
        </is>
      </c>
      <c r="B4" s="49" t="inlineStr">
        <is>
          <t>Use / spec</t>
        </is>
      </c>
      <c r="C4" s="49" t="inlineStr">
        <is>
          <t>Qty</t>
        </is>
      </c>
      <c r="D4" s="49" t="inlineStr">
        <is>
          <t>Unit</t>
        </is>
      </c>
      <c r="E4" s="49" t="inlineStr">
        <is>
          <t>Unit cost ($)</t>
        </is>
      </c>
      <c r="F4" s="49" t="inlineStr">
        <is>
          <t>Est. cost ($)</t>
        </is>
      </c>
      <c r="G4" s="49" t="inlineStr">
        <is>
          <t>Weight (lb)</t>
        </is>
      </c>
      <c r="H4" s="49" t="inlineStr">
        <is>
          <t>In CAD weight?</t>
        </is>
      </c>
      <c r="I4" s="49" t="inlineStr">
        <is>
          <t>Supplier link</t>
        </is>
      </c>
      <c r="J4" s="49" t="inlineStr">
        <is>
          <t>Notes</t>
        </is>
      </c>
    </row>
    <row r="5" ht="15" customHeight="1" s="31">
      <c r="A5" s="57" t="inlineStr">
        <is>
          <t>Prop cage</t>
        </is>
      </c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</row>
    <row r="6" ht="15" customHeight="1" s="31">
      <c r="A6" s="50" t="inlineStr">
        <is>
          <t>Steel DOM tube 1 in x 0.083 in (yield 50 ksi or better)</t>
        </is>
      </c>
      <c r="B6" s="50" t="inlineStr">
        <is>
          <t>Two cage hoops, 72.4 in dia (about 19 ft each)</t>
        </is>
      </c>
      <c r="C6" s="51" t="n">
        <v>40</v>
      </c>
      <c r="D6" s="52" t="inlineStr">
        <is>
          <t>ft</t>
        </is>
      </c>
      <c r="E6" s="56" t="n">
        <v>6</v>
      </c>
      <c r="F6" s="54">
        <f>C6*E6</f>
        <v/>
      </c>
      <c r="G6" s="55" t="n">
        <v>30.9</v>
      </c>
      <c r="H6" s="52" t="inlineStr">
        <is>
          <t>Y</t>
        </is>
      </c>
      <c r="I6" s="52" t="n"/>
      <c r="J6" s="50" t="inlineStr">
        <is>
          <t>Was 1 x .049: the hoops carry rudder, steering and screen loads in bending (Structural Checks)</t>
        </is>
      </c>
    </row>
    <row r="7" ht="15" customHeight="1" s="31">
      <c r="A7" s="50" t="inlineStr">
        <is>
          <t>Tube rolling service</t>
        </is>
      </c>
      <c r="B7" s="50" t="inlineStr">
        <is>
          <t>Roll two 72.4 in DOM hoops</t>
        </is>
      </c>
      <c r="C7" s="51" t="n">
        <v>1</v>
      </c>
      <c r="D7" s="52" t="inlineStr">
        <is>
          <t>job</t>
        </is>
      </c>
      <c r="E7" s="53" t="n">
        <v>150</v>
      </c>
      <c r="F7" s="54">
        <f>C7*E7</f>
        <v/>
      </c>
      <c r="G7" s="55" t="n">
        <v>0</v>
      </c>
      <c r="H7" s="52" t="inlineStr">
        <is>
          <t>Y</t>
        </is>
      </c>
      <c r="I7" s="52" t="n"/>
      <c r="J7" s="50" t="inlineStr">
        <is>
          <t>Muffler or fab shop</t>
        </is>
      </c>
    </row>
    <row r="8" ht="15" customHeight="1" s="31">
      <c r="A8" s="50" t="inlineStr">
        <is>
          <t>Steel DOM tube 1 in x 0.065 in (yield 50 ksi or better)</t>
        </is>
      </c>
      <c r="B8" s="50" t="inlineStr">
        <is>
          <t>Cage legs, base rails, rudder rails, 8 longitudinals, aft screen bars, 2 side-bay diagonals</t>
        </is>
      </c>
      <c r="C8" s="51" t="n">
        <v>46</v>
      </c>
      <c r="D8" s="52" t="inlineStr">
        <is>
          <t>ft</t>
        </is>
      </c>
      <c r="E8" s="56" t="n">
        <v>5</v>
      </c>
      <c r="F8" s="54">
        <f>C8*E8</f>
        <v/>
      </c>
      <c r="G8" s="55" t="n">
        <v>29.8</v>
      </c>
      <c r="H8" s="52" t="inlineStr">
        <is>
          <t>Y</t>
        </is>
      </c>
      <c r="I8" s="52" t="n"/>
      <c r="J8" s="50" t="inlineStr">
        <is>
          <t>Longitudinals and aft bars were EMT; diagonals added (Structural Checks)</t>
        </is>
      </c>
    </row>
    <row r="9" ht="15" customHeight="1" s="31">
      <c r="A9" s="50" t="inlineStr">
        <is>
          <t>EMT conduit 1/2 in, 10 ft sticks</t>
        </is>
      </c>
      <c r="B9" s="50" t="inlineStr">
        <is>
          <t>Front screen bars (2)</t>
        </is>
      </c>
      <c r="C9" s="51" t="n">
        <v>2</v>
      </c>
      <c r="D9" s="52" t="inlineStr">
        <is>
          <t>stick</t>
        </is>
      </c>
      <c r="E9" s="53" t="n">
        <v>10</v>
      </c>
      <c r="F9" s="54">
        <f>C9*E9</f>
        <v/>
      </c>
      <c r="G9" s="55" t="n">
        <v>3.3</v>
      </c>
      <c r="H9" s="52" t="inlineStr">
        <is>
          <t>Y</t>
        </is>
      </c>
      <c r="I9" s="52" t="n"/>
      <c r="J9" s="50" t="inlineStr">
        <is>
          <t>Grind off zinc before welding; ventilate</t>
        </is>
      </c>
    </row>
    <row r="10" ht="15" customHeight="1" s="31">
      <c r="A10" s="50" t="inlineStr">
        <is>
          <t>Hardware cloth 1/2 in, 19 ga galvanized, 36 in x 50 ft</t>
        </is>
      </c>
      <c r="B10" s="50" t="inlineStr">
        <is>
          <t>Front, aft and side screens</t>
        </is>
      </c>
      <c r="C10" s="51" t="n">
        <v>1</v>
      </c>
      <c r="D10" s="52" t="inlineStr">
        <is>
          <t>roll</t>
        </is>
      </c>
      <c r="E10" s="53" t="n">
        <v>120</v>
      </c>
      <c r="F10" s="54">
        <f>C10*E10</f>
        <v/>
      </c>
      <c r="G10" s="55" t="n">
        <v>17.3</v>
      </c>
      <c r="H10" s="52" t="inlineStr">
        <is>
          <t>Y</t>
        </is>
      </c>
      <c r="I10" s="52" t="n"/>
      <c r="J10" s="50" t="inlineStr">
        <is>
          <t>Keep 4.7 in or more from any moving part</t>
        </is>
      </c>
    </row>
    <row r="11" ht="15" customHeight="1" s="31">
      <c r="A11" s="50" t="inlineStr">
        <is>
          <t>Shaft guard sleeve</t>
        </is>
      </c>
      <c r="B11" s="50" t="inlineStr">
        <is>
          <t>Fixed sleeve where the shaft passes the front screen</t>
        </is>
      </c>
      <c r="C11" s="51" t="n">
        <v>1</v>
      </c>
      <c r="D11" s="52" t="inlineStr">
        <is>
          <t>ea</t>
        </is>
      </c>
      <c r="E11" s="53" t="n">
        <v>15</v>
      </c>
      <c r="F11" s="54">
        <f>C11*E11</f>
        <v/>
      </c>
      <c r="G11" s="55" t="n">
        <v>0.2</v>
      </c>
      <c r="H11" s="52" t="inlineStr">
        <is>
          <t>Y</t>
        </is>
      </c>
      <c r="I11" s="52" t="n"/>
      <c r="J11" s="50" t="n"/>
    </row>
    <row r="12" ht="15" customHeight="1" s="31">
      <c r="A12" s="50" t="inlineStr">
        <is>
          <t>Welding wire, gas, paint for cage</t>
        </is>
      </c>
      <c r="B12" s="50" t="n"/>
      <c r="C12" s="51" t="n">
        <v>1</v>
      </c>
      <c r="D12" s="52" t="inlineStr">
        <is>
          <t>lot</t>
        </is>
      </c>
      <c r="E12" s="53" t="n">
        <v>120</v>
      </c>
      <c r="F12" s="54">
        <f>C12*E12</f>
        <v/>
      </c>
      <c r="G12" s="55" t="n">
        <v>0</v>
      </c>
      <c r="H12" s="52" t="inlineStr">
        <is>
          <t>N</t>
        </is>
      </c>
      <c r="I12" s="52" t="n"/>
      <c r="J12" s="50" t="n"/>
    </row>
    <row r="13" ht="15" customHeight="1" s="31">
      <c r="A13" s="57" t="inlineStr">
        <is>
          <t>Rudders and steering</t>
        </is>
      </c>
      <c r="B13" s="58" t="n"/>
      <c r="C13" s="58" t="n"/>
      <c r="D13" s="58" t="n"/>
      <c r="E13" s="58" t="n"/>
      <c r="F13" s="58" t="n"/>
      <c r="G13" s="58" t="n"/>
      <c r="H13" s="58" t="n"/>
      <c r="I13" s="58" t="n"/>
      <c r="J13" s="58" t="n"/>
    </row>
    <row r="14" ht="15" customHeight="1" s="31">
      <c r="A14" s="50" t="inlineStr">
        <is>
          <t>Aluminum honeycomb panel 20 mm, 4 x 8 ft</t>
        </is>
      </c>
      <c r="B14" s="50" t="inlineStr">
        <is>
          <t>Two rudders 14 x 44 in</t>
        </is>
      </c>
      <c r="C14" s="51" t="n">
        <v>1</v>
      </c>
      <c r="D14" s="52" t="inlineStr">
        <is>
          <t>sheet</t>
        </is>
      </c>
      <c r="E14" s="53" t="n">
        <v>380</v>
      </c>
      <c r="F14" s="54">
        <f>C14*E14</f>
        <v/>
      </c>
      <c r="G14" s="55" t="n">
        <v>11.9</v>
      </c>
      <c r="H14" s="52" t="inlineStr">
        <is>
          <t>Y</t>
        </is>
      </c>
      <c r="I14" s="60" t="inlineStr">
        <is>
          <t>https://www.chalcoaluminum.com/knowledge/sandwich-panel/#Honeycomb</t>
        </is>
      </c>
      <c r="J14" s="50" t="inlineStr">
        <is>
          <t>Price is an estimate; request a quote</t>
        </is>
      </c>
    </row>
    <row r="15" ht="23.85" customHeight="1" s="31">
      <c r="A15" s="50" t="inlineStr">
        <is>
          <t>Aluminum U-channel 3/4 in, hinge tube 1 in x 0.083 in, horns</t>
        </is>
      </c>
      <c r="B15" s="50" t="inlineStr">
        <is>
          <t>Rudder edges and hinges; seal all edges</t>
        </is>
      </c>
      <c r="C15" s="51" t="n">
        <v>1</v>
      </c>
      <c r="D15" s="52" t="inlineStr">
        <is>
          <t>lot</t>
        </is>
      </c>
      <c r="E15" s="53" t="n">
        <v>90</v>
      </c>
      <c r="F15" s="54">
        <f>C15*E15</f>
        <v/>
      </c>
      <c r="G15" s="55" t="n">
        <v>5.6</v>
      </c>
      <c r="H15" s="52" t="inlineStr">
        <is>
          <t>Y</t>
        </is>
      </c>
      <c r="I15" s="52" t="n"/>
      <c r="J15" s="50" t="n"/>
    </row>
    <row r="16" ht="15" customHeight="1" s="31">
      <c r="A16" s="50" t="inlineStr">
        <is>
          <t>Hinge brackets and bushings</t>
        </is>
      </c>
      <c r="B16" s="50" t="inlineStr">
        <is>
          <t>On the 1 in rudder rails</t>
        </is>
      </c>
      <c r="C16" s="51" t="n">
        <v>4</v>
      </c>
      <c r="D16" s="52" t="inlineStr">
        <is>
          <t>ea</t>
        </is>
      </c>
      <c r="E16" s="53" t="n">
        <v>10</v>
      </c>
      <c r="F16" s="54">
        <f>C16*E16</f>
        <v/>
      </c>
      <c r="G16" s="55" t="n">
        <v>0</v>
      </c>
      <c r="H16" s="52" t="inlineStr">
        <is>
          <t>N</t>
        </is>
      </c>
      <c r="I16" s="52" t="n"/>
      <c r="J16" s="50" t="n"/>
    </row>
    <row r="17" ht="15" customHeight="1" s="31">
      <c r="A17" s="50" t="inlineStr">
        <is>
          <t>Steering linkage: 2 aft horns, tie bar and drive link (5/8 x .065 steel, 4 rod ends), bellcrank (1/4 steel, 3.5 / 4 in arms) on a 3/8 x 1.5 steel bracket welded to the aft hoop, 1 x .065 DOM long rod (8.5 ft) with 2 rod ends, 3/8 SS pins</t>
        </is>
      </c>
      <c r="B17" s="50" t="inlineStr">
        <is>
          <t>Rudders to the left-hand steering lever; every link straight and pinned at both ends</t>
        </is>
      </c>
      <c r="C17" s="51" t="n">
        <v>1</v>
      </c>
      <c r="D17" s="52" t="inlineStr">
        <is>
          <t>lot</t>
        </is>
      </c>
      <c r="E17" s="53" t="n">
        <v>190</v>
      </c>
      <c r="F17" s="54">
        <f>C17*E17</f>
        <v/>
      </c>
      <c r="G17" s="55" t="n">
        <v>8.800000000000001</v>
      </c>
      <c r="H17" s="52" t="inlineStr">
        <is>
          <t>Y</t>
        </is>
      </c>
      <c r="I17" s="52" t="n"/>
      <c r="J17" s="50" t="inlineStr">
        <is>
          <t>Replaces the dog-legged pushrod, which would have bent (Structural Checks, finding 1); notch the aft screen mesh round the bracket</t>
        </is>
      </c>
    </row>
    <row r="18" ht="15" customHeight="1" s="31">
      <c r="A18" s="57" t="inlineStr">
        <is>
          <t>Seating, controls, fuel, battery</t>
        </is>
      </c>
      <c r="B18" s="58" t="n"/>
      <c r="C18" s="58" t="n"/>
      <c r="D18" s="58" t="n"/>
      <c r="E18" s="58" t="n"/>
      <c r="F18" s="58" t="n"/>
      <c r="G18" s="58" t="n"/>
      <c r="H18" s="58" t="n"/>
      <c r="I18" s="58" t="n"/>
      <c r="J18" s="58" t="n"/>
    </row>
    <row r="19" ht="23.85" customHeight="1" s="31">
      <c r="A19" s="50" t="inlineStr">
        <is>
          <t>Marine plywood 3/8 in, 4x8</t>
        </is>
      </c>
      <c r="B19" s="50" t="inlineStr">
        <is>
          <t>Floor, transom to x = 121 in, 64 in wide</t>
        </is>
      </c>
      <c r="C19" s="51" t="n">
        <v>5</v>
      </c>
      <c r="D19" s="52" t="inlineStr">
        <is>
          <t>sheet</t>
        </is>
      </c>
      <c r="E19" s="53" t="n">
        <v>110</v>
      </c>
      <c r="F19" s="54">
        <f>C19*E19</f>
        <v/>
      </c>
      <c r="G19" s="55" t="n">
        <v>61.7</v>
      </c>
      <c r="H19" s="52" t="inlineStr">
        <is>
          <t>Y</t>
        </is>
      </c>
      <c r="I19" s="52" t="n"/>
      <c r="J19" s="50" t="inlineStr">
        <is>
          <t>Bolt-down panels resting on the stringer tops (aft panel included); 6.5 in cutouts for deck plates</t>
        </is>
      </c>
    </row>
    <row r="20" ht="15" customHeight="1" s="31">
      <c r="A20" s="50" t="inlineStr">
        <is>
          <t>Marine plywood 1/2 in, 4x8</t>
        </is>
      </c>
      <c r="B20" s="50" t="inlineStr">
        <is>
          <t>Straddle bench box and bow shelf</t>
        </is>
      </c>
      <c r="C20" s="51" t="n">
        <v>1</v>
      </c>
      <c r="D20" s="52" t="inlineStr">
        <is>
          <t>sheet</t>
        </is>
      </c>
      <c r="E20" s="53" t="n">
        <v>150</v>
      </c>
      <c r="F20" s="54">
        <f>C20*E20</f>
        <v/>
      </c>
      <c r="G20" s="55" t="n">
        <v>33.3</v>
      </c>
      <c r="H20" s="52" t="inlineStr">
        <is>
          <t>Y</t>
        </is>
      </c>
      <c r="I20" s="52" t="n"/>
      <c r="J20" s="50" t="n"/>
    </row>
    <row r="21" ht="15" customHeight="1" s="31">
      <c r="A21" s="50" t="inlineStr">
        <is>
          <t>Bench lids and seals: Al ledge ring + EPDM gasket + 6 SS bolts into clip nuts (battery bay); 2 SS hinges, 2 locking lid stays, rubber T-latch, 1 in drain plug (cooler)</t>
        </is>
      </c>
      <c r="B21" s="50" t="inlineStr">
        <is>
          <t>Sealed battery bay forward; gasketed dry storage / cooler aft</t>
        </is>
      </c>
      <c r="C21" s="51" t="n">
        <v>1</v>
      </c>
      <c r="D21" s="52" t="inlineStr">
        <is>
          <t>lot</t>
        </is>
      </c>
      <c r="E21" s="53" t="n">
        <v>160</v>
      </c>
      <c r="F21" s="54">
        <f>C21*E21</f>
        <v/>
      </c>
      <c r="G21" s="55" t="n">
        <v>4</v>
      </c>
      <c r="H21" s="52" t="inlineStr">
        <is>
          <t>Y</t>
        </is>
      </c>
      <c r="I21" s="52" t="n"/>
      <c r="J21" s="50" t="inlineStr">
        <is>
          <t>Cooler lid hinges on the starboard top corner, opens about 95 deg</t>
        </is>
      </c>
    </row>
    <row r="22" ht="15" customHeight="1" s="31">
      <c r="A22" s="50" t="inlineStr">
        <is>
          <t>Seat foam + marine vinyl</t>
        </is>
      </c>
      <c r="B22" s="50" t="inlineStr">
        <is>
          <t>Three cushions: driver (removable, over the battery lid), passenger (on the cooler lid), aft fixed</t>
        </is>
      </c>
      <c r="C22" s="51" t="n">
        <v>1</v>
      </c>
      <c r="D22" s="52" t="inlineStr">
        <is>
          <t>lot</t>
        </is>
      </c>
      <c r="E22" s="53" t="n">
        <v>170</v>
      </c>
      <c r="F22" s="54">
        <f>C22*E22</f>
        <v/>
      </c>
      <c r="G22" s="55" t="n">
        <v>4</v>
      </c>
      <c r="H22" s="52" t="inlineStr">
        <is>
          <t>Y</t>
        </is>
      </c>
      <c r="I22" s="52" t="n"/>
      <c r="J22" s="50" t="n"/>
    </row>
    <row r="23" ht="15" customHeight="1" s="31">
      <c r="A23" s="50" t="inlineStr">
        <is>
          <t>Removable backrests</t>
        </is>
      </c>
      <c r="B23" s="50" t="inlineStr">
        <is>
          <t>Driver and passenger</t>
        </is>
      </c>
      <c r="C23" s="51" t="n">
        <v>2</v>
      </c>
      <c r="D23" s="52" t="inlineStr">
        <is>
          <t>ea</t>
        </is>
      </c>
      <c r="E23" s="53" t="n">
        <v>55</v>
      </c>
      <c r="F23" s="54">
        <f>C23*E23</f>
        <v/>
      </c>
      <c r="G23" s="55" t="n">
        <v>10</v>
      </c>
      <c r="H23" s="52" t="inlineStr">
        <is>
          <t>Y</t>
        </is>
      </c>
      <c r="I23" s="52" t="n"/>
      <c r="J23" s="50" t="n"/>
    </row>
    <row r="24" ht="15" customHeight="1" s="31">
      <c r="A24" s="50" t="inlineStr">
        <is>
          <t>Passenger grab handles</t>
        </is>
      </c>
      <c r="B24" s="50" t="inlineStr">
        <is>
          <t>Both sides of the bench; loop 10.5 in off centre, top bar 20 in up (clears the cooler lid)</t>
        </is>
      </c>
      <c r="C24" s="51" t="n">
        <v>2</v>
      </c>
      <c r="D24" s="52" t="inlineStr">
        <is>
          <t>ea</t>
        </is>
      </c>
      <c r="E24" s="53" t="n">
        <v>22</v>
      </c>
      <c r="F24" s="54">
        <f>C24*E24</f>
        <v/>
      </c>
      <c r="G24" s="55" t="n">
        <v>3</v>
      </c>
      <c r="H24" s="52" t="inlineStr">
        <is>
          <t>Y</t>
        </is>
      </c>
      <c r="I24" s="52" t="n"/>
      <c r="J24" s="50" t="n"/>
    </row>
    <row r="25" ht="15" customHeight="1" s="31">
      <c r="A25" s="50" t="inlineStr">
        <is>
          <t>Expanded-metal engine guard</t>
        </is>
      </c>
      <c r="B25" s="50" t="inlineStr">
        <is>
          <t>Between passenger and engine front</t>
        </is>
      </c>
      <c r="C25" s="51" t="n">
        <v>1</v>
      </c>
      <c r="D25" s="52" t="inlineStr">
        <is>
          <t>ea</t>
        </is>
      </c>
      <c r="E25" s="53" t="n">
        <v>60</v>
      </c>
      <c r="F25" s="54">
        <f>C25*E25</f>
        <v/>
      </c>
      <c r="G25" s="55" t="n">
        <v>5</v>
      </c>
      <c r="H25" s="52" t="inlineStr">
        <is>
          <t>Y</t>
        </is>
      </c>
      <c r="I25" s="52" t="n"/>
      <c r="J25" s="50" t="n"/>
    </row>
    <row r="26" ht="15" customHeight="1" s="31">
      <c r="A26" s="50" t="inlineStr">
        <is>
          <t>Footrest, two foot ladders (6061 solid 1 in rod, welded)</t>
        </is>
      </c>
      <c r="B26" s="50" t="inlineStr">
        <is>
          <t>Left rails 7.5 and 12.5 in to port, right rails 7.5 and 14.5 in to starboard; 5 rungs each at x 105.5-117.5 in, rising 22.7 deg to the bow shelf; 8 foot plates 3/16</t>
        </is>
      </c>
      <c r="C26" s="51" t="n">
        <v>1</v>
      </c>
      <c r="D26" s="52" t="inlineStr">
        <is>
          <t>ea</t>
        </is>
      </c>
      <c r="E26" s="53" t="n">
        <v>70</v>
      </c>
      <c r="F26" s="54">
        <f>C26*E26</f>
        <v/>
      </c>
      <c r="G26" s="55" t="n">
        <v>6.5</v>
      </c>
      <c r="H26" s="52" t="inlineStr">
        <is>
          <t>Y</t>
        </is>
      </c>
      <c r="I26" s="52" t="n"/>
      <c r="J26" s="50" t="inlineStr">
        <is>
          <t>A landing for each foot like motorcycle pegs; the throttle pedal clamps to any right-ladder rung</t>
        </is>
      </c>
    </row>
    <row r="27" ht="15" customHeight="1" s="31">
      <c r="A27" s="50" t="inlineStr">
        <is>
          <t>Throttle pedal assembly, rung-mounted</t>
        </is>
      </c>
      <c r="B27" s="50" t="inlineStr">
        <is>
          <t>Clamps to any rung of the right foot ladder (centred 10.75 in to starboard); cable arm, torsion return spring, rest stop</t>
        </is>
      </c>
      <c r="C27" s="51" t="n">
        <v>1</v>
      </c>
      <c r="D27" s="52" t="inlineStr">
        <is>
          <t>ea</t>
        </is>
      </c>
      <c r="E27" s="53" t="n">
        <v>75</v>
      </c>
      <c r="F27" s="54">
        <f>C27*E27</f>
        <v/>
      </c>
      <c r="G27" s="55" t="n">
        <v>2.2</v>
      </c>
      <c r="H27" s="52" t="inlineStr">
        <is>
          <t>Y</t>
        </is>
      </c>
      <c r="I27" s="52" t="n"/>
      <c r="J27" s="50" t="inlineStr">
        <is>
          <t>Rung 3 suits an average adult</t>
        </is>
      </c>
    </row>
    <row r="28" ht="15" customHeight="1" s="31">
      <c r="A28" s="50" t="inlineStr">
        <is>
          <t>Steering lever + pivot</t>
        </is>
      </c>
      <c r="B28" s="50" t="inlineStr">
        <is>
          <t>Port side, left hand; 1.5 in outboard of the original position (clear of the left knee)</t>
        </is>
      </c>
      <c r="C28" s="51" t="n">
        <v>1</v>
      </c>
      <c r="D28" s="52" t="inlineStr">
        <is>
          <t>ea</t>
        </is>
      </c>
      <c r="E28" s="53" t="n">
        <v>70</v>
      </c>
      <c r="F28" s="54">
        <f>C28*E28</f>
        <v/>
      </c>
      <c r="G28" s="55" t="n">
        <v>7</v>
      </c>
      <c r="H28" s="52" t="inlineStr">
        <is>
          <t>Y</t>
        </is>
      </c>
      <c r="I28" s="52" t="n"/>
      <c r="J28" s="50" t="n"/>
    </row>
    <row r="29" ht="15" customHeight="1" s="31">
      <c r="A29" s="50" t="inlineStr">
        <is>
          <t>Padded grab bar</t>
        </is>
      </c>
      <c r="B29" s="50" t="inlineStr">
        <is>
          <t>Starboard, right hand at 42 in</t>
        </is>
      </c>
      <c r="C29" s="51" t="n">
        <v>0</v>
      </c>
      <c r="D29" s="52" t="inlineStr">
        <is>
          <t>ea</t>
        </is>
      </c>
      <c r="E29" s="53" t="n">
        <v>55</v>
      </c>
      <c r="F29" s="54">
        <f>C29*E29</f>
        <v/>
      </c>
      <c r="G29" s="55" t="n">
        <v>0</v>
      </c>
      <c r="H29" s="52" t="inlineStr">
        <is>
          <t>Y</t>
        </is>
      </c>
      <c r="I29" s="52" t="n"/>
      <c r="J29" s="50" t="inlineStr">
        <is>
          <t>Replaced by the rev 7 driver station (see below)</t>
        </is>
      </c>
    </row>
    <row r="30" ht="15" customHeight="1" s="31">
      <c r="A30" s="50" t="inlineStr">
        <is>
          <t>Portable fuel tank 6.6 gal + fuel line and primer bulb</t>
        </is>
      </c>
      <c r="B30" s="50" t="inlineStr">
        <is>
          <t>Strapped on the bow shelf</t>
        </is>
      </c>
      <c r="C30" s="51" t="n">
        <v>1</v>
      </c>
      <c r="D30" s="52" t="inlineStr">
        <is>
          <t>lot</t>
        </is>
      </c>
      <c r="E30" s="53" t="n">
        <v>120</v>
      </c>
      <c r="F30" s="54">
        <f>C30*E30</f>
        <v/>
      </c>
      <c r="G30" s="55" t="n">
        <v>4.5</v>
      </c>
      <c r="H30" s="52" t="inlineStr">
        <is>
          <t>Y</t>
        </is>
      </c>
      <c r="I30" s="52" t="n"/>
      <c r="J30" s="50" t="inlineStr">
        <is>
          <t>Fuel itself (40 lb full) not counted</t>
        </is>
      </c>
    </row>
    <row r="31" ht="15" customHeight="1" s="31">
      <c r="A31" s="50" t="inlineStr">
        <is>
          <t>Battery, Group 31 AGM about 100 Ah, dual purpose + tray and strap</t>
        </is>
      </c>
      <c r="B31" s="50" t="inlineStr">
        <is>
          <t>Battery bay at the front of the bench, under the driver</t>
        </is>
      </c>
      <c r="C31" s="51" t="n">
        <v>1</v>
      </c>
      <c r="D31" s="52" t="inlineStr">
        <is>
          <t>ea</t>
        </is>
      </c>
      <c r="E31" s="53" t="n">
        <v>300</v>
      </c>
      <c r="F31" s="54">
        <f>C31*E31</f>
        <v/>
      </c>
      <c r="G31" s="55" t="n">
        <v>68</v>
      </c>
      <c r="H31" s="52" t="inlineStr">
        <is>
          <t>Y</t>
        </is>
      </c>
      <c r="I31" s="52" t="n"/>
      <c r="J31" s="50" t="inlineStr">
        <is>
          <t>Sealed AGM; reserve for the 12 V outlet with the engine off</t>
        </is>
      </c>
    </row>
    <row r="32" ht="15" customHeight="1" s="31">
      <c r="A32" s="50" t="inlineStr">
        <is>
          <t>Adjustable trim tab (DIY aluminum)</t>
        </is>
      </c>
      <c r="B32" s="50" t="inlineStr">
        <is>
          <t>18 x 6 in, starboard half of transom</t>
        </is>
      </c>
      <c r="C32" s="51" t="n">
        <v>1</v>
      </c>
      <c r="D32" s="52" t="inlineStr">
        <is>
          <t>ea</t>
        </is>
      </c>
      <c r="E32" s="53" t="n">
        <v>60</v>
      </c>
      <c r="F32" s="54">
        <f>C32*E32</f>
        <v/>
      </c>
      <c r="G32" s="55" t="n">
        <v>4</v>
      </c>
      <c r="H32" s="52" t="inlineStr">
        <is>
          <t>Y</t>
        </is>
      </c>
      <c r="I32" s="52" t="n"/>
      <c r="J32" s="50" t="n"/>
    </row>
    <row r="33" ht="15" customHeight="1" s="31">
      <c r="A33" s="57" t="inlineStr">
        <is>
          <t>Flotation, sump, pump</t>
        </is>
      </c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</row>
    <row r="34" ht="35.05" customHeight="1" s="31">
      <c r="A34" s="50" t="inlineStr">
        <is>
          <t>Two-part pour foam, 2 lb/cu ft closed-cell urethane, about 8 cu ft per kit</t>
        </is>
      </c>
      <c r="B34" s="50" t="inlineStr">
        <is>
          <t>24 removable blocks: thin blocks under the floor aft of x = 72 in (5.1 cu ft) and under the bow shelf (4.4 cu ft), poured in molds or in each bay on a release-lined tray</t>
        </is>
      </c>
      <c r="C34" s="51" t="n">
        <v>2</v>
      </c>
      <c r="D34" s="52" t="inlineStr">
        <is>
          <t>kit</t>
        </is>
      </c>
      <c r="E34" s="53" t="n">
        <v>115</v>
      </c>
      <c r="F34" s="54">
        <f>C34*E34</f>
        <v/>
      </c>
      <c r="G34" s="55" t="n">
        <v>19</v>
      </c>
      <c r="H34" s="52" t="inlineStr">
        <is>
          <t>Y</t>
        </is>
      </c>
      <c r="I34" s="52" t="n"/>
      <c r="J34" s="50" t="inlineStr">
        <is>
          <t>Urethane only (gasoline resistant); nothing bonded to the aluminum</t>
        </is>
      </c>
    </row>
    <row r="35" ht="23.85" customHeight="1" s="31">
      <c r="A35" s="50" t="inlineStr">
        <is>
          <t>Coroplast 4 mm 4 x 8 sheets + polyurea or epoxy seal coat</t>
        </is>
      </c>
      <c r="B35" s="50" t="inlineStr">
        <is>
          <t>Bottom tray and sealed skin on every block</t>
        </is>
      </c>
      <c r="C35" s="51" t="n">
        <v>1</v>
      </c>
      <c r="D35" s="52" t="inlineStr">
        <is>
          <t>lot</t>
        </is>
      </c>
      <c r="E35" s="53" t="n">
        <v>100</v>
      </c>
      <c r="F35" s="54">
        <f>C35*E35</f>
        <v/>
      </c>
      <c r="G35" s="55" t="n">
        <v>3.7</v>
      </c>
      <c r="H35" s="52" t="inlineStr">
        <is>
          <t>Y</t>
        </is>
      </c>
      <c r="I35" s="52" t="n"/>
      <c r="J35" s="50" t="inlineStr">
        <is>
          <t>Sealed skin slows water uptake</t>
        </is>
      </c>
    </row>
    <row r="36" ht="23.85" customHeight="1" s="31">
      <c r="A36" s="50" t="inlineStr">
        <is>
          <t>HDPE sheet 1/2 in, 12 x 24 in</t>
        </is>
      </c>
      <c r="B36" s="50" t="inlineStr">
        <is>
          <t>54 spacer pads 1.5 x 1.5 in, glued to block bottoms (1/2 in drained channel)</t>
        </is>
      </c>
      <c r="C36" s="51" t="n">
        <v>1</v>
      </c>
      <c r="D36" s="52" t="inlineStr">
        <is>
          <t>sheet</t>
        </is>
      </c>
      <c r="E36" s="53" t="n">
        <v>35</v>
      </c>
      <c r="F36" s="54">
        <f>C36*E36</f>
        <v/>
      </c>
      <c r="G36" s="55" t="n">
        <v>2.1</v>
      </c>
      <c r="H36" s="52" t="inlineStr">
        <is>
          <t>Y</t>
        </is>
      </c>
      <c r="I36" s="52" t="n"/>
      <c r="J36" s="50" t="n"/>
    </row>
    <row r="37" ht="23.85" customHeight="1" s="31">
      <c r="A37" s="50" t="inlineStr">
        <is>
          <t>Two-part pour foam kit + covers and straps</t>
        </is>
      </c>
      <c r="B37" s="50" t="inlineStr">
        <is>
          <t>Removable side blocks (6.4 cu ft), molded to fit; they give the swamped boat its stability</t>
        </is>
      </c>
      <c r="C37" s="51" t="n">
        <v>1</v>
      </c>
      <c r="D37" s="52" t="inlineStr">
        <is>
          <t>lot</t>
        </is>
      </c>
      <c r="E37" s="53" t="n">
        <v>215</v>
      </c>
      <c r="F37" s="54">
        <f>C37*E37</f>
        <v/>
      </c>
      <c r="G37" s="55" t="n">
        <v>12.8</v>
      </c>
      <c r="H37" s="52" t="inlineStr">
        <is>
          <t>Y</t>
        </is>
      </c>
      <c r="I37" s="52" t="n"/>
      <c r="J37" s="50" t="inlineStr">
        <is>
          <t>Must be strapped in whenever the boat is used</t>
        </is>
      </c>
    </row>
    <row r="38" ht="15" customHeight="1" s="31">
      <c r="A38" s="50" t="inlineStr">
        <is>
          <t>Screw-out deck plates, 6 in</t>
        </is>
      </c>
      <c r="B38" s="50" t="inlineStr">
        <is>
          <t>Inspection ports in the floor (8)</t>
        </is>
      </c>
      <c r="C38" s="51" t="n">
        <v>8</v>
      </c>
      <c r="D38" s="52" t="inlineStr">
        <is>
          <t>ea</t>
        </is>
      </c>
      <c r="E38" s="53" t="n">
        <v>14</v>
      </c>
      <c r="F38" s="54">
        <f>C38*E38</f>
        <v/>
      </c>
      <c r="G38" s="55" t="n">
        <v>3.6</v>
      </c>
      <c r="H38" s="52" t="inlineStr">
        <is>
          <t>Y</t>
        </is>
      </c>
      <c r="I38" s="52" t="n"/>
      <c r="J38" s="50" t="inlineStr">
        <is>
          <t>Plastic, gasketed</t>
        </is>
      </c>
    </row>
    <row r="39" ht="23.85" customHeight="1" s="31">
      <c r="A39" s="50" t="inlineStr">
        <is>
          <t>FRP grating panel, 1 in, made into a raised box</t>
        </is>
      </c>
      <c r="B39" s="50" t="inlineStr">
        <is>
          <t>Removable grate box over the open sump (pump is taller than the low floor)</t>
        </is>
      </c>
      <c r="C39" s="51" t="n">
        <v>1</v>
      </c>
      <c r="D39" s="52" t="inlineStr">
        <is>
          <t>ea</t>
        </is>
      </c>
      <c r="E39" s="53" t="n">
        <v>60</v>
      </c>
      <c r="F39" s="54">
        <f>C39*E39</f>
        <v/>
      </c>
      <c r="G39" s="55" t="n">
        <v>2.5</v>
      </c>
      <c r="H39" s="52" t="inlineStr">
        <is>
          <t>Y</t>
        </is>
      </c>
      <c r="I39" s="52" t="n"/>
      <c r="J39" s="50" t="n"/>
    </row>
    <row r="40" ht="15" customHeight="1" s="31">
      <c r="A40" s="50" t="inlineStr">
        <is>
          <t>Automatic bilge pump about 1,100 gph + float switch</t>
        </is>
      </c>
      <c r="B40" s="50" t="inlineStr">
        <is>
          <t>In the open transom sump</t>
        </is>
      </c>
      <c r="C40" s="51" t="n">
        <v>1</v>
      </c>
      <c r="D40" s="52" t="inlineStr">
        <is>
          <t>ea</t>
        </is>
      </c>
      <c r="E40" s="53" t="n">
        <v>90</v>
      </c>
      <c r="F40" s="54">
        <f>C40*E40</f>
        <v/>
      </c>
      <c r="G40" s="55" t="n">
        <v>2.5</v>
      </c>
      <c r="H40" s="52" t="inlineStr">
        <is>
          <t>Y</t>
        </is>
      </c>
      <c r="I40" s="52" t="n"/>
      <c r="J40" s="50" t="n"/>
    </row>
    <row r="41" ht="15" customHeight="1" s="31">
      <c r="A41" s="50" t="inlineStr">
        <is>
          <t>Through-hull, discharge hose, clamps</t>
        </is>
      </c>
      <c r="B41" s="50" t="inlineStr">
        <is>
          <t>Discharge at 14 in on the transom</t>
        </is>
      </c>
      <c r="C41" s="51" t="n">
        <v>1</v>
      </c>
      <c r="D41" s="52" t="inlineStr">
        <is>
          <t>lot</t>
        </is>
      </c>
      <c r="E41" s="53" t="n">
        <v>35</v>
      </c>
      <c r="F41" s="54">
        <f>C41*E41</f>
        <v/>
      </c>
      <c r="G41" s="55" t="n">
        <v>1</v>
      </c>
      <c r="H41" s="52" t="inlineStr">
        <is>
          <t>Y</t>
        </is>
      </c>
      <c r="I41" s="52" t="n"/>
      <c r="J41" s="50" t="n"/>
    </row>
    <row r="42" ht="15" customHeight="1" s="31">
      <c r="A42" s="50" t="inlineStr">
        <is>
          <t>Transom self-bailer with check valve, 1.5 in</t>
        </is>
      </c>
      <c r="B42" s="50" t="inlineStr">
        <is>
          <t>Bottom of sump</t>
        </is>
      </c>
      <c r="C42" s="51" t="n">
        <v>1</v>
      </c>
      <c r="D42" s="52" t="inlineStr">
        <is>
          <t>ea</t>
        </is>
      </c>
      <c r="E42" s="53" t="n">
        <v>45</v>
      </c>
      <c r="F42" s="54">
        <f>C42*E42</f>
        <v/>
      </c>
      <c r="G42" s="55" t="n">
        <v>0.5</v>
      </c>
      <c r="H42" s="52" t="inlineStr">
        <is>
          <t>Y</t>
        </is>
      </c>
      <c r="I42" s="52" t="n"/>
      <c r="J42" s="50" t="inlineStr">
        <is>
          <t>Must have a working check valve</t>
        </is>
      </c>
    </row>
    <row r="43" ht="15" customHeight="1" s="31">
      <c r="A43" s="50" t="inlineStr">
        <is>
          <t>Transom drain plug, 1 in (plastic or aluminum)</t>
        </is>
      </c>
      <c r="B43" s="50" t="inlineStr">
        <is>
          <t>Lowest point of the sump; pull on the trailer after every trip</t>
        </is>
      </c>
      <c r="C43" s="51" t="n">
        <v>1</v>
      </c>
      <c r="D43" s="52" t="inlineStr">
        <is>
          <t>ea</t>
        </is>
      </c>
      <c r="E43" s="53" t="n">
        <v>12</v>
      </c>
      <c r="F43" s="54">
        <f>C43*E43</f>
        <v/>
      </c>
      <c r="G43" s="55" t="n">
        <v>0.2</v>
      </c>
      <c r="H43" s="52" t="inlineStr">
        <is>
          <t>Y</t>
        </is>
      </c>
      <c r="I43" s="52" t="n"/>
      <c r="J43" s="50" t="inlineStr">
        <is>
          <t>Not brass (galvanic)</t>
        </is>
      </c>
    </row>
    <row r="44" ht="23.85" customHeight="1" s="31">
      <c r="A44" s="50" t="inlineStr">
        <is>
          <t>Pump cycle counter or hour meter on the float-switch circuit</t>
        </is>
      </c>
      <c r="B44" s="50" t="inlineStr">
        <is>
          <t>Leak early warning</t>
        </is>
      </c>
      <c r="C44" s="51" t="n">
        <v>1</v>
      </c>
      <c r="D44" s="52" t="inlineStr">
        <is>
          <t>ea</t>
        </is>
      </c>
      <c r="E44" s="53" t="n">
        <v>25</v>
      </c>
      <c r="F44" s="54">
        <f>C44*E44</f>
        <v/>
      </c>
      <c r="G44" s="55" t="n">
        <v>0</v>
      </c>
      <c r="H44" s="52" t="inlineStr">
        <is>
          <t>N</t>
        </is>
      </c>
      <c r="I44" s="52" t="n"/>
      <c r="J44" s="50" t="n"/>
    </row>
    <row r="45" ht="23.85" customHeight="1" s="31">
      <c r="A45" s="50" t="inlineStr">
        <is>
          <t>Waterproof bilge switch (auto / off / manual), fused</t>
        </is>
      </c>
      <c r="B45" s="50" t="inlineStr">
        <is>
          <t>On the transom top, reachable from the water when the boat is swamped</t>
        </is>
      </c>
      <c r="C45" s="51" t="n">
        <v>1</v>
      </c>
      <c r="D45" s="52" t="inlineStr">
        <is>
          <t>ea</t>
        </is>
      </c>
      <c r="E45" s="53" t="n">
        <v>35</v>
      </c>
      <c r="F45" s="54">
        <f>C45*E45</f>
        <v/>
      </c>
      <c r="G45" s="55" t="n">
        <v>0</v>
      </c>
      <c r="H45" s="52" t="inlineStr">
        <is>
          <t>N</t>
        </is>
      </c>
      <c r="I45" s="52" t="n"/>
      <c r="J45" s="50" t="inlineStr">
        <is>
          <t>Pump runs from the battery inside the sealed bench</t>
        </is>
      </c>
    </row>
    <row r="46" ht="23.85" customHeight="1" s="31">
      <c r="A46" s="50" t="inlineStr">
        <is>
          <t>Floor fasteners: SS screws into rivnuts + closed-cell gasket tape</t>
        </is>
      </c>
      <c r="B46" s="50" t="inlineStr">
        <is>
          <t>Bolt-down floor panels (hold the blocks down when swamped)</t>
        </is>
      </c>
      <c r="C46" s="51" t="n">
        <v>1</v>
      </c>
      <c r="D46" s="52" t="inlineStr">
        <is>
          <t>lot</t>
        </is>
      </c>
      <c r="E46" s="53" t="n">
        <v>60</v>
      </c>
      <c r="F46" s="54">
        <f>C46*E46</f>
        <v/>
      </c>
      <c r="G46" s="55" t="n">
        <v>0</v>
      </c>
      <c r="H46" s="52" t="inlineStr">
        <is>
          <t>N</t>
        </is>
      </c>
      <c r="I46" s="52" t="n"/>
      <c r="J46" s="50" t="n"/>
    </row>
    <row r="47" ht="15" customHeight="1" s="31">
      <c r="A47" s="57" t="inlineStr">
        <is>
          <t>Electrical and safety</t>
        </is>
      </c>
      <c r="B47" s="58" t="n"/>
      <c r="C47" s="58" t="n"/>
      <c r="D47" s="58" t="n"/>
      <c r="E47" s="58" t="n"/>
      <c r="F47" s="58" t="n"/>
      <c r="G47" s="58" t="n"/>
      <c r="H47" s="58" t="n"/>
      <c r="I47" s="58" t="n"/>
      <c r="J47" s="58" t="n"/>
    </row>
    <row r="48" ht="23.85" customHeight="1" s="31">
      <c r="A48" s="50" t="inlineStr">
        <is>
          <t>Terminals, adhesive heat shrink, cushion clamps, zip ties</t>
        </is>
      </c>
      <c r="B48" s="50" t="n"/>
      <c r="C48" s="51" t="n">
        <v>1</v>
      </c>
      <c r="D48" s="52" t="inlineStr">
        <is>
          <t>lot</t>
        </is>
      </c>
      <c r="E48" s="53" t="n">
        <v>80</v>
      </c>
      <c r="F48" s="54">
        <f>C48*E48</f>
        <v/>
      </c>
      <c r="G48" s="55" t="n">
        <v>5</v>
      </c>
      <c r="H48" s="52" t="inlineStr">
        <is>
          <t>N</t>
        </is>
      </c>
      <c r="I48" s="52" t="n"/>
      <c r="J48" s="50" t="inlineStr">
        <is>
          <t>Wire itself is itemised in the rev 7 electrical lines</t>
        </is>
      </c>
    </row>
    <row r="49" ht="15" customHeight="1" s="31">
      <c r="A49" s="50" t="inlineStr">
        <is>
          <t>Dash instruments: electric tach 3-3/8 in, water temp and fuel gauges 2-1/16 in, key switch, red trouble light, lanyard kill switch</t>
        </is>
      </c>
      <c r="B49" s="50" t="n"/>
      <c r="C49" s="51" t="n">
        <v>1</v>
      </c>
      <c r="D49" s="52" t="inlineStr">
        <is>
          <t>lot</t>
        </is>
      </c>
      <c r="E49" s="53" t="n">
        <v>250</v>
      </c>
      <c r="F49" s="54">
        <f>C49*E49</f>
        <v/>
      </c>
      <c r="G49" s="55" t="n">
        <v>3.3</v>
      </c>
      <c r="H49" s="52" t="inlineStr">
        <is>
          <t>Y</t>
        </is>
      </c>
      <c r="I49" s="52" t="n"/>
      <c r="J49" s="50" t="n"/>
    </row>
    <row r="50" ht="15" customHeight="1" s="31">
      <c r="A50" s="50" t="inlineStr">
        <is>
          <t>Navigation lights (sidelights + all-round white)</t>
        </is>
      </c>
      <c r="B50" s="50" t="inlineStr">
        <is>
          <t>Needed for night running</t>
        </is>
      </c>
      <c r="C50" s="51" t="n">
        <v>1</v>
      </c>
      <c r="D50" s="52" t="inlineStr">
        <is>
          <t>set</t>
        </is>
      </c>
      <c r="E50" s="53" t="n">
        <v>90</v>
      </c>
      <c r="F50" s="54">
        <f>C50*E50</f>
        <v/>
      </c>
      <c r="G50" s="55" t="n">
        <v>2</v>
      </c>
      <c r="H50" s="52" t="inlineStr">
        <is>
          <t>N</t>
        </is>
      </c>
      <c r="I50" s="52" t="n"/>
      <c r="J50" s="50" t="n"/>
    </row>
    <row r="51" ht="15" customHeight="1" s="31">
      <c r="A51" s="50" t="inlineStr">
        <is>
          <t>Safety gear: 2 PFDs, throwable cushion</t>
        </is>
      </c>
      <c r="B51" s="50" t="inlineStr">
        <is>
          <t>Carried gear</t>
        </is>
      </c>
      <c r="C51" s="51" t="n">
        <v>1</v>
      </c>
      <c r="D51" s="52" t="inlineStr">
        <is>
          <t>lot</t>
        </is>
      </c>
      <c r="E51" s="53" t="n">
        <v>160</v>
      </c>
      <c r="F51" s="54">
        <f>C51*E51</f>
        <v/>
      </c>
      <c r="G51" s="55" t="n">
        <v>0</v>
      </c>
      <c r="H51" s="52" t="inlineStr">
        <is>
          <t>N</t>
        </is>
      </c>
      <c r="I51" s="52" t="n"/>
      <c r="J51" s="50" t="inlineStr">
        <is>
          <t>Not counted in boat weight; extinguisher and horn are listed in rev 7</t>
        </is>
      </c>
    </row>
    <row r="52" ht="15" customHeight="1" s="31">
      <c r="A52" s="50" t="inlineStr">
        <is>
          <t>Registration and title fees</t>
        </is>
      </c>
      <c r="B52" s="50" t="n"/>
      <c r="C52" s="51" t="n">
        <v>1</v>
      </c>
      <c r="D52" s="52" t="inlineStr">
        <is>
          <t>lot</t>
        </is>
      </c>
      <c r="E52" s="53" t="n">
        <v>75</v>
      </c>
      <c r="F52" s="54">
        <f>C52*E52</f>
        <v/>
      </c>
      <c r="G52" s="55" t="n">
        <v>0</v>
      </c>
      <c r="H52" s="52" t="inlineStr">
        <is>
          <t>N</t>
        </is>
      </c>
      <c r="I52" s="52" t="n"/>
      <c r="J52" s="50" t="inlineStr">
        <is>
          <t>Estimate; check your state's rules</t>
        </is>
      </c>
    </row>
    <row r="53" ht="15" customHeight="1" s="31">
      <c r="A53" s="57" t="inlineStr">
        <is>
          <t>Rev 6 joint details</t>
        </is>
      </c>
      <c r="B53" s="58" t="n"/>
      <c r="C53" s="58" t="n"/>
      <c r="D53" s="58" t="n"/>
      <c r="E53" s="58" t="n"/>
      <c r="F53" s="58" t="n"/>
      <c r="G53" s="58" t="n"/>
      <c r="H53" s="58" t="n"/>
      <c r="I53" s="58" t="n"/>
      <c r="J53" s="58" t="n"/>
    </row>
    <row r="54" ht="23.85" customHeight="1" s="31">
      <c r="A54" s="50" t="inlineStr">
        <is>
          <t>Cage feet: 1/4 steel pads drilled, HDPE isolators, 3/8 SS bolts (16)</t>
        </is>
      </c>
      <c r="B54" s="50" t="inlineStr">
        <is>
          <t>Bolted through the hull plates and knees</t>
        </is>
      </c>
      <c r="C54" s="51" t="n">
        <v>1</v>
      </c>
      <c r="D54" s="52" t="inlineStr">
        <is>
          <t>lot</t>
        </is>
      </c>
      <c r="E54" s="53" t="n">
        <v>70</v>
      </c>
      <c r="F54" s="54">
        <f>C54*E54</f>
        <v/>
      </c>
      <c r="G54" s="55" t="n">
        <v>0</v>
      </c>
      <c r="H54" s="52" t="inlineStr">
        <is>
          <t>Y</t>
        </is>
      </c>
      <c r="I54" s="52" t="n"/>
      <c r="J54" s="50" t="n"/>
    </row>
    <row r="55" ht="23.85" customHeight="1" s="31">
      <c r="A55" s="50" t="inlineStr">
        <is>
          <t>Rudder pivots: 1/2 bolts (4), tapped plugs (4), UHMW thrust washers (4); 3/8 rod ends (3) + bolts</t>
        </is>
      </c>
      <c r="B55" s="50" t="n"/>
      <c r="C55" s="51" t="n">
        <v>1</v>
      </c>
      <c r="D55" s="52" t="inlineStr">
        <is>
          <t>lot</t>
        </is>
      </c>
      <c r="E55" s="53" t="n">
        <v>85</v>
      </c>
      <c r="F55" s="54">
        <f>C55*E55</f>
        <v/>
      </c>
      <c r="G55" s="55" t="n">
        <v>0</v>
      </c>
      <c r="H55" s="52" t="inlineStr">
        <is>
          <t>Y</t>
        </is>
      </c>
      <c r="I55" s="52" t="n"/>
      <c r="J55" s="50" t="n"/>
    </row>
    <row r="56" ht="23.85" customHeight="1" s="31">
      <c r="A56" s="50" t="inlineStr">
        <is>
          <t>Backrest sockets 1-1/4 x .065 (4) + straps; handle flanges and backing plates</t>
        </is>
      </c>
      <c r="B56" s="50" t="n"/>
      <c r="C56" s="51" t="n">
        <v>1</v>
      </c>
      <c r="D56" s="52" t="inlineStr">
        <is>
          <t>lot</t>
        </is>
      </c>
      <c r="E56" s="53" t="n">
        <v>60</v>
      </c>
      <c r="F56" s="54">
        <f>C56*E56</f>
        <v/>
      </c>
      <c r="G56" s="55" t="n">
        <v>0</v>
      </c>
      <c r="H56" s="52" t="inlineStr">
        <is>
          <t>Y</t>
        </is>
      </c>
      <c r="I56" s="52" t="n"/>
      <c r="J56" s="50" t="n"/>
    </row>
    <row r="57" ht="35.05" customHeight="1" s="31">
      <c r="A57" s="50" t="inlineStr">
        <is>
          <t>Bench clips (4), battery tray + strap, steering pivot base + bushings, engine-guard angle + stays (ladder foot plates: see the footrest line)</t>
        </is>
      </c>
      <c r="B57" s="50" t="n"/>
      <c r="C57" s="51" t="n">
        <v>1</v>
      </c>
      <c r="D57" s="52" t="inlineStr">
        <is>
          <t>lot</t>
        </is>
      </c>
      <c r="E57" s="53" t="n">
        <v>120</v>
      </c>
      <c r="F57" s="54">
        <f>C57*E57</f>
        <v/>
      </c>
      <c r="G57" s="55" t="n">
        <v>0</v>
      </c>
      <c r="H57" s="52" t="inlineStr">
        <is>
          <t>Y</t>
        </is>
      </c>
      <c r="I57" s="52" t="n"/>
      <c r="J57" s="50" t="n"/>
    </row>
    <row r="58" ht="23.85" customHeight="1" s="31">
      <c r="A58" s="50" t="inlineStr">
        <is>
          <t>Bow shelf: aft angle at frame 120, front angle + 3 stringer clips, 4 padeyes + 2 cam straps</t>
        </is>
      </c>
      <c r="B58" s="50" t="inlineStr">
        <is>
          <t>Shelf enlarged to x 118.5-140.2</t>
        </is>
      </c>
      <c r="C58" s="51" t="n">
        <v>1</v>
      </c>
      <c r="D58" s="52" t="inlineStr">
        <is>
          <t>lot</t>
        </is>
      </c>
      <c r="E58" s="53" t="n">
        <v>70</v>
      </c>
      <c r="F58" s="54">
        <f>C58*E58</f>
        <v/>
      </c>
      <c r="G58" s="55" t="n">
        <v>0</v>
      </c>
      <c r="H58" s="52" t="inlineStr">
        <is>
          <t>Y</t>
        </is>
      </c>
      <c r="I58" s="52" t="n"/>
      <c r="J58" s="50" t="n"/>
    </row>
    <row r="59" ht="15" customHeight="1" s="31">
      <c r="A59" s="50" t="inlineStr">
        <is>
          <t>Net weight of the rev 6 cage and layout details (CAD)</t>
        </is>
      </c>
      <c r="B59" s="50" t="inlineStr">
        <is>
          <t>Reconciles to the detailed models</t>
        </is>
      </c>
      <c r="C59" s="51" t="n">
        <v>1</v>
      </c>
      <c r="D59" s="52" t="inlineStr">
        <is>
          <t>lot</t>
        </is>
      </c>
      <c r="E59" s="56" t="n">
        <v>0</v>
      </c>
      <c r="F59" s="54">
        <f>C59*E59</f>
        <v/>
      </c>
      <c r="G59" s="55" t="n">
        <v>10.3</v>
      </c>
      <c r="H59" s="52" t="inlineStr">
        <is>
          <t>Y</t>
        </is>
      </c>
      <c r="I59" s="52" t="n"/>
      <c r="J59" s="50" t="n"/>
    </row>
    <row r="60">
      <c r="A60" s="57" t="inlineStr">
        <is>
          <t>Rev 7: driver station, lights and searchlight, bench, electrical system, deck hardware, safety gear</t>
        </is>
      </c>
    </row>
    <row r="61" ht="15" customHeight="1" s="31">
      <c r="A61" s="50" t="inlineStr">
        <is>
          <t>Driver side frame weldment, 6061</t>
        </is>
      </c>
      <c r="B61" s="50" t="inlineStr">
        <is>
          <t>2 x 2 x 3/16 sq tube posts, top rail and cross arms (14 ft); 2 x 3 x 3/16 inner rail (3 ft); 1-1/2 x .188 round tube knee braces (rolled to about 19 in radius) and diagonal (8 ft); 3/8 clips; 1/4 base and backing plates</t>
        </is>
      </c>
      <c r="C61" s="51" t="n">
        <v>1</v>
      </c>
      <c r="D61" s="52" t="inlineStr">
        <is>
          <t>lot</t>
        </is>
      </c>
      <c r="E61" s="53" t="n">
        <v>340</v>
      </c>
      <c r="F61" s="54">
        <f>C61*E61</f>
        <v/>
      </c>
      <c r="G61" s="55" t="n">
        <v>23.1</v>
      </c>
      <c r="H61" s="52" t="inlineStr">
        <is>
          <t>Y</t>
        </is>
      </c>
      <c r="I61" s="52" t="n"/>
      <c r="J61" s="50" t="inlineStr">
        <is>
          <t>Bolts to frame x96 and backing plates on the hull side; braces bowed 2.5 in outboard for a large leg; 3/16 walls for the 600 lb hand-hold (Structural Checks)</t>
        </is>
      </c>
    </row>
    <row r="62" ht="15" customHeight="1" s="31">
      <c r="A62" s="50" t="inlineStr">
        <is>
          <t>Console top, skins and dash hood, 5052</t>
        </is>
      </c>
      <c r="B62" s="50" t="inlineStr">
        <is>
          <t>1/8 in top (13 x 21 in); 0.063 in front and outboard skins; 0.063 in hood (visor, cheeks, arched top) folded and riveted; grommets for the dash loom and bow loom</t>
        </is>
      </c>
      <c r="C62" s="51" t="n">
        <v>1</v>
      </c>
      <c r="D62" s="52" t="inlineStr">
        <is>
          <t>lot</t>
        </is>
      </c>
      <c r="E62" s="53" t="n">
        <v>180</v>
      </c>
      <c r="F62" s="54">
        <f>C62*E62</f>
        <v/>
      </c>
      <c r="G62" s="55" t="n">
        <v>7</v>
      </c>
      <c r="H62" s="52" t="inlineStr">
        <is>
          <t>Y</t>
        </is>
      </c>
      <c r="I62" s="52" t="n"/>
      <c r="J62" s="50" t="inlineStr">
        <is>
          <t>Hood and top screwed with tamper-proof Torx; gauge and switch backs sealed inside</t>
        </is>
      </c>
    </row>
    <row r="63" ht="15" customHeight="1" s="31">
      <c r="A63" s="50" t="inlineStr">
        <is>
          <t>Console fiddle rail, 6061 flat bar 1/8 x 1-1/2</t>
        </is>
      </c>
      <c r="B63" s="50" t="inlineStr">
        <is>
          <t>Raised 1/2 in edge on the aft, inboard and forward edges of the console top (about 29 in); riveted to the cross arms and inner rail; top edges rounded</t>
        </is>
      </c>
      <c r="C63" s="51" t="n">
        <v>1</v>
      </c>
      <c r="D63" s="52" t="inlineStr">
        <is>
          <t>lot</t>
        </is>
      </c>
      <c r="E63" s="53" t="n">
        <v>15</v>
      </c>
      <c r="F63" s="54">
        <f>C63*E63</f>
        <v/>
      </c>
      <c r="G63" s="55" t="n">
        <v>0.5</v>
      </c>
      <c r="H63" s="52" t="inlineStr">
        <is>
          <t>Y</t>
        </is>
      </c>
      <c r="I63" s="52" t="n"/>
      <c r="J63" s="50" t="inlineStr">
        <is>
          <t>Keeps small things from rolling or sliding off, like a galley table</t>
        </is>
      </c>
    </row>
    <row r="64" ht="15" customHeight="1" s="31">
      <c r="A64" s="50" t="inlineStr">
        <is>
          <t>Knee brace pads</t>
        </is>
      </c>
      <c r="B64" s="50" t="inlineStr">
        <is>
          <t>1 in closed-cell foam (minicell) on both braces, UV-treated PU-coated 1000D Cordura or marine vinyl cover, Velcro or laced seam</t>
        </is>
      </c>
      <c r="C64" s="51" t="n">
        <v>2</v>
      </c>
      <c r="D64" s="52" t="inlineStr">
        <is>
          <t>ea</t>
        </is>
      </c>
      <c r="E64" s="53" t="n">
        <v>30</v>
      </c>
      <c r="F64" s="54">
        <f>C64*E64</f>
        <v/>
      </c>
      <c r="G64" s="55" t="n">
        <v>0.3</v>
      </c>
      <c r="H64" s="52" t="inlineStr">
        <is>
          <t>Y</t>
        </is>
      </c>
      <c r="I64" s="52" t="n"/>
      <c r="J64" s="50" t="inlineStr">
        <is>
          <t>Replaceable covers; plain nylon Cordura fades in Florida sun</t>
        </is>
      </c>
    </row>
    <row r="65">
      <c r="A65" s="50" t="inlineStr">
        <is>
          <t>Life-jacket hook, 316 stainless</t>
        </is>
      </c>
      <c r="B65" s="50" t="inlineStr">
        <is>
          <t>J-hook riveted inside the outboard skin, 22 in up, 2.4 in reach</t>
        </is>
      </c>
      <c r="C65" s="51" t="n">
        <v>1</v>
      </c>
      <c r="D65" s="52" t="inlineStr">
        <is>
          <t>ea</t>
        </is>
      </c>
      <c r="E65" s="53" t="n">
        <v>12</v>
      </c>
      <c r="F65" s="54">
        <f>C65*E65</f>
        <v/>
      </c>
      <c r="G65" s="55" t="n">
        <v>0.2</v>
      </c>
      <c r="H65" s="52" t="inlineStr">
        <is>
          <t>Y</t>
        </is>
      </c>
      <c r="I65" s="52" t="n"/>
      <c r="J65" s="50" t="inlineStr">
        <is>
          <t>Keeps a PFD in the sheltered cabinet, clear of the side diagonal</t>
        </is>
      </c>
    </row>
    <row r="66">
      <c r="A66" s="50" t="inlineStr">
        <is>
          <t>Swamped-boat warning labels</t>
        </is>
      </c>
      <c r="B66" s="50" t="inlineStr">
        <is>
          <t>6 x 4 in UV-laminated marine vinyl, printed from Labels/Swamped_Warning_Label.svg</t>
        </is>
      </c>
      <c r="C66" s="51" t="n">
        <v>3</v>
      </c>
      <c r="D66" s="52" t="inlineStr">
        <is>
          <t>ea</t>
        </is>
      </c>
      <c r="E66" s="53" t="n">
        <v>8</v>
      </c>
      <c r="F66" s="54">
        <f>C66*E66</f>
        <v/>
      </c>
      <c r="G66" s="55" t="n">
        <v>0.05</v>
      </c>
      <c r="H66" s="52" t="inlineStr">
        <is>
          <t>N</t>
        </is>
      </c>
      <c r="I66" s="52" t="n"/>
      <c r="J66" s="50" t="inlineStr">
        <is>
          <t>Helm (console top, by the capacity label) and inside each side of the bench; stability report Finding 1</t>
        </is>
      </c>
    </row>
    <row r="67">
      <c r="A67" s="50" t="inlineStr">
        <is>
          <t>Cup holder, drop-in, drained</t>
        </is>
      </c>
      <c r="B67" s="50" t="inlineStr">
        <is>
          <t>Stainless or nylon, 3.4 in bore, 2.75 in deep (shallow over the thigh)</t>
        </is>
      </c>
      <c r="C67" s="51" t="n">
        <v>1</v>
      </c>
      <c r="D67" s="52" t="inlineStr">
        <is>
          <t>ea</t>
        </is>
      </c>
      <c r="E67" s="53" t="n">
        <v>20</v>
      </c>
      <c r="F67" s="54">
        <f>C67*E67</f>
        <v/>
      </c>
      <c r="G67" s="55" t="n">
        <v>0.3</v>
      </c>
      <c r="H67" s="52" t="inlineStr">
        <is>
          <t>Y</t>
        </is>
      </c>
      <c r="I67" s="52" t="n"/>
      <c r="J67" s="50" t="inlineStr">
        <is>
          <t>Just forward of the grip</t>
        </is>
      </c>
    </row>
    <row r="68">
      <c r="A68" s="50" t="inlineStr">
        <is>
          <t>Armrest, hinged</t>
        </is>
      </c>
      <c r="B68" s="50" t="inlineStr">
        <is>
          <t>Aft 13 in of the 2 x 3 inner rail on a 1/2 in 316 pin through 1/4 in lugs and a U-bracket on the aft cross arm; pad 1/2 in ply, 2 in foam, marine vinyl; detent pin for the up position</t>
        </is>
      </c>
      <c r="C68" s="51" t="n">
        <v>1</v>
      </c>
      <c r="D68" s="52" t="inlineStr">
        <is>
          <t>lot</t>
        </is>
      </c>
      <c r="E68" s="53" t="n">
        <v>85</v>
      </c>
      <c r="F68" s="54">
        <f>C68*E68</f>
        <v/>
      </c>
      <c r="G68" s="55" t="n">
        <v>4.5</v>
      </c>
      <c r="H68" s="52" t="inlineStr">
        <is>
          <t>Y</t>
        </is>
      </c>
      <c r="I68" s="52" t="n"/>
      <c r="J68" s="50" t="inlineStr">
        <is>
          <t>Swings up and aft 95 deg so the driver can get into the seat; rests on the bracket end plate when down</t>
        </is>
      </c>
    </row>
    <row r="69">
      <c r="A69" s="50" t="inlineStr">
        <is>
          <t>Grip (hand-hold), Hurst T-handle</t>
        </is>
      </c>
      <c r="B69" s="50" t="inlineStr">
        <is>
          <t>1-1/8 in 316 SS rod, cold-drawn (A276 Condition B), bent, welded to a 3 x 2 x 1/4 in 316 base plate; 4 x 1/4 in 316 bolts through the console top and both rail walls with crush tubes, Tef-Gel and a gasket; Hurst 1530040 universal T-handle, polished cast aluminium (new about $62-68, or used on eBay), bar across the boat, threaded straight onto an M16 x 1.5 stud turned on the stick end (no adapter), 316 M16 x 1.5 nylon-insert lock nut under the neck, 1/4 in 316 cross pin</t>
        </is>
      </c>
      <c r="C69" s="51" t="n">
        <v>1</v>
      </c>
      <c r="D69" s="52" t="inlineStr">
        <is>
          <t>ea</t>
        </is>
      </c>
      <c r="E69" s="53" t="n">
        <v>140</v>
      </c>
      <c r="F69" s="54">
        <f>C69*E69</f>
        <v/>
      </c>
      <c r="G69" s="55" t="n">
        <v>2</v>
      </c>
      <c r="H69" s="52" t="inlineStr">
        <is>
          <t>Y</t>
        </is>
      </c>
      <c r="I69" s="52" t="n"/>
      <c r="J69" s="50" t="inlineStr">
        <is>
          <t>Stainless cannot be welded to the 6061 rail; stick and plate sized for 600 lbf; the Hurst handle on its pinned M16 stud is rated 450 lb (Structural_Checks); T-handle position from drv_reach. The Hurst handle is a shift knob: the pin stops a hard sideways pull from unscrewing it. Pull-test the finished grip before use</t>
        </is>
      </c>
    </row>
    <row r="70">
      <c r="A70" s="50" t="inlineStr">
        <is>
          <t>Transom stiffener, 6061 flat bar 3/8 x 2 in</t>
        </is>
      </c>
      <c r="B70" s="50" t="inlineStr">
        <is>
          <t>Vertical, riveted to the transom inside face behind the trim-tab bracket, bottom frame angle to rub rail (15.3 in)</t>
        </is>
      </c>
      <c r="C70" s="51" t="n">
        <v>1</v>
      </c>
      <c r="D70" s="52" t="inlineStr">
        <is>
          <t>ea</t>
        </is>
      </c>
      <c r="E70" s="53" t="n">
        <v>15</v>
      </c>
      <c r="F70" s="54">
        <f>C70*E70</f>
        <v/>
      </c>
      <c r="G70" s="55" t="n">
        <v>1.1</v>
      </c>
      <c r="H70" s="52" t="inlineStr">
        <is>
          <t>Y</t>
        </is>
      </c>
      <c r="I70" s="52" t="n"/>
      <c r="J70" s="50" t="inlineStr">
        <is>
          <t>Carries the tab adjuster pull (about 270 lb) that the bare 1/8 transom cannot</t>
        </is>
      </c>
    </row>
    <row r="71">
      <c r="A71" s="50" t="inlineStr">
        <is>
          <t>6061 rectangular tube 2 x 3 x 1/8 in</t>
        </is>
      </c>
      <c r="B71" s="50" t="inlineStr">
        <is>
          <t>Forward A-frame crossbar, 3 in deep (24.5 in); bottom on the tie-strut tabs</t>
        </is>
      </c>
      <c r="C71" s="51" t="n">
        <v>1</v>
      </c>
      <c r="D71" s="52" t="inlineStr">
        <is>
          <t>ea</t>
        </is>
      </c>
      <c r="E71" s="53" t="n">
        <v>30</v>
      </c>
      <c r="F71" s="54">
        <f>C71*E71</f>
        <v/>
      </c>
      <c r="G71" s="55" t="n">
        <v>2.8</v>
      </c>
      <c r="H71" s="52" t="inlineStr">
        <is>
          <t>Y</t>
        </is>
      </c>
      <c r="I71" s="52" t="n"/>
      <c r="J71" s="50" t="inlineStr">
        <is>
          <t>Replaces the 1-1/2 in crossbar: fatigue margin for the belt-pull pulses through the tie struts</t>
        </is>
      </c>
    </row>
    <row r="72">
      <c r="A72" s="50" t="inlineStr">
        <is>
          <t>Dash panel</t>
        </is>
      </c>
      <c r="B72" s="50" t="inlineStr">
        <is>
          <t>1/8 in aluminium, 13.5 in wide, arched 8.5 in top; folds up 66 deg from the console top, faces the driver</t>
        </is>
      </c>
      <c r="C72" s="51" t="n">
        <v>1</v>
      </c>
      <c r="D72" s="52" t="inlineStr">
        <is>
          <t>ea</t>
        </is>
      </c>
      <c r="E72" s="53" t="n">
        <v>40</v>
      </c>
      <c r="F72" s="54">
        <f>C72*E72</f>
        <v/>
      </c>
      <c r="G72" s="55" t="n">
        <v>1</v>
      </c>
      <c r="H72" s="52" t="inlineStr">
        <is>
          <t>Y</t>
        </is>
      </c>
      <c r="I72" s="52" t="n"/>
      <c r="J72" s="50" t="inlineStr">
        <is>
          <t>Tach centre, temp and fuel either side, everything else in the bottom row</t>
        </is>
      </c>
    </row>
    <row r="73">
      <c r="A73" s="50" t="inlineStr">
        <is>
          <t>12 V socket and USB-A 5 V / 3 A charger, marine</t>
        </is>
      </c>
      <c r="B73" s="50" t="inlineStr">
        <is>
          <t>With hinged rubber flaps; dash bottom row</t>
        </is>
      </c>
      <c r="C73" s="51" t="n">
        <v>1</v>
      </c>
      <c r="D73" s="52" t="inlineStr">
        <is>
          <t>set</t>
        </is>
      </c>
      <c r="E73" s="53" t="n">
        <v>40</v>
      </c>
      <c r="F73" s="54">
        <f>C73*E73</f>
        <v/>
      </c>
      <c r="G73" s="55" t="n">
        <v>0.3</v>
      </c>
      <c r="H73" s="52" t="inlineStr">
        <is>
          <t>Y</t>
        </is>
      </c>
      <c r="I73" s="52" t="n"/>
      <c r="J73" s="50" t="inlineStr">
        <is>
          <t>Both on the hub 20 A outlet circuit</t>
        </is>
      </c>
    </row>
    <row r="74">
      <c r="A74" s="50" t="inlineStr">
        <is>
          <t>Phone holder, swivel</t>
        </is>
      </c>
      <c r="B74" s="50" t="inlineStr">
        <is>
          <t>Ball stalk at the console front-inboard corner, faces the driver; portrait or landscape (con_phone_rot)</t>
        </is>
      </c>
      <c r="C74" s="51" t="n">
        <v>1</v>
      </c>
      <c r="D74" s="52" t="inlineStr">
        <is>
          <t>ea</t>
        </is>
      </c>
      <c r="E74" s="53" t="n">
        <v>45</v>
      </c>
      <c r="F74" s="54">
        <f>C74*E74</f>
        <v/>
      </c>
      <c r="G74" s="55" t="n">
        <v>0.8</v>
      </c>
      <c r="H74" s="52" t="inlineStr">
        <is>
          <t>Y</t>
        </is>
      </c>
      <c r="I74" s="52" t="n"/>
      <c r="J74" s="50" t="n"/>
    </row>
    <row r="75">
      <c r="A75" s="50" t="inlineStr">
        <is>
          <t>Dash switches</t>
        </is>
      </c>
      <c r="B75" s="50" t="inlineStr">
        <is>
          <t>2 sealed OFF-LO-MED-HI rotary switches (light bar 2-pole, its second pole lights the gauges; searchlight) + sealed NAV-OFF-ANCHOR rocker; DT12 connector</t>
        </is>
      </c>
      <c r="C75" s="51" t="n">
        <v>1</v>
      </c>
      <c r="D75" s="52" t="inlineStr">
        <is>
          <t>set</t>
        </is>
      </c>
      <c r="E75" s="53" t="n">
        <v>95</v>
      </c>
      <c r="F75" s="54">
        <f>C75*E75</f>
        <v/>
      </c>
      <c r="G75" s="55" t="n">
        <v>0.5</v>
      </c>
      <c r="H75" s="52" t="inlineStr">
        <is>
          <t>Y</t>
        </is>
      </c>
      <c r="I75" s="52" t="n"/>
      <c r="J75" s="50" t="inlineStr">
        <is>
          <t>Dash bottom row; the rotaries set the dimmers in the battery bay</t>
        </is>
      </c>
    </row>
    <row r="76">
      <c r="A76" s="50" t="inlineStr">
        <is>
          <t>Bubble inclinometers</t>
        </is>
      </c>
      <c r="B76" s="50" t="inlineStr">
        <is>
          <t>Fore/aft and port/starboard, both on the console top</t>
        </is>
      </c>
      <c r="C76" s="51" t="n">
        <v>2</v>
      </c>
      <c r="D76" s="52" t="inlineStr">
        <is>
          <t>ea</t>
        </is>
      </c>
      <c r="E76" s="53" t="n">
        <v>25</v>
      </c>
      <c r="F76" s="54">
        <f>C76*E76</f>
        <v/>
      </c>
      <c r="G76" s="55" t="n">
        <v>0.6</v>
      </c>
      <c r="H76" s="52" t="inlineStr">
        <is>
          <t>Y</t>
        </is>
      </c>
      <c r="I76" s="52" t="n"/>
      <c r="J76" s="50" t="inlineStr">
        <is>
          <t>For trimming loads</t>
        </is>
      </c>
    </row>
    <row r="77">
      <c r="A77" s="50" t="inlineStr">
        <is>
          <t>LED light bar 30 in, 180 W, marine</t>
        </is>
      </c>
      <c r="B77" s="50" t="inlineStr">
        <is>
          <t>On clamp brackets above the front cage hoop</t>
        </is>
      </c>
      <c r="C77" s="51" t="n">
        <v>1</v>
      </c>
      <c r="D77" s="52" t="inlineStr">
        <is>
          <t>ea</t>
        </is>
      </c>
      <c r="E77" s="53" t="n">
        <v>170</v>
      </c>
      <c r="F77" s="54">
        <f>C77*E77</f>
        <v/>
      </c>
      <c r="G77" s="55" t="n">
        <v>10</v>
      </c>
      <c r="H77" s="52" t="inlineStr">
        <is>
          <t>Y</t>
        </is>
      </c>
      <c r="I77" s="52" t="n"/>
      <c r="J77" s="50" t="inlineStr">
        <is>
          <t>About 13 A</t>
        </is>
      </c>
    </row>
    <row r="78">
      <c r="A78" s="50" t="inlineStr">
        <is>
          <t>Searchlight 6 in LED + turret, yoke and trunnions</t>
        </is>
      </c>
      <c r="B78" s="50" t="inlineStr">
        <is>
          <t>Yaw +-180 deg, pitch +-45 deg; DIY mount</t>
        </is>
      </c>
      <c r="C78" s="51" t="n">
        <v>1</v>
      </c>
      <c r="D78" s="52" t="inlineStr">
        <is>
          <t>lot</t>
        </is>
      </c>
      <c r="E78" s="53" t="n">
        <v>200</v>
      </c>
      <c r="F78" s="54">
        <f>C78*E78</f>
        <v/>
      </c>
      <c r="G78" s="55" t="n">
        <v>9</v>
      </c>
      <c r="H78" s="52" t="inlineStr">
        <is>
          <t>Y</t>
        </is>
      </c>
      <c r="I78" s="52" t="n"/>
      <c r="J78" s="50" t="inlineStr">
        <is>
          <t>About 4 A</t>
        </is>
      </c>
    </row>
    <row r="79">
      <c r="A79" s="50" t="inlineStr">
        <is>
          <t>Searchlight remote control</t>
        </is>
      </c>
      <c r="B79" s="50" t="inlineStr">
        <is>
          <t>Housing, swing handle (pitch), twist grip (yaw)</t>
        </is>
      </c>
      <c r="C79" s="51" t="n">
        <v>1</v>
      </c>
      <c r="D79" s="52" t="inlineStr">
        <is>
          <t>lot</t>
        </is>
      </c>
      <c r="E79" s="53" t="n">
        <v>60</v>
      </c>
      <c r="F79" s="54">
        <f>C79*E79</f>
        <v/>
      </c>
      <c r="G79" s="55" t="n">
        <v>1</v>
      </c>
      <c r="H79" s="52" t="inlineStr">
        <is>
          <t>Y</t>
        </is>
      </c>
      <c r="I79" s="52" t="n"/>
      <c r="J79" s="50" t="inlineStr">
        <is>
          <t>On the console top, forward of the cup holder</t>
        </is>
      </c>
    </row>
    <row r="80">
      <c r="A80" s="50" t="inlineStr">
        <is>
          <t>Push-pull (choke) cables, 20 ft</t>
        </is>
      </c>
      <c r="B80" s="50" t="inlineStr">
        <is>
          <t>Yaw and pitch; zip-tied pair along the hull side and front hoop</t>
        </is>
      </c>
      <c r="C80" s="51" t="n">
        <v>2</v>
      </c>
      <c r="D80" s="52" t="inlineStr">
        <is>
          <t>ea</t>
        </is>
      </c>
      <c r="E80" s="53" t="n">
        <v>35</v>
      </c>
      <c r="F80" s="54">
        <f>C80*E80</f>
        <v/>
      </c>
      <c r="G80" s="55" t="n">
        <v>2</v>
      </c>
      <c r="H80" s="52" t="inlineStr">
        <is>
          <t>Y</t>
        </is>
      </c>
      <c r="I80" s="52" t="n"/>
      <c r="J80" s="50" t="inlineStr">
        <is>
          <t>About 17 ft each installed</t>
        </is>
      </c>
    </row>
    <row r="81">
      <c r="A81" s="50" t="inlineStr">
        <is>
          <t>Power distribution hub</t>
        </is>
      </c>
      <c r="B81" s="50" t="inlineStr">
        <is>
          <t>12-way sealed blade fuse block with negative bus</t>
        </is>
      </c>
      <c r="C81" s="51" t="n">
        <v>1</v>
      </c>
      <c r="D81" s="52" t="inlineStr">
        <is>
          <t>ea</t>
        </is>
      </c>
      <c r="E81" s="53" t="n">
        <v>70</v>
      </c>
      <c r="F81" s="54">
        <f>C81*E81</f>
        <v/>
      </c>
      <c r="G81" s="55" t="n">
        <v>1</v>
      </c>
      <c r="H81" s="52" t="inlineStr">
        <is>
          <t>Y</t>
        </is>
      </c>
      <c r="I81" s="52" t="n"/>
      <c r="J81" s="50" t="inlineStr">
        <is>
          <t>9 circuits used, 3 spare; see the wiring schematic</t>
        </is>
      </c>
    </row>
    <row r="82">
      <c r="A82" s="50" t="inlineStr">
        <is>
          <t>Main battery switch, 1/0-rated (300 A), sealed panel mount</t>
        </is>
      </c>
      <c r="B82" s="50" t="inlineStr">
        <is>
          <t>Bench front between the knees, rubber gasket; studs inside the battery bay</t>
        </is>
      </c>
      <c r="C82" s="51" t="n">
        <v>1</v>
      </c>
      <c r="D82" s="52" t="inlineStr">
        <is>
          <t>ea</t>
        </is>
      </c>
      <c r="E82" s="53" t="n">
        <v>45</v>
      </c>
      <c r="F82" s="54">
        <f>C82*E82</f>
        <v/>
      </c>
      <c r="G82" s="55" t="n">
        <v>0.8</v>
      </c>
      <c r="H82" s="52" t="inlineStr">
        <is>
          <t>Y</t>
        </is>
      </c>
      <c r="I82" s="52" t="n"/>
      <c r="J82" s="50" t="inlineStr">
        <is>
          <t>Key for daily use; main switch for battery changes and emergencies</t>
        </is>
      </c>
    </row>
    <row r="83">
      <c r="A83" s="50" t="inlineStr">
        <is>
          <t>Starter fusible link + MRBF fuses</t>
        </is>
      </c>
      <c r="B83" s="50" t="inlineStr">
        <is>
          <t>4 AWG fusible link at battery +; 60 A MRBF (hub feed) on the switch OUT stud; 10 A MRBF (bilge) at battery +</t>
        </is>
      </c>
      <c r="C83" s="51" t="n">
        <v>1</v>
      </c>
      <c r="D83" s="52" t="inlineStr">
        <is>
          <t>lot</t>
        </is>
      </c>
      <c r="E83" s="53" t="n">
        <v>75</v>
      </c>
      <c r="F83" s="54">
        <f>C83*E83</f>
        <v/>
      </c>
      <c r="G83" s="55" t="n">
        <v>0.4</v>
      </c>
      <c r="H83" s="52" t="inlineStr">
        <is>
          <t>Y</t>
        </is>
      </c>
      <c r="I83" s="52" t="n"/>
      <c r="J83" s="50" t="n"/>
    </row>
    <row r="84">
      <c r="A84" s="50" t="inlineStr">
        <is>
          <t>Battery cable 1/0 AWG tinned marine</t>
        </is>
      </c>
      <c r="B84" s="50" t="inlineStr">
        <is>
          <t>Red 14 ft (battery -&gt; switch -&gt; starter), black 12 ft (battery - -&gt; engine ground); tinned lugs, boots</t>
        </is>
      </c>
      <c r="C84" s="51" t="n">
        <v>1</v>
      </c>
      <c r="D84" s="52" t="inlineStr">
        <is>
          <t>lot</t>
        </is>
      </c>
      <c r="E84" s="53" t="n">
        <v>175</v>
      </c>
      <c r="F84" s="54">
        <f>C84*E84</f>
        <v/>
      </c>
      <c r="G84" s="55" t="n">
        <v>7</v>
      </c>
      <c r="H84" s="52" t="inlineStr">
        <is>
          <t>Y</t>
        </is>
      </c>
      <c r="I84" s="52" t="n"/>
      <c r="J84" s="50" t="inlineStr">
        <is>
          <t>Through the conduit and the 3-hole guard grommet</t>
        </is>
      </c>
    </row>
    <row r="85">
      <c r="A85" s="50" t="inlineStr">
        <is>
          <t>Cable 6 AWG tinned marine</t>
        </is>
      </c>
      <c r="B85" s="50" t="inlineStr">
        <is>
          <t>Red hub feed, black hub return, 4 ft total with lugs</t>
        </is>
      </c>
      <c r="C85" s="51" t="n">
        <v>1</v>
      </c>
      <c r="D85" s="52" t="inlineStr">
        <is>
          <t>lot</t>
        </is>
      </c>
      <c r="E85" s="53" t="n">
        <v>25</v>
      </c>
      <c r="F85" s="54">
        <f>C85*E85</f>
        <v/>
      </c>
      <c r="G85" s="55" t="n">
        <v>0.5</v>
      </c>
      <c r="H85" s="52" t="inlineStr">
        <is>
          <t>Y</t>
        </is>
      </c>
      <c r="I85" s="52" t="n"/>
      <c r="J85" s="50" t="n"/>
    </row>
    <row r="86">
      <c r="A86" s="50" t="inlineStr">
        <is>
          <t>Duplex 12 AWG red/black tinned marine</t>
        </is>
      </c>
      <c r="B86" s="50" t="inlineStr">
        <is>
          <t>Outlet, EFI, start, light bar, searchlight, nav lights; 100 ft</t>
        </is>
      </c>
      <c r="C86" s="51" t="n">
        <v>1</v>
      </c>
      <c r="D86" s="52" t="inlineStr">
        <is>
          <t>roll</t>
        </is>
      </c>
      <c r="E86" s="53" t="n">
        <v>165</v>
      </c>
      <c r="F86" s="54">
        <f>C86*E86</f>
        <v/>
      </c>
      <c r="G86" s="55" t="n">
        <v>6</v>
      </c>
      <c r="H86" s="52" t="inlineStr">
        <is>
          <t>Y</t>
        </is>
      </c>
      <c r="I86" s="52" t="n"/>
      <c r="J86" s="50" t="inlineStr">
        <is>
          <t>No chassis-ground returns</t>
        </is>
      </c>
    </row>
    <row r="87">
      <c r="A87" s="50" t="inlineStr">
        <is>
          <t>Primary 18 AWG tinned marine, 13 colours</t>
        </is>
      </c>
      <c r="B87" s="50" t="inlineStr">
        <is>
          <t>Key, kill, gauges, sensors (tach dark gray, temp tan, fuel pink, trouble brown-white, gauge lights blue-yellow), dimmer and relay signals, bilge, pump; 25 ft spools</t>
        </is>
      </c>
      <c r="C87" s="51" t="n">
        <v>13</v>
      </c>
      <c r="D87" s="52" t="inlineStr">
        <is>
          <t>spool</t>
        </is>
      </c>
      <c r="E87" s="53" t="n">
        <v>12</v>
      </c>
      <c r="F87" s="54">
        <f>C87*E87</f>
        <v/>
      </c>
      <c r="G87" s="55" t="n">
        <v>0.4</v>
      </c>
      <c r="H87" s="52" t="inlineStr">
        <is>
          <t>Y</t>
        </is>
      </c>
      <c r="I87" s="52" t="n"/>
      <c r="J87" s="50" t="inlineStr">
        <is>
          <t>ABYC E-11 colours</t>
        </is>
      </c>
    </row>
    <row r="88">
      <c r="A88" s="50" t="inlineStr">
        <is>
          <t>Deutsch DT/DTP connector kit</t>
        </is>
      </c>
      <c r="B88" s="50" t="inlineStr">
        <is>
          <t>DT12 x3, DT2 x4, DTP2 x7 with pins, seals and wedges; crimp tool</t>
        </is>
      </c>
      <c r="C88" s="51" t="n">
        <v>1</v>
      </c>
      <c r="D88" s="52" t="inlineStr">
        <is>
          <t>kit</t>
        </is>
      </c>
      <c r="E88" s="53" t="n">
        <v>240</v>
      </c>
      <c r="F88" s="54">
        <f>C88*E88</f>
        <v/>
      </c>
      <c r="G88" s="55" t="n">
        <v>0.8</v>
      </c>
      <c r="H88" s="52" t="inlineStr">
        <is>
          <t>Y</t>
        </is>
      </c>
      <c r="I88" s="52" t="n"/>
      <c r="J88" s="50" t="inlineStr">
        <is>
          <t>Every break outside the battery bay</t>
        </is>
      </c>
    </row>
    <row r="89">
      <c r="A89" s="50" t="inlineStr">
        <is>
          <t>Looms, conduit, glands, grommets</t>
        </is>
      </c>
      <c r="B89" s="50" t="inlineStr">
        <is>
          <t>Split loom 5/8 in and 3/8 in; 1-1/2 in sch 40 PVC conduit 3 ft with 3-hole gland caps; 2 PG13 glands; 3-hole guard grommet; aluminium deck cable cover</t>
        </is>
      </c>
      <c r="C89" s="51" t="n">
        <v>1</v>
      </c>
      <c r="D89" s="52" t="inlineStr">
        <is>
          <t>lot</t>
        </is>
      </c>
      <c r="E89" s="53" t="n">
        <v>95</v>
      </c>
      <c r="F89" s="54">
        <f>C89*E89</f>
        <v/>
      </c>
      <c r="G89" s="55" t="n">
        <v>2.5</v>
      </c>
      <c r="H89" s="52" t="inlineStr">
        <is>
          <t>Y</t>
        </is>
      </c>
      <c r="I89" s="52" t="n"/>
      <c r="J89" s="50" t="n"/>
    </row>
    <row r="90">
      <c r="A90" s="50" t="inlineStr">
        <is>
          <t>Relays and dimmers, sealed</t>
        </is>
      </c>
      <c r="B90" s="50" t="inlineStr">
        <is>
          <t>5 x 12 V 40 A relays (start, EFI main, fuel pump, nav, anchor) + 4 x 1N5408 diodes (2 anchor coil, 2 gauge lights); 2 x IP67 20 A PWM dimmers with 3-wire remote input</t>
        </is>
      </c>
      <c r="C90" s="51" t="n">
        <v>1</v>
      </c>
      <c r="D90" s="52" t="inlineStr">
        <is>
          <t>lot</t>
        </is>
      </c>
      <c r="E90" s="53" t="n">
        <v>140</v>
      </c>
      <c r="F90" s="54">
        <f>C90*E90</f>
        <v/>
      </c>
      <c r="G90" s="55" t="n">
        <v>1.4</v>
      </c>
      <c r="H90" s="52" t="inlineStr">
        <is>
          <t>Y</t>
        </is>
      </c>
      <c r="I90" s="52" t="n"/>
      <c r="J90" s="50" t="inlineStr">
        <is>
          <t>Inside the battery bay</t>
        </is>
      </c>
    </row>
    <row r="91">
      <c r="A91" s="50" t="inlineStr">
        <is>
          <t>Bilge float switch + AUTO-OFF-MAN switch</t>
        </is>
      </c>
      <c r="B91" s="50" t="inlineStr">
        <is>
          <t>Float in the sump; sealed toggle on the bench front</t>
        </is>
      </c>
      <c r="C91" s="51" t="n">
        <v>1</v>
      </c>
      <c r="D91" s="52" t="inlineStr">
        <is>
          <t>set</t>
        </is>
      </c>
      <c r="E91" s="53" t="n">
        <v>60</v>
      </c>
      <c r="F91" s="54">
        <f>C91*E91</f>
        <v/>
      </c>
      <c r="G91" s="55" t="n">
        <v>0.7</v>
      </c>
      <c r="H91" s="52" t="inlineStr">
        <is>
          <t>Y</t>
        </is>
      </c>
      <c r="I91" s="52" t="n"/>
      <c r="J91" s="50" t="inlineStr">
        <is>
          <t>Always on through its own 10 A fuse</t>
        </is>
      </c>
    </row>
    <row r="92">
      <c r="A92" s="50" t="inlineStr">
        <is>
          <t>Fuel pump and filter, EFI inline</t>
        </is>
      </c>
      <c r="B92" s="50" t="inlineStr">
        <is>
          <t>On a bracket on the port engine-bed plate, outside the guard</t>
        </is>
      </c>
      <c r="C92" s="51" t="n">
        <v>1</v>
      </c>
      <c r="D92" s="52" t="inlineStr">
        <is>
          <t>set</t>
        </is>
      </c>
      <c r="E92" s="53" t="n">
        <v>170</v>
      </c>
      <c r="F92" s="54">
        <f>C92*E92</f>
        <v/>
      </c>
      <c r="G92" s="55" t="n">
        <v>2.5</v>
      </c>
      <c r="H92" s="52" t="inlineStr">
        <is>
          <t>Y</t>
        </is>
      </c>
      <c r="I92" s="52" t="n"/>
      <c r="J92" s="50" t="inlineStr">
        <is>
          <t>Delete if the drivetrain list already carries them</t>
        </is>
      </c>
    </row>
    <row r="93">
      <c r="A93" s="50" t="inlineStr">
        <is>
          <t>Fuel sender, electric 240-33 ohm</t>
        </is>
      </c>
      <c r="B93" s="50" t="inlineStr">
        <is>
          <t>In the portable tank, DT2 at the tank front</t>
        </is>
      </c>
      <c r="C93" s="51" t="n">
        <v>1</v>
      </c>
      <c r="D93" s="52" t="inlineStr">
        <is>
          <t>ea</t>
        </is>
      </c>
      <c r="E93" s="53" t="n">
        <v>60</v>
      </c>
      <c r="F93" s="54">
        <f>C93*E93</f>
        <v/>
      </c>
      <c r="G93" s="55" t="n">
        <v>0.4</v>
      </c>
      <c r="H93" s="52" t="inlineStr">
        <is>
          <t>Y</t>
        </is>
      </c>
      <c r="I93" s="52" t="n"/>
      <c r="J93" s="50" t="inlineStr">
        <is>
          <t>The tank must accept a sender</t>
        </is>
      </c>
    </row>
    <row r="94">
      <c r="A94" s="50" t="inlineStr">
        <is>
          <t>Nav lights</t>
        </is>
      </c>
      <c r="B94" s="50" t="inlineStr">
        <is>
          <t>Bow red/green combination on a 12 in stanchion; all-round white on an 18 in mast with U-bolt saddle on the aft hoop</t>
        </is>
      </c>
      <c r="C94" s="51" t="n">
        <v>1</v>
      </c>
      <c r="D94" s="52" t="inlineStr">
        <is>
          <t>set</t>
        </is>
      </c>
      <c r="E94" s="53" t="n">
        <v>140</v>
      </c>
      <c r="F94" s="54">
        <f>C94*E94</f>
        <v/>
      </c>
      <c r="G94" s="55" t="n">
        <v>2.5</v>
      </c>
      <c r="H94" s="52" t="inlineStr">
        <is>
          <t>Y</t>
        </is>
      </c>
      <c r="I94" s="52" t="n"/>
      <c r="J94" s="50" t="inlineStr">
        <is>
          <t>USCG Rule 23 for power vessels under 12 m</t>
        </is>
      </c>
    </row>
    <row r="95">
      <c r="A95" s="50" t="inlineStr">
        <is>
          <t>Marine plywood 1/2 in, 4x8</t>
        </is>
      </c>
      <c r="B95" s="50" t="inlineStr">
        <is>
          <t>Bench bottom panel, bay bulkhead, both lids</t>
        </is>
      </c>
      <c r="C95" s="51" t="n">
        <v>1</v>
      </c>
      <c r="D95" s="52" t="inlineStr">
        <is>
          <t>sheet</t>
        </is>
      </c>
      <c r="E95" s="53" t="n">
        <v>150</v>
      </c>
      <c r="F95" s="54">
        <f>C95*E95</f>
        <v/>
      </c>
      <c r="G95" s="55" t="n">
        <v>7.5</v>
      </c>
      <c r="H95" s="52" t="inlineStr">
        <is>
          <t>Y</t>
        </is>
      </c>
      <c r="I95" s="52" t="n"/>
      <c r="J95" s="50" t="inlineStr">
        <is>
          <t>Epoxy-coat inside the cooler</t>
        </is>
      </c>
    </row>
    <row r="96">
      <c r="A96" s="50" t="inlineStr">
        <is>
          <t>Deck hardware</t>
        </is>
      </c>
      <c r="B96" s="50" t="inlineStr">
        <is>
          <t>4 in aluminium cleats (4), 1/4 in bow knees (2), 316 bow-eye strap and 2 in ring</t>
        </is>
      </c>
      <c r="C96" s="51" t="n">
        <v>1</v>
      </c>
      <c r="D96" s="52" t="inlineStr">
        <is>
          <t>lot</t>
        </is>
      </c>
      <c r="E96" s="53" t="n">
        <v>110</v>
      </c>
      <c r="F96" s="54">
        <f>C96*E96</f>
        <v/>
      </c>
      <c r="G96" s="55" t="n">
        <v>4</v>
      </c>
      <c r="H96" s="52" t="inlineStr">
        <is>
          <t>Y</t>
        </is>
      </c>
      <c r="I96" s="52" t="n"/>
      <c r="J96" s="50" t="inlineStr">
        <is>
          <t>Bow cleats on the knees, stern cleats on the transom corners</t>
        </is>
      </c>
    </row>
    <row r="97">
      <c r="A97" s="50" t="inlineStr">
        <is>
          <t>Fire extinguisher, USCG B-1 (5-B:C) marine</t>
        </is>
      </c>
      <c r="B97" s="50" t="inlineStr">
        <is>
          <t>With quick-release bracket</t>
        </is>
      </c>
      <c r="C97" s="51" t="n">
        <v>1</v>
      </c>
      <c r="D97" s="52" t="inlineStr">
        <is>
          <t>ea</t>
        </is>
      </c>
      <c r="E97" s="53" t="n">
        <v>40</v>
      </c>
      <c r="F97" s="54">
        <f>C97*E97</f>
        <v/>
      </c>
      <c r="G97" s="55" t="n">
        <v>4.5</v>
      </c>
      <c r="H97" s="52" t="inlineStr">
        <is>
          <t>Y</t>
        </is>
      </c>
      <c r="I97" s="52" t="n"/>
      <c r="J97" s="50" t="inlineStr">
        <is>
          <t>Bow shelf, starboard of the tank</t>
        </is>
      </c>
    </row>
    <row r="98">
      <c r="A98" s="50" t="inlineStr">
        <is>
          <t>Air horn, 8 oz can</t>
        </is>
      </c>
      <c r="B98" s="50" t="inlineStr">
        <is>
          <t>With bracket</t>
        </is>
      </c>
      <c r="C98" s="51" t="n">
        <v>1</v>
      </c>
      <c r="D98" s="52" t="inlineStr">
        <is>
          <t>ea</t>
        </is>
      </c>
      <c r="E98" s="53" t="n">
        <v>25</v>
      </c>
      <c r="F98" s="54">
        <f>C98*E98</f>
        <v/>
      </c>
      <c r="G98" s="55" t="n">
        <v>0.8</v>
      </c>
      <c r="H98" s="52" t="inlineStr">
        <is>
          <t>Y</t>
        </is>
      </c>
      <c r="I98" s="52" t="n"/>
      <c r="J98" s="50" t="inlineStr">
        <is>
          <t>Bow shelf, port of the tank</t>
        </is>
      </c>
    </row>
    <row r="99">
      <c r="A99" s="50" t="inlineStr">
        <is>
          <t>Flag staff and international-orange flag</t>
        </is>
      </c>
      <c r="B99" s="50" t="inlineStr">
        <is>
          <t>3/4 in 6061 tube removable staff in a 7/8 in socket on a U-bolt saddle on the aft hoop, 12 in port of the stern light; 12 x 10 in nylon flag, bottom edge 122 in above the hull bottom</t>
        </is>
      </c>
      <c r="C99" s="51" t="n">
        <v>1</v>
      </c>
      <c r="D99" s="52" t="inlineStr">
        <is>
          <t>lot</t>
        </is>
      </c>
      <c r="E99" s="53" t="n">
        <v>45</v>
      </c>
      <c r="F99" s="54">
        <f>C99*E99</f>
        <v/>
      </c>
      <c r="G99" s="55" t="n">
        <v>1</v>
      </c>
      <c r="H99" s="52" t="inlineStr">
        <is>
          <t>Y</t>
        </is>
      </c>
      <c r="I99" s="52" t="n"/>
      <c r="J99" s="50" t="inlineStr">
        <is>
          <t>Florida Statute 327.391: flag at least 10 x 12 in, at least 10 ft above the lowest part of the boat; pull the staff to trailer</t>
        </is>
      </c>
    </row>
    <row r="100">
      <c r="A100" s="50" t="inlineStr">
        <is>
          <t>Rev 7 fasteners</t>
        </is>
      </c>
      <c r="B100" s="50" t="inlineStr">
        <is>
          <t>SS bolts, rivnuts, U-bolts and clamps for the items above</t>
        </is>
      </c>
      <c r="C100" s="51" t="n">
        <v>1</v>
      </c>
      <c r="D100" s="52" t="inlineStr">
        <is>
          <t>lot</t>
        </is>
      </c>
      <c r="E100" s="53" t="n">
        <v>60</v>
      </c>
      <c r="F100" s="54">
        <f>C100*E100</f>
        <v/>
      </c>
      <c r="G100" s="55" t="n">
        <v>2</v>
      </c>
      <c r="H100" s="52" t="inlineStr">
        <is>
          <t>N</t>
        </is>
      </c>
      <c r="I100" s="52" t="n"/>
      <c r="J100" s="50" t="n"/>
    </row>
    <row r="102">
      <c r="A102" s="38" t="inlineStr">
        <is>
          <t>Total</t>
        </is>
      </c>
      <c r="B102" s="38" t="n"/>
      <c r="C102" s="38" t="n"/>
      <c r="D102" s="38" t="n"/>
      <c r="E102" s="38" t="n"/>
      <c r="F102" s="39">
        <f>SUM(F5:F100)</f>
        <v/>
      </c>
      <c r="G102" s="40">
        <f>SUM(G5:G100)</f>
        <v/>
      </c>
      <c r="H102" s="38" t="n"/>
      <c r="I102" s="38" t="n"/>
      <c r="J102" s="38" t="n"/>
    </row>
    <row r="103">
      <c r="A103" s="35" t="inlineStr">
        <is>
          <t>Weight included in the CAD model</t>
        </is>
      </c>
      <c r="G103" s="59">
        <f>SUMIF(H5:H100,"Y",G5:G100)</f>
        <v/>
      </c>
    </row>
    <row r="104">
      <c r="A104" s="35" t="inlineStr">
        <is>
          <t>Weight not in the CAD model (fasteners, paint, wiring)</t>
        </is>
      </c>
      <c r="G104" s="59">
        <f>SUMIF(H5:H100,"N",G5:G100)</f>
        <v/>
      </c>
    </row>
    <row r="105">
      <c r="A105" s="35" t="inlineStr">
        <is>
          <t>CAD model weight for this group (reference)</t>
        </is>
      </c>
      <c r="G105" s="46" t="n">
        <v>322.87</v>
      </c>
      <c r="J105" s="33" t="inlineStr">
        <is>
          <t>Rev 6 CAD weight reports; rev 7 lines above are model volumes or catalog weights</t>
        </is>
      </c>
    </row>
  </sheetData>
  <hyperlinks>
    <hyperlink xmlns:r="http://schemas.openxmlformats.org/officeDocument/2006/relationships" ref="I14" location="Honeycomb" display="https://www.chalcoaluminum.com/knowledge/sandwich-panel/#Honeycomb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2026-10-27T04:39:21Z</dcterms:created>
  <dcterms:modified xsi:type="dcterms:W3CDTF">2026-11-01T02:12:54Z</dcterms:modified>
  <cp:revision>0</cp:revision>
</cp:coreProperties>
</file>