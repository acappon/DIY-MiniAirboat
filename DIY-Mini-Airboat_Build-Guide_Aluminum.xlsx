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 guid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<sst xmlns="http://schemas.openxmlformats.org/spreadsheetml/2006/main" count="101" uniqueCount="101">
  <si>
    <t xml:space="preserve">DIY Mini-Airboat — step-by-step build guide (riveted aluminum hull)</t>
  </si>
  <si>
    <t xml:space="preserve">DIY hours assume a skilled backyard mechanic with a pneumatic rivet gun, who can TIG-weld aluminum and has a small shop. Pro cost is labor only (materials are in the BOM workbook), at roughly $90-100/hr shop rates.</t>
  </si>
  <si>
    <t xml:space="preserve">Step</t>
  </si>
  <si>
    <t xml:space="preserve">DIY time (hours)</t>
  </si>
  <si>
    <t xml:space="preserve">Pro cost, labor only ($)</t>
  </si>
  <si>
    <t xml:space="preserve">Key checks</t>
  </si>
  <si>
    <t xml:space="preserve">Hull (riveted aluminum)</t>
  </si>
  <si>
    <t xml:space="preserve">1. Export flat patterns of every skin panel, frame and stringer from the CAD in OnShape; print full-size templates</t>
  </si>
  <si>
    <t xml:space="preserve">Check bottom blank 60 x 150 in incl. rocker</t>
  </si>
  <si>
    <t xml:space="preserve">2. Build a level strongback with station molds at each frame position</t>
  </si>
  <si>
    <t xml:space="preserve">Twist-free to 1/16 in end to end</t>
  </si>
  <si>
    <t xml:space="preserve">3. Order 5052-H32 sheet; have a fab shop shear the blanks and brake the 45 deg chine bends and transom flanges</t>
  </si>
  <si>
    <t xml:space="preserve">Pro cost here = shear and brake service</t>
  </si>
  <si>
    <t xml:space="preserve">4. Cut and form stringers (hat or angle sections) to the rocker curve; cut ribs and frames from angle; notch a 1 x 3/4 in limber in every bay of every frame and a cross-drain slot in every stringer at x 3.5-4.5</t>
  </si>
  <si>
    <t xml:space="preserve">Stringers line up under the UHMW strip edges; deburr and prime every notch</t>
  </si>
  <si>
    <t xml:space="preserve">5. Cleco frames and stringers together on the jig; check square and diagonals; rivet the framing</t>
  </si>
  <si>
    <t xml:space="preserve">6. Fit the bottom sheets over the frame and bend them into the bow rocker; centerline seam over a doubled center stringer; cleco and trim</t>
  </si>
  <si>
    <t xml:space="preserve">Only one long bottom seam</t>
  </si>
  <si>
    <t xml:space="preserve">7. Fit chine/side panels, bow face and transom; cleco every lap (1 in minimum); check symmetry and chine angle</t>
  </si>
  <si>
    <t xml:space="preserve">8. Drill all rivet holes to final size (3/16 in, double rows at about 3/4 in spacing); deburr both sides</t>
  </si>
  <si>
    <t xml:space="preserve">About 2,000 holes</t>
  </si>
  <si>
    <t xml:space="preserve">9. Take laps apart, clean, prime faying surfaces, butter with sealant (Sikaflex 291 or 3M 4200), rivet with closed-end aluminum blind rivets</t>
  </si>
  <si>
    <t xml:space="preserve">Wet sealant squeeze-out along every seam</t>
  </si>
  <si>
    <t xml:space="preserve">10. Install engine beds (doubled aluminum stringers + plates on HDPE), cage mount plates, aluminum rub rail at the sheer</t>
  </si>
  <si>
    <t xml:space="preserve">Bed plates level side to side within 1/16 in</t>
  </si>
  <si>
    <t xml:space="preserve">11. Leak test: hull on stands, fill with 4 in of water, check the outside (before UHMW) for 24 h; mark and fix leakers. Repeat with UHMW on, watching the strip edges</t>
  </si>
  <si>
    <t xml:space="preserve">Drill out and replace any weeping rivet; Gluvit on weeping laps</t>
  </si>
  <si>
    <t xml:space="preserve">12. Fit UHMW strips; through-bolt into the stringers with sealant, slotted toward the ends; fit the nose cap</t>
  </si>
  <si>
    <t xml:space="preserve">Fix strips at mid-length only</t>
  </si>
  <si>
    <t xml:space="preserve">13. Self-etching primer and topcoat</t>
  </si>
  <si>
    <t xml:space="preserve">Drivetrain</t>
  </si>
  <si>
    <t xml:space="preserve">14. Find a G13 (Metro 1.3 or Swift), compression-test it; replace timing belt, water pump, gaskets, plugs</t>
  </si>
  <si>
    <t xml:space="preserve">Compression even across cylinders</t>
  </si>
  <si>
    <t xml:space="preserve">15. Measure the bellhousing pattern; machine the adapter plate and jackshaft housing; fit the flex coupling</t>
  </si>
  <si>
    <t xml:space="preserve">Jackshaft runout under 0.003 in</t>
  </si>
  <si>
    <t xml:space="preserve">16. Build engine mounts with polyurethane bushings; set the engine low on the bed plates</t>
  </si>
  <si>
    <t xml:space="preserve">Crank 15 in above the hull bottom</t>
  </si>
  <si>
    <t xml:space="preserve">17. Fabricate and TIG-weld A-frames, gusset peak plates, feet, diagonal braces, tie struts</t>
  </si>
  <si>
    <t xml:space="preserve">Peak plates parallel and the shaft bores in line</t>
  </si>
  <si>
    <t xml:space="preserve">18. Build the tension yoke; machine the prop shaft and flange; mount the flange bearings</t>
  </si>
  <si>
    <t xml:space="preserve">19. Install pulleys, belt and optional idler; align pulleys with a straightedge or laser; set tension with the jack screw</t>
  </si>
  <si>
    <t xml:space="preserve">Tighten slot bolts first, pivot bolts last</t>
  </si>
  <si>
    <t xml:space="preserve">20. Mount the prop; set pitch with the protractor; track the blades</t>
  </si>
  <si>
    <t xml:space="preserve">Blade tips track within 1/8 in</t>
  </si>
  <si>
    <t xml:space="preserve">21. Mount the radiator on the cradle; plumb hoses; fill and bleed coolant</t>
  </si>
  <si>
    <t xml:space="preserve">22. Build exhaust and muffler; fit heat shields away from wood, epoxy and UHMW</t>
  </si>
  <si>
    <t xml:space="preserve">Tailpipe stays below the prop disk</t>
  </si>
  <si>
    <t xml:space="preserve">23. Fuel system and throttle cable</t>
  </si>
  <si>
    <t xml:space="preserve">Prop cage, rudders and steering</t>
  </si>
  <si>
    <t xml:space="preserve">24. Have the two 72.4 in hoops rolled; cut and fit legs, rails, EMT; weld the cage</t>
  </si>
  <si>
    <t xml:space="preserve">Grind zinc off EMT before welding; ventilate</t>
  </si>
  <si>
    <t xml:space="preserve">25. Fit 1/2 in hardware cloth front, aft and sides; install the shaft sleeve; paint</t>
  </si>
  <si>
    <t xml:space="preserve">At least 4.7 in from mesh to any blade</t>
  </si>
  <si>
    <t xml:space="preserve">26. Make the honeycomb rudders: cut, edge channels, seal edges, hinge tubes</t>
  </si>
  <si>
    <t xml:space="preserve">No open cells anywhere</t>
  </si>
  <si>
    <t xml:space="preserve">27. Steering: horns, tie bar, pushrod, rod ends, lever pivot; set rudders parallel</t>
  </si>
  <si>
    <t xml:space="preserve">Full lock both ways without touching the cage</t>
  </si>
  <si>
    <t xml:space="preserve">Floor, seating, controls and flotation</t>
  </si>
  <si>
    <t xml:space="preserve">28. Open sump: install pump, float switch with cycle counter, outside-reachable auto/off/manual switch, bailer, 1 in drain plug, through-hull and raised FRP grate box; pour a bucket in each bay and check it reaches the sump</t>
  </si>
  <si>
    <t xml:space="preserve">Bailer check valve works; every bay drains; pump switch reachable from the water</t>
  </si>
  <si>
    <t xml:space="preserve">29. Make the 24 foam blocks (20 thin blocks aft of x = 72 in, 4 bow blocks): pour urethane foam per bay onto release-lined Coroplast trays (or into molds), trim to fit with 1/16 in clearance, seal-coat, glue on HDPE pads</t>
  </si>
  <si>
    <t xml:space="preserve">Urethane only; nothing bonded to the hull; blocks lift out</t>
  </si>
  <si>
    <t xml:space="preserve">30. Make bolt-down floor panels resting on the stringer tops, and the bow shelf (sealed 3/8 in plywood or 0.063 in aluminum), on rivnuts and gasket tape; cut and fit 8 deck plates</t>
  </si>
  <si>
    <t xml:space="preserve">Panels hold the blocks down if swamped; floor drains aft to the sump</t>
  </si>
  <si>
    <t xml:space="preserve">31. Build the watertight bench with gasketed lid; battery hold-down; cushion</t>
  </si>
  <si>
    <t xml:space="preserve">Hose-test the lid seal</t>
  </si>
  <si>
    <t xml:space="preserve">32. Backrests, grab handles, engine guard, footrest ladder, throttle pedal, padded bar</t>
  </si>
  <si>
    <t xml:space="preserve">33. Mold or cut the strap-in foam side blocks (taller with the low floor); fit straps</t>
  </si>
  <si>
    <t xml:space="preserve">They provide the swamped stability: always strapped in</t>
  </si>
  <si>
    <t xml:space="preserve">Joint details, rev 6 (added work only; base fabrication is in the sections above)</t>
  </si>
  <si>
    <t xml:space="preserve">34. Cut plates from the DXF flat patterns (plasma or waterjet, or send out); deburr, drill to final size</t>
  </si>
  <si>
    <t xml:space="preserve">Check hole positions against the fab workbook</t>
  </si>
  <si>
    <t xml:space="preserve">35. Cut tubes per the cut list: mitre leg ends, slot leg tops 3/8 x 2.5, cope cage tubes (hole saw or notcher)</t>
  </si>
  <si>
    <t xml:space="preserve">Dry-fit every joint before welding</t>
  </si>
  <si>
    <t xml:space="preserve">36. Weld the A-frame weldments in a jig: legs into peak plate, caps, crossbar, feet, gussets, clevis tabs</t>
  </si>
  <si>
    <t xml:space="preserve">Peak plates parallel, shaft bores in line; weld alternately to limit distortion</t>
  </si>
  <si>
    <t xml:space="preserve">37. Build the engine-mount cradles and engine-side brackets; fit poly bushings and through-bolts</t>
  </si>
  <si>
    <t xml:space="preserve">Drill brackets to the real block's mount bosses</t>
  </si>
  <si>
    <t xml:space="preserve">38. Fit braces with clevis bolts, tie struts, radiator mounts and stays, exhaust hangers and saddle</t>
  </si>
  <si>
    <t xml:space="preserve">Everything removable unbolts without cutting</t>
  </si>
  <si>
    <t xml:space="preserve">39. Cage: weld coped nodes, drill and bolt the steel pads over HDPE isolators; fit rudder pivots, rod ends, tie bar</t>
  </si>
  <si>
    <t xml:space="preserve">Rudders swing freely lock to lock</t>
  </si>
  <si>
    <t xml:space="preserve">40. Bench sockets, handle flanges, clips, battery tray, steering pivot, ladder feet, bow-shelf angles and padeyes</t>
  </si>
  <si>
    <t xml:space="preserve">Backrests drop in and pin; shelf solid underfoot</t>
  </si>
  <si>
    <t xml:space="preserve">Electrical, finish and testing</t>
  </si>
  <si>
    <t xml:space="preserve">41. Wire battery, kill switch, ignition, gauges, bilge pump and navigation lights</t>
  </si>
  <si>
    <t xml:space="preserve">Fuse every circuit</t>
  </si>
  <si>
    <t xml:space="preserve">42. Build and fit the adjustable trim tab</t>
  </si>
  <si>
    <t xml:space="preserve">43. Ground runs: tach sweep, belt tension and flap, cooling, vibration; re-torque all bolts</t>
  </si>
  <si>
    <t xml:space="preserve">Listen for rough rpm bands</t>
  </si>
  <si>
    <t xml:space="preserve">44. Dock tests: float level, bilge pump, optional swamp test</t>
  </si>
  <si>
    <t xml:space="preserve">45. Water trials: trim tab and prop pitch setup, steering, planing two-up</t>
  </si>
  <si>
    <t xml:space="preserve">46. Registration, numbering, safety gear check</t>
  </si>
  <si>
    <t xml:space="preserve">Total</t>
  </si>
  <si>
    <t xml:space="preserve">DIY weekends at 16 hours each</t>
  </si>
  <si>
    <t xml:space="preserve">Blue numbers are estimates you can edit; section rows and totals recalculate.</t>
  </si>
  <si>
    <t xml:space="preserve">Comparison: stitch-and-glue hull version</t>
  </si>
  <si>
    <t xml:space="preserve">Hull section only</t>
  </si>
  <si>
    <t xml:space="preserve">Whole boat</t>
  </si>
  <si>
    <t xml:space="preserve">Saved with the riveted aluminum hull (whole boat)</t>
  </si>
  <si>
    <t xml:space="preserve">Values above come from the stitch-and-glue build guide (DIY-Mini-Airboat_Build-Guide.xlsx).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</si>
</sst>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E4A2E"/>
        <bgColor rgb="FF555555"/>
      </patternFill>
    </fill>
    <fill>
      <patternFill patternType="solid">
        <fgColor rgb="FFE6EBDD"/>
        <bgColor rgb="FFF2F2F2"/>
      </patternFill>
    </fill>
    <fill>
      <patternFill patternType="solid">
        <fgColor rgb="FFF2F2F2"/>
        <bgColor rgb="FFE6EB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B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E4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f aca="false">SUM(B6:B18)</f>
        <v>149</v>
      </c>
      <c r="C5" s="5" t="n">
        <f aca="false">SUM(C6:C18)</f>
        <v>11780</v>
      </c>
      <c r="D5" s="6"/>
    </row>
    <row r="6" customFormat="false" ht="15" hidden="false" customHeight="false" outlineLevel="0" collapsed="false">
      <c r="A6" s="7" t="s">
        <v>7</v>
      </c>
      <c r="B6" s="8" t="n">
        <v>6</v>
      </c>
      <c r="C6" s="9" t="n">
        <v>450</v>
      </c>
      <c r="D6" s="7" t="s">
        <v>8</v>
      </c>
    </row>
    <row r="7" customFormat="false" ht="15" hidden="false" customHeight="false" outlineLevel="0" collapsed="false">
      <c r="A7" s="7" t="s">
        <v>9</v>
      </c>
      <c r="B7" s="8" t="n">
        <v>10</v>
      </c>
      <c r="C7" s="9" t="n">
        <v>700</v>
      </c>
      <c r="D7" s="7" t="s">
        <v>10</v>
      </c>
    </row>
    <row r="8" customFormat="false" ht="23.85" hidden="false" customHeight="false" outlineLevel="0" collapsed="false">
      <c r="A8" s="7" t="s">
        <v>11</v>
      </c>
      <c r="B8" s="8" t="n">
        <v>4</v>
      </c>
      <c r="C8" s="9" t="n">
        <v>600</v>
      </c>
      <c r="D8" s="7" t="s">
        <v>12</v>
      </c>
    </row>
    <row r="9" customFormat="false" ht="23.85" hidden="false" customHeight="false" outlineLevel="0" collapsed="false">
      <c r="A9" s="7" t="s">
        <v>13</v>
      </c>
      <c r="B9" s="8" t="n">
        <v>19</v>
      </c>
      <c r="C9" s="9" t="n">
        <v>1480</v>
      </c>
      <c r="D9" s="7" t="s">
        <v>14</v>
      </c>
    </row>
    <row r="10" customFormat="false" ht="15" hidden="false" customHeight="false" outlineLevel="0" collapsed="false">
      <c r="A10" s="7" t="s">
        <v>15</v>
      </c>
      <c r="B10" s="8" t="n">
        <v>14</v>
      </c>
      <c r="C10" s="9" t="n">
        <v>1100</v>
      </c>
      <c r="D10" s="7"/>
    </row>
    <row r="11" customFormat="false" ht="23.85" hidden="false" customHeight="false" outlineLevel="0" collapsed="false">
      <c r="A11" s="7" t="s">
        <v>16</v>
      </c>
      <c r="B11" s="8" t="n">
        <v>12</v>
      </c>
      <c r="C11" s="9" t="n">
        <v>950</v>
      </c>
      <c r="D11" s="7" t="s">
        <v>17</v>
      </c>
    </row>
    <row r="12" customFormat="false" ht="15" hidden="false" customHeight="false" outlineLevel="0" collapsed="false">
      <c r="A12" s="7" t="s">
        <v>18</v>
      </c>
      <c r="B12" s="8" t="n">
        <v>12</v>
      </c>
      <c r="C12" s="9" t="n">
        <v>900</v>
      </c>
      <c r="D12" s="7"/>
    </row>
    <row r="13" customFormat="false" ht="15" hidden="false" customHeight="false" outlineLevel="0" collapsed="false">
      <c r="A13" s="7" t="s">
        <v>19</v>
      </c>
      <c r="B13" s="8" t="n">
        <v>12</v>
      </c>
      <c r="C13" s="9" t="n">
        <v>900</v>
      </c>
      <c r="D13" s="7" t="s">
        <v>20</v>
      </c>
    </row>
    <row r="14" customFormat="false" ht="23.85" hidden="false" customHeight="false" outlineLevel="0" collapsed="false">
      <c r="A14" s="7" t="s">
        <v>21</v>
      </c>
      <c r="B14" s="8" t="n">
        <v>22</v>
      </c>
      <c r="C14" s="9" t="n">
        <v>1700</v>
      </c>
      <c r="D14" s="7" t="s">
        <v>22</v>
      </c>
    </row>
    <row r="15" customFormat="false" ht="23.85" hidden="false" customHeight="false" outlineLevel="0" collapsed="false">
      <c r="A15" s="7" t="s">
        <v>23</v>
      </c>
      <c r="B15" s="8" t="n">
        <v>8</v>
      </c>
      <c r="C15" s="9" t="n">
        <v>600</v>
      </c>
      <c r="D15" s="7" t="s">
        <v>24</v>
      </c>
    </row>
    <row r="16" customFormat="false" ht="23.85" hidden="false" customHeight="false" outlineLevel="0" collapsed="false">
      <c r="A16" s="7" t="s">
        <v>25</v>
      </c>
      <c r="B16" s="8" t="n">
        <v>8</v>
      </c>
      <c r="C16" s="9" t="n">
        <v>600</v>
      </c>
      <c r="D16" s="7" t="s">
        <v>26</v>
      </c>
    </row>
    <row r="17" customFormat="false" ht="15" hidden="false" customHeight="false" outlineLevel="0" collapsed="false">
      <c r="A17" s="7" t="s">
        <v>27</v>
      </c>
      <c r="B17" s="8" t="n">
        <v>12</v>
      </c>
      <c r="C17" s="9" t="n">
        <v>900</v>
      </c>
      <c r="D17" s="7" t="s">
        <v>28</v>
      </c>
    </row>
    <row r="18" customFormat="false" ht="15" hidden="false" customHeight="false" outlineLevel="0" collapsed="false">
      <c r="A18" s="7" t="s">
        <v>29</v>
      </c>
      <c r="B18" s="8" t="n">
        <v>10</v>
      </c>
      <c r="C18" s="9" t="n">
        <v>900</v>
      </c>
      <c r="D18" s="7"/>
    </row>
    <row r="19" customFormat="false" ht="15" hidden="false" customHeight="false" outlineLevel="0" collapsed="false">
      <c r="A19" s="4" t="s">
        <v>30</v>
      </c>
      <c r="B19" s="4" t="n">
        <f aca="false">SUM(B20:B29)</f>
        <v>116</v>
      </c>
      <c r="C19" s="5" t="n">
        <f aca="false">SUM(C20:C29)</f>
        <v>9250</v>
      </c>
      <c r="D19" s="6"/>
    </row>
    <row r="20" customFormat="false" ht="15" hidden="false" customHeight="false" outlineLevel="0" collapsed="false">
      <c r="A20" s="7" t="s">
        <v>31</v>
      </c>
      <c r="B20" s="8" t="n">
        <v>16</v>
      </c>
      <c r="C20" s="9" t="n">
        <v>1100</v>
      </c>
      <c r="D20" s="7" t="s">
        <v>32</v>
      </c>
    </row>
    <row r="21" customFormat="false" ht="15" hidden="false" customHeight="false" outlineLevel="0" collapsed="false">
      <c r="A21" s="7" t="s">
        <v>33</v>
      </c>
      <c r="B21" s="8" t="n">
        <v>12</v>
      </c>
      <c r="C21" s="9" t="n">
        <v>1000</v>
      </c>
      <c r="D21" s="7" t="s">
        <v>34</v>
      </c>
    </row>
    <row r="22" customFormat="false" ht="15" hidden="false" customHeight="false" outlineLevel="0" collapsed="false">
      <c r="A22" s="7" t="s">
        <v>35</v>
      </c>
      <c r="B22" s="8" t="n">
        <v>8</v>
      </c>
      <c r="C22" s="9" t="n">
        <v>650</v>
      </c>
      <c r="D22" s="7" t="s">
        <v>36</v>
      </c>
    </row>
    <row r="23" customFormat="false" ht="15" hidden="false" customHeight="false" outlineLevel="0" collapsed="false">
      <c r="A23" s="7" t="s">
        <v>37</v>
      </c>
      <c r="B23" s="8" t="n">
        <v>30</v>
      </c>
      <c r="C23" s="9" t="n">
        <v>2500</v>
      </c>
      <c r="D23" s="7" t="s">
        <v>38</v>
      </c>
    </row>
    <row r="24" customFormat="false" ht="15" hidden="false" customHeight="false" outlineLevel="0" collapsed="false">
      <c r="A24" s="7" t="s">
        <v>39</v>
      </c>
      <c r="B24" s="8" t="n">
        <v>14</v>
      </c>
      <c r="C24" s="9" t="n">
        <v>1150</v>
      </c>
      <c r="D24" s="7"/>
    </row>
    <row r="25" customFormat="false" ht="15" hidden="false" customHeight="false" outlineLevel="0" collapsed="false">
      <c r="A25" s="7" t="s">
        <v>40</v>
      </c>
      <c r="B25" s="8" t="n">
        <v>6</v>
      </c>
      <c r="C25" s="9" t="n">
        <v>450</v>
      </c>
      <c r="D25" s="7" t="s">
        <v>41</v>
      </c>
    </row>
    <row r="26" customFormat="false" ht="15" hidden="false" customHeight="false" outlineLevel="0" collapsed="false">
      <c r="A26" s="7" t="s">
        <v>42</v>
      </c>
      <c r="B26" s="8" t="n">
        <v>4</v>
      </c>
      <c r="C26" s="9" t="n">
        <v>350</v>
      </c>
      <c r="D26" s="7" t="s">
        <v>43</v>
      </c>
    </row>
    <row r="27" customFormat="false" ht="15" hidden="false" customHeight="false" outlineLevel="0" collapsed="false">
      <c r="A27" s="7" t="s">
        <v>44</v>
      </c>
      <c r="B27" s="8" t="n">
        <v>6</v>
      </c>
      <c r="C27" s="9" t="n">
        <v>450</v>
      </c>
      <c r="D27" s="7"/>
    </row>
    <row r="28" customFormat="false" ht="15" hidden="false" customHeight="false" outlineLevel="0" collapsed="false">
      <c r="A28" s="7" t="s">
        <v>45</v>
      </c>
      <c r="B28" s="8" t="n">
        <v>14</v>
      </c>
      <c r="C28" s="9" t="n">
        <v>1150</v>
      </c>
      <c r="D28" s="7" t="s">
        <v>46</v>
      </c>
    </row>
    <row r="29" customFormat="false" ht="15" hidden="false" customHeight="false" outlineLevel="0" collapsed="false">
      <c r="A29" s="7" t="s">
        <v>47</v>
      </c>
      <c r="B29" s="8" t="n">
        <v>6</v>
      </c>
      <c r="C29" s="9" t="n">
        <v>450</v>
      </c>
      <c r="D29" s="7"/>
    </row>
    <row r="30" customFormat="false" ht="15" hidden="false" customHeight="false" outlineLevel="0" collapsed="false">
      <c r="A30" s="4" t="s">
        <v>48</v>
      </c>
      <c r="B30" s="4" t="n">
        <f aca="false">SUM(B31:B34)</f>
        <v>52</v>
      </c>
      <c r="C30" s="5" t="n">
        <f aca="false">SUM(C31:C34)</f>
        <v>4200</v>
      </c>
      <c r="D30" s="6"/>
    </row>
    <row r="31" customFormat="false" ht="15" hidden="false" customHeight="false" outlineLevel="0" collapsed="false">
      <c r="A31" s="7" t="s">
        <v>49</v>
      </c>
      <c r="B31" s="8" t="n">
        <v>20</v>
      </c>
      <c r="C31" s="9" t="n">
        <v>1700</v>
      </c>
      <c r="D31" s="7" t="s">
        <v>50</v>
      </c>
    </row>
    <row r="32" customFormat="false" ht="15" hidden="false" customHeight="false" outlineLevel="0" collapsed="false">
      <c r="A32" s="7" t="s">
        <v>51</v>
      </c>
      <c r="B32" s="8" t="n">
        <v>10</v>
      </c>
      <c r="C32" s="9" t="n">
        <v>750</v>
      </c>
      <c r="D32" s="7" t="s">
        <v>52</v>
      </c>
    </row>
    <row r="33" customFormat="false" ht="15" hidden="false" customHeight="false" outlineLevel="0" collapsed="false">
      <c r="A33" s="7" t="s">
        <v>53</v>
      </c>
      <c r="B33" s="8" t="n">
        <v>12</v>
      </c>
      <c r="C33" s="9" t="n">
        <v>950</v>
      </c>
      <c r="D33" s="7" t="s">
        <v>54</v>
      </c>
    </row>
    <row r="34" customFormat="false" ht="15" hidden="false" customHeight="false" outlineLevel="0" collapsed="false">
      <c r="A34" s="7" t="s">
        <v>55</v>
      </c>
      <c r="B34" s="8" t="n">
        <v>10</v>
      </c>
      <c r="C34" s="9" t="n">
        <v>800</v>
      </c>
      <c r="D34" s="7" t="s">
        <v>56</v>
      </c>
    </row>
    <row r="35" customFormat="false" ht="15" hidden="false" customHeight="false" outlineLevel="0" collapsed="false">
      <c r="A35" s="4" t="s">
        <v>57</v>
      </c>
      <c r="B35" s="4" t="n">
        <f aca="false">SUM(B36:B41)</f>
        <v>67</v>
      </c>
      <c r="C35" s="5" t="n">
        <f aca="false">SUM(C36:C41)</f>
        <v>5260</v>
      </c>
      <c r="D35" s="6"/>
    </row>
    <row r="36" customFormat="false" ht="23.85" hidden="false" customHeight="false" outlineLevel="0" collapsed="false">
      <c r="A36" s="7" t="s">
        <v>58</v>
      </c>
      <c r="B36" s="8" t="n">
        <v>7</v>
      </c>
      <c r="C36" s="9" t="n">
        <v>560</v>
      </c>
      <c r="D36" s="7" t="s">
        <v>59</v>
      </c>
    </row>
    <row r="37" customFormat="false" ht="23.85" hidden="false" customHeight="false" outlineLevel="0" collapsed="false">
      <c r="A37" s="7" t="s">
        <v>60</v>
      </c>
      <c r="B37" s="8" t="n">
        <v>12</v>
      </c>
      <c r="C37" s="9" t="n">
        <v>950</v>
      </c>
      <c r="D37" s="7" t="s">
        <v>61</v>
      </c>
    </row>
    <row r="38" customFormat="false" ht="23.85" hidden="false" customHeight="false" outlineLevel="0" collapsed="false">
      <c r="A38" s="7" t="s">
        <v>62</v>
      </c>
      <c r="B38" s="8" t="n">
        <v>12</v>
      </c>
      <c r="C38" s="9" t="n">
        <v>950</v>
      </c>
      <c r="D38" s="7" t="s">
        <v>63</v>
      </c>
    </row>
    <row r="39" customFormat="false" ht="15" hidden="false" customHeight="false" outlineLevel="0" collapsed="false">
      <c r="A39" s="7" t="s">
        <v>64</v>
      </c>
      <c r="B39" s="8" t="n">
        <v>16</v>
      </c>
      <c r="C39" s="9" t="n">
        <v>1250</v>
      </c>
      <c r="D39" s="7" t="s">
        <v>65</v>
      </c>
    </row>
    <row r="40" customFormat="false" ht="15" hidden="false" customHeight="false" outlineLevel="0" collapsed="false">
      <c r="A40" s="7" t="s">
        <v>66</v>
      </c>
      <c r="B40" s="8" t="n">
        <v>14</v>
      </c>
      <c r="C40" s="9" t="n">
        <v>1100</v>
      </c>
      <c r="D40" s="7"/>
    </row>
    <row r="41" customFormat="false" ht="15" hidden="false" customHeight="false" outlineLevel="0" collapsed="false">
      <c r="A41" s="7" t="s">
        <v>67</v>
      </c>
      <c r="B41" s="8" t="n">
        <v>6</v>
      </c>
      <c r="C41" s="9" t="n">
        <v>450</v>
      </c>
      <c r="D41" s="7" t="s">
        <v>68</v>
      </c>
    </row>
    <row r="42" customFormat="false" ht="15" hidden="false" customHeight="false" outlineLevel="0" collapsed="false">
      <c r="A42" s="4" t="s">
        <v>69</v>
      </c>
      <c r="B42" s="4" t="n">
        <f aca="false">SUM(B43:B49)</f>
        <v>25</v>
      </c>
      <c r="C42" s="5" t="n">
        <f aca="false">SUM(C43:C49)</f>
        <v>2000</v>
      </c>
      <c r="D42" s="6"/>
    </row>
    <row r="43" customFormat="false" ht="15" hidden="false" customHeight="false" outlineLevel="0" collapsed="false">
      <c r="A43" s="7" t="s">
        <v>70</v>
      </c>
      <c r="B43" s="8" t="n">
        <v>4</v>
      </c>
      <c r="C43" s="9" t="n">
        <v>300</v>
      </c>
      <c r="D43" s="7" t="s">
        <v>71</v>
      </c>
    </row>
    <row r="44" customFormat="false" ht="15" hidden="false" customHeight="false" outlineLevel="0" collapsed="false">
      <c r="A44" s="7" t="s">
        <v>72</v>
      </c>
      <c r="B44" s="8" t="n">
        <v>4</v>
      </c>
      <c r="C44" s="9" t="n">
        <v>300</v>
      </c>
      <c r="D44" s="7" t="s">
        <v>73</v>
      </c>
    </row>
    <row r="45" customFormat="false" ht="23.85" hidden="false" customHeight="false" outlineLevel="0" collapsed="false">
      <c r="A45" s="7" t="s">
        <v>74</v>
      </c>
      <c r="B45" s="8" t="n">
        <v>3</v>
      </c>
      <c r="C45" s="9" t="n">
        <v>250</v>
      </c>
      <c r="D45" s="7" t="s">
        <v>75</v>
      </c>
    </row>
    <row r="46" customFormat="false" ht="15" hidden="false" customHeight="false" outlineLevel="0" collapsed="false">
      <c r="A46" s="7" t="s">
        <v>76</v>
      </c>
      <c r="B46" s="8" t="n">
        <v>4</v>
      </c>
      <c r="C46" s="9" t="n">
        <v>350</v>
      </c>
      <c r="D46" s="7" t="s">
        <v>77</v>
      </c>
    </row>
    <row r="47" customFormat="false" ht="15" hidden="false" customHeight="false" outlineLevel="0" collapsed="false">
      <c r="A47" s="7" t="s">
        <v>78</v>
      </c>
      <c r="B47" s="8" t="n">
        <v>3</v>
      </c>
      <c r="C47" s="9" t="n">
        <v>250</v>
      </c>
      <c r="D47" s="7" t="s">
        <v>79</v>
      </c>
    </row>
    <row r="48" customFormat="false" ht="15" hidden="false" customHeight="false" outlineLevel="0" collapsed="false">
      <c r="A48" s="7" t="s">
        <v>80</v>
      </c>
      <c r="B48" s="8" t="n">
        <v>3</v>
      </c>
      <c r="C48" s="9" t="n">
        <v>250</v>
      </c>
      <c r="D48" s="7" t="s">
        <v>81</v>
      </c>
    </row>
    <row r="49" customFormat="false" ht="15" hidden="false" customHeight="false" outlineLevel="0" collapsed="false">
      <c r="A49" s="7" t="s">
        <v>82</v>
      </c>
      <c r="B49" s="8" t="n">
        <v>4</v>
      </c>
      <c r="C49" s="9" t="n">
        <v>300</v>
      </c>
      <c r="D49" s="7" t="s">
        <v>83</v>
      </c>
    </row>
    <row r="50" customFormat="false" ht="15" hidden="false" customHeight="false" outlineLevel="0" collapsed="false">
      <c r="A50" s="4" t="s">
        <v>84</v>
      </c>
      <c r="B50" s="4" t="n">
        <f aca="false">SUM(B51:B56)</f>
        <v>40</v>
      </c>
      <c r="C50" s="5" t="n">
        <f aca="false">SUM(C51:C56)</f>
        <v>3200</v>
      </c>
      <c r="D50" s="6"/>
    </row>
    <row r="51" customFormat="false" ht="15" hidden="false" customHeight="false" outlineLevel="0" collapsed="false">
      <c r="A51" s="7" t="s">
        <v>85</v>
      </c>
      <c r="B51" s="8" t="n">
        <v>14</v>
      </c>
      <c r="C51" s="9" t="n">
        <v>1150</v>
      </c>
      <c r="D51" s="7" t="s">
        <v>86</v>
      </c>
    </row>
    <row r="52" customFormat="false" ht="15" hidden="false" customHeight="false" outlineLevel="0" collapsed="false">
      <c r="A52" s="7" t="s">
        <v>87</v>
      </c>
      <c r="B52" s="8" t="n">
        <v>4</v>
      </c>
      <c r="C52" s="9" t="n">
        <v>300</v>
      </c>
      <c r="D52" s="7"/>
    </row>
    <row r="53" customFormat="false" ht="15" hidden="false" customHeight="false" outlineLevel="0" collapsed="false">
      <c r="A53" s="7" t="s">
        <v>88</v>
      </c>
      <c r="B53" s="8" t="n">
        <v>8</v>
      </c>
      <c r="C53" s="9" t="n">
        <v>650</v>
      </c>
      <c r="D53" s="7" t="s">
        <v>89</v>
      </c>
    </row>
    <row r="54" customFormat="false" ht="15" hidden="false" customHeight="false" outlineLevel="0" collapsed="false">
      <c r="A54" s="7" t="s">
        <v>90</v>
      </c>
      <c r="B54" s="8" t="n">
        <v>4</v>
      </c>
      <c r="C54" s="9" t="n">
        <v>300</v>
      </c>
      <c r="D54" s="7"/>
    </row>
    <row r="55" customFormat="false" ht="15" hidden="false" customHeight="false" outlineLevel="0" collapsed="false">
      <c r="A55" s="7" t="s">
        <v>91</v>
      </c>
      <c r="B55" s="8" t="n">
        <v>8</v>
      </c>
      <c r="C55" s="9" t="n">
        <v>650</v>
      </c>
      <c r="D55" s="7"/>
    </row>
    <row r="56" customFormat="false" ht="15" hidden="false" customHeight="false" outlineLevel="0" collapsed="false">
      <c r="A56" s="7" t="s">
        <v>92</v>
      </c>
      <c r="B56" s="8" t="n">
        <v>2</v>
      </c>
      <c r="C56" s="9" t="n">
        <v>150</v>
      </c>
      <c r="D56" s="7"/>
    </row>
    <row r="58" customFormat="false" ht="15" hidden="false" customHeight="false" outlineLevel="0" collapsed="false">
      <c r="A58" s="10" t="s">
        <v>93</v>
      </c>
      <c r="B58" s="10" t="n">
        <f aca="false">B5+B19+B30+B35+B42+B50</f>
        <v>449</v>
      </c>
      <c r="C58" s="11" t="n">
        <f aca="false">C5+C19+C30+C35+C42+C50</f>
        <v>35690</v>
      </c>
      <c r="D58" s="12"/>
    </row>
    <row r="59" customFormat="false" ht="15" hidden="false" customHeight="false" outlineLevel="0" collapsed="false">
      <c r="A59" s="13" t="s">
        <v>94</v>
      </c>
      <c r="B59" s="14" t="n">
        <f aca="false">B58/16</f>
        <v>28.0625</v>
      </c>
    </row>
    <row r="60" customFormat="false" ht="15" hidden="false" customHeight="false" outlineLevel="0" collapsed="false">
      <c r="A60" s="2" t="s">
        <v>95</v>
      </c>
    </row>
    <row r="62" customFormat="false" ht="15" hidden="false" customHeight="false" outlineLevel="0" collapsed="false">
      <c r="A62" s="15" t="s">
        <v>96</v>
      </c>
    </row>
    <row r="63" customFormat="false" ht="15" hidden="false" customHeight="false" outlineLevel="0" collapsed="false">
      <c r="A63" s="13" t="s">
        <v>97</v>
      </c>
      <c r="B63" s="16" t="n">
        <v>204</v>
      </c>
      <c r="C63" s="17" t="n">
        <v>15850</v>
      </c>
    </row>
    <row r="64" customFormat="false" ht="15" hidden="false" customHeight="false" outlineLevel="0" collapsed="false">
      <c r="A64" s="13" t="s">
        <v>98</v>
      </c>
      <c r="B64" s="16" t="n">
        <v>480</v>
      </c>
      <c r="C64" s="17" t="n">
        <v>37850</v>
      </c>
    </row>
    <row r="65" customFormat="false" ht="15" hidden="false" customHeight="false" outlineLevel="0" collapsed="false">
      <c r="A65" s="15" t="s">
        <v>99</v>
      </c>
      <c r="B65" s="15" t="n">
        <f aca="false">B64-B58</f>
        <v>31</v>
      </c>
      <c r="C65" s="18" t="n">
        <f aca="false">C64-C58</f>
        <v>2160</v>
      </c>
    </row>
    <row r="66" customFormat="false" ht="15" hidden="false" customHeight="false" outlineLevel="0" collapsed="false">
      <c r="A66" s="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2026-10-27T04:39:46Z</dcterms:created>
  <dc:creator>openpyxl</dc:creator>
  <dc:description/>
  <dc:language>en-US</dc:language>
  <cp:lastModifiedBy/>
  <dcterms:modified xsi:type="dcterms:W3CDTF">2026-10-27T04:39:46Z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